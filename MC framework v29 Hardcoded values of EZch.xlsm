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30" windowWidth="15600" windowHeight="8505" tabRatio="799" firstSheet="1" activeTab="4"/>
  </bookViews>
  <sheets>
    <sheet name="References" sheetId="17" r:id="rId1"/>
    <sheet name="todo" sheetId="15" r:id="rId2"/>
    <sheet name="_CIQHiddenCacheSheet" sheetId="37" state="veryHidden" r:id="rId3"/>
    <sheet name="Input" sheetId="10" r:id="rId4"/>
    <sheet name="Projections" sheetId="20" r:id="rId5"/>
    <sheet name="Residuals" sheetId="2" r:id="rId6"/>
    <sheet name="Paths" sheetId="6" r:id="rId7"/>
    <sheet name="Policies" sheetId="16" r:id="rId8"/>
    <sheet name="De-seasonalization" sheetId="7" r:id="rId9"/>
    <sheet name="Jumps" sheetId="9" r:id="rId10"/>
    <sheet name="Mean_Reversion" sheetId="11" r:id="rId11"/>
    <sheet name="Rand" sheetId="12" r:id="rId12"/>
    <sheet name="convert" sheetId="18" r:id="rId13"/>
    <sheet name="Riskfactors" sheetId="19" r:id="rId14"/>
    <sheet name="Transform" sheetId="21" r:id="rId15"/>
  </sheets>
  <functionGroups/>
  <externalReferences>
    <externalReference r:id="rId16"/>
  </externalReferences>
  <definedNames>
    <definedName name="alpha">Jumps!$B$8</definedName>
    <definedName name="CIQWBGuid" hidden="1">"1ca18ff5-2b0c-492f-9cdb-0bc24a4f8776"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41756.6781712963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jumpMean">Jumps!$B$11</definedName>
    <definedName name="jumpProb">Jumps!$B$10</definedName>
    <definedName name="jumpStdDev">Jumps!$B$12</definedName>
    <definedName name="sigma">Jumps!$B$9</definedName>
    <definedName name="solver_adj" localSheetId="10" hidden="1">Mean_Reversion!$H$5</definedName>
    <definedName name="solver_cvg" localSheetId="10" hidden="1">0.0001</definedName>
    <definedName name="solver_drv" localSheetId="10" hidden="1">1</definedName>
    <definedName name="solver_est" localSheetId="10" hidden="1">1</definedName>
    <definedName name="solver_itr" localSheetId="10" hidden="1">100</definedName>
    <definedName name="solver_lin" localSheetId="10" hidden="1">2</definedName>
    <definedName name="solver_neg" localSheetId="10" hidden="1">2</definedName>
    <definedName name="solver_num" localSheetId="10" hidden="1">0</definedName>
    <definedName name="solver_nwt" localSheetId="10" hidden="1">1</definedName>
    <definedName name="solver_opt" localSheetId="10" hidden="1">Mean_Reversion!$I$6</definedName>
    <definedName name="solver_pre" localSheetId="10" hidden="1">0.000001</definedName>
    <definedName name="solver_scl" localSheetId="10" hidden="1">2</definedName>
    <definedName name="solver_sho" localSheetId="10" hidden="1">2</definedName>
    <definedName name="solver_tim" localSheetId="10" hidden="1">100</definedName>
    <definedName name="solver_tol" localSheetId="10" hidden="1">0.05</definedName>
    <definedName name="solver_typ" localSheetId="10" hidden="1">3</definedName>
    <definedName name="solver_val" localSheetId="10" hidden="1">0</definedName>
    <definedName name="ticker">Input!$A$1</definedName>
  </definedNames>
  <calcPr calcId="125725" calcMode="autoNoTable" calcCompleted="0"/>
</workbook>
</file>

<file path=xl/calcChain.xml><?xml version="1.0" encoding="utf-8"?>
<calcChain xmlns="http://schemas.openxmlformats.org/spreadsheetml/2006/main">
  <c r="K5" i="11"/>
  <c r="K4"/>
  <c r="Q14" i="10" l="1"/>
  <c r="O14"/>
  <c r="M14"/>
  <c r="L14"/>
  <c r="K14"/>
  <c r="J14"/>
  <c r="I14"/>
  <c r="H14"/>
  <c r="G14"/>
  <c r="F14"/>
  <c r="E14"/>
  <c r="D14"/>
  <c r="C14"/>
  <c r="B14"/>
  <c r="Q13"/>
  <c r="O13"/>
  <c r="M13"/>
  <c r="L13"/>
  <c r="K13"/>
  <c r="J13"/>
  <c r="I13"/>
  <c r="H13"/>
  <c r="G13"/>
  <c r="F13"/>
  <c r="E13"/>
  <c r="D13"/>
  <c r="C13"/>
  <c r="B13"/>
  <c r="E12"/>
  <c r="E11"/>
  <c r="BF3" i="9" l="1"/>
  <c r="G1" i="11"/>
  <c r="D65" i="20"/>
  <c r="I4" i="6"/>
  <c r="B4" i="12"/>
  <c r="C4"/>
  <c r="D4"/>
  <c r="E4"/>
  <c r="F4"/>
  <c r="G4"/>
  <c r="H4"/>
  <c r="I4"/>
  <c r="J4"/>
  <c r="K4"/>
  <c r="B5"/>
  <c r="C5"/>
  <c r="D5"/>
  <c r="E5"/>
  <c r="F5"/>
  <c r="G5"/>
  <c r="H5"/>
  <c r="I5"/>
  <c r="J5"/>
  <c r="K5"/>
  <c r="B6"/>
  <c r="C6"/>
  <c r="D6"/>
  <c r="E6"/>
  <c r="F6"/>
  <c r="G6"/>
  <c r="H6"/>
  <c r="I6"/>
  <c r="J6"/>
  <c r="K6"/>
  <c r="B7"/>
  <c r="C7"/>
  <c r="D7"/>
  <c r="E7"/>
  <c r="F7"/>
  <c r="G7"/>
  <c r="H7"/>
  <c r="I7"/>
  <c r="J7"/>
  <c r="K7"/>
  <c r="B8"/>
  <c r="C8"/>
  <c r="D8"/>
  <c r="E8"/>
  <c r="F8"/>
  <c r="G8"/>
  <c r="H8"/>
  <c r="I8"/>
  <c r="J8"/>
  <c r="K8"/>
  <c r="B9"/>
  <c r="C9"/>
  <c r="D9"/>
  <c r="E9"/>
  <c r="F9"/>
  <c r="G9"/>
  <c r="H9"/>
  <c r="I9"/>
  <c r="J9"/>
  <c r="K9"/>
  <c r="B10"/>
  <c r="C10"/>
  <c r="D10"/>
  <c r="E10"/>
  <c r="F10"/>
  <c r="G10"/>
  <c r="H10"/>
  <c r="I10"/>
  <c r="J10"/>
  <c r="K10"/>
  <c r="B11"/>
  <c r="C11"/>
  <c r="D11"/>
  <c r="E11"/>
  <c r="F11"/>
  <c r="G11"/>
  <c r="H11"/>
  <c r="I11"/>
  <c r="J11"/>
  <c r="K11"/>
  <c r="B12"/>
  <c r="C12"/>
  <c r="D12"/>
  <c r="E12"/>
  <c r="F12"/>
  <c r="G12"/>
  <c r="H12"/>
  <c r="I12"/>
  <c r="J12"/>
  <c r="K12"/>
  <c r="B13"/>
  <c r="C13"/>
  <c r="D13"/>
  <c r="E13"/>
  <c r="F13"/>
  <c r="G13"/>
  <c r="H13"/>
  <c r="I13"/>
  <c r="J13"/>
  <c r="K13"/>
  <c r="B14"/>
  <c r="C14"/>
  <c r="D14"/>
  <c r="E14"/>
  <c r="F14"/>
  <c r="G14"/>
  <c r="H14"/>
  <c r="I14"/>
  <c r="J14"/>
  <c r="K14"/>
  <c r="B15"/>
  <c r="C15"/>
  <c r="D15"/>
  <c r="E15"/>
  <c r="F15"/>
  <c r="G15"/>
  <c r="H15"/>
  <c r="I15"/>
  <c r="J15"/>
  <c r="K15"/>
  <c r="B16"/>
  <c r="C16"/>
  <c r="D16"/>
  <c r="E16"/>
  <c r="F16"/>
  <c r="G16"/>
  <c r="H16"/>
  <c r="I16"/>
  <c r="J16"/>
  <c r="K16"/>
  <c r="B17"/>
  <c r="C17"/>
  <c r="D17"/>
  <c r="E17"/>
  <c r="F17"/>
  <c r="G17"/>
  <c r="H17"/>
  <c r="I17"/>
  <c r="J17"/>
  <c r="K17"/>
  <c r="B18"/>
  <c r="C18"/>
  <c r="D18"/>
  <c r="E18"/>
  <c r="F18"/>
  <c r="G18"/>
  <c r="H18"/>
  <c r="I18"/>
  <c r="J18"/>
  <c r="K18"/>
  <c r="B19"/>
  <c r="C19"/>
  <c r="D19"/>
  <c r="E19"/>
  <c r="F19"/>
  <c r="G19"/>
  <c r="H19"/>
  <c r="I19"/>
  <c r="J19"/>
  <c r="K19"/>
  <c r="B20"/>
  <c r="C20"/>
  <c r="D20"/>
  <c r="E20"/>
  <c r="F20"/>
  <c r="G20"/>
  <c r="H20"/>
  <c r="I20"/>
  <c r="J20"/>
  <c r="K20"/>
  <c r="B21"/>
  <c r="C21"/>
  <c r="D21"/>
  <c r="E21"/>
  <c r="F21"/>
  <c r="G21"/>
  <c r="H21"/>
  <c r="I21"/>
  <c r="J21"/>
  <c r="K21"/>
  <c r="B22"/>
  <c r="C22"/>
  <c r="D22"/>
  <c r="E22"/>
  <c r="F22"/>
  <c r="G22"/>
  <c r="H22"/>
  <c r="I22"/>
  <c r="J22"/>
  <c r="K22"/>
  <c r="B23"/>
  <c r="C23"/>
  <c r="D23"/>
  <c r="E23"/>
  <c r="F23"/>
  <c r="G23"/>
  <c r="H23"/>
  <c r="I23"/>
  <c r="J23"/>
  <c r="K23"/>
  <c r="B24"/>
  <c r="C24"/>
  <c r="D24"/>
  <c r="E24"/>
  <c r="F24"/>
  <c r="G24"/>
  <c r="H24"/>
  <c r="I24"/>
  <c r="J24"/>
  <c r="K24"/>
  <c r="B25"/>
  <c r="C25"/>
  <c r="D25"/>
  <c r="E25"/>
  <c r="F25"/>
  <c r="G25"/>
  <c r="H25"/>
  <c r="I25"/>
  <c r="J25"/>
  <c r="K25"/>
  <c r="B26"/>
  <c r="C26"/>
  <c r="D26"/>
  <c r="E26"/>
  <c r="F26"/>
  <c r="G26"/>
  <c r="H26"/>
  <c r="I26"/>
  <c r="J26"/>
  <c r="K26"/>
  <c r="B27"/>
  <c r="C27"/>
  <c r="D27"/>
  <c r="E27"/>
  <c r="F27"/>
  <c r="G27"/>
  <c r="H27"/>
  <c r="I27"/>
  <c r="J27"/>
  <c r="K27"/>
  <c r="B28"/>
  <c r="C28"/>
  <c r="D28"/>
  <c r="E28"/>
  <c r="F28"/>
  <c r="G28"/>
  <c r="H28"/>
  <c r="I28"/>
  <c r="J28"/>
  <c r="K28"/>
  <c r="B29"/>
  <c r="C29"/>
  <c r="D29"/>
  <c r="E29"/>
  <c r="F29"/>
  <c r="G29"/>
  <c r="H29"/>
  <c r="I29"/>
  <c r="J29"/>
  <c r="K29"/>
  <c r="B30"/>
  <c r="C30"/>
  <c r="D30"/>
  <c r="E30"/>
  <c r="F30"/>
  <c r="G30"/>
  <c r="H30"/>
  <c r="I30"/>
  <c r="J30"/>
  <c r="K30"/>
  <c r="B31"/>
  <c r="C31"/>
  <c r="D31"/>
  <c r="E31"/>
  <c r="F31"/>
  <c r="G31"/>
  <c r="H31"/>
  <c r="I31"/>
  <c r="J31"/>
  <c r="K31"/>
  <c r="B32"/>
  <c r="C32"/>
  <c r="D32"/>
  <c r="E32"/>
  <c r="F32"/>
  <c r="G32"/>
  <c r="H32"/>
  <c r="I32"/>
  <c r="J32"/>
  <c r="K32"/>
  <c r="B33"/>
  <c r="C33"/>
  <c r="D33"/>
  <c r="E33"/>
  <c r="F33"/>
  <c r="G33"/>
  <c r="H33"/>
  <c r="I33"/>
  <c r="J33"/>
  <c r="K33"/>
  <c r="B34"/>
  <c r="C34"/>
  <c r="D34"/>
  <c r="E34"/>
  <c r="F34"/>
  <c r="G34"/>
  <c r="H34"/>
  <c r="I34"/>
  <c r="J34"/>
  <c r="K34"/>
  <c r="B35"/>
  <c r="C35"/>
  <c r="D35"/>
  <c r="E35"/>
  <c r="F35"/>
  <c r="G35"/>
  <c r="H35"/>
  <c r="I35"/>
  <c r="J35"/>
  <c r="K35"/>
  <c r="B36"/>
  <c r="C36"/>
  <c r="D36"/>
  <c r="E36"/>
  <c r="F36"/>
  <c r="G36"/>
  <c r="H36"/>
  <c r="I36"/>
  <c r="J36"/>
  <c r="K36"/>
  <c r="B37"/>
  <c r="C37"/>
  <c r="D37"/>
  <c r="E37"/>
  <c r="F37"/>
  <c r="G37"/>
  <c r="H37"/>
  <c r="I37"/>
  <c r="J37"/>
  <c r="K37"/>
  <c r="B38"/>
  <c r="C38"/>
  <c r="D38"/>
  <c r="E38"/>
  <c r="F38"/>
  <c r="G38"/>
  <c r="H38"/>
  <c r="I38"/>
  <c r="J38"/>
  <c r="K38"/>
  <c r="B39"/>
  <c r="C39"/>
  <c r="D39"/>
  <c r="E39"/>
  <c r="F39"/>
  <c r="G39"/>
  <c r="H39"/>
  <c r="I39"/>
  <c r="J39"/>
  <c r="K39"/>
  <c r="B40"/>
  <c r="C40"/>
  <c r="D40"/>
  <c r="E40"/>
  <c r="F40"/>
  <c r="G40"/>
  <c r="H40"/>
  <c r="I40"/>
  <c r="J40"/>
  <c r="K40"/>
  <c r="B41"/>
  <c r="C41"/>
  <c r="D41"/>
  <c r="E41"/>
  <c r="F41"/>
  <c r="G41"/>
  <c r="H41"/>
  <c r="I41"/>
  <c r="J41"/>
  <c r="K41"/>
  <c r="B42"/>
  <c r="C42"/>
  <c r="D42"/>
  <c r="E42"/>
  <c r="F42"/>
  <c r="G42"/>
  <c r="H42"/>
  <c r="I42"/>
  <c r="J42"/>
  <c r="K42"/>
  <c r="C3"/>
  <c r="D3"/>
  <c r="E3"/>
  <c r="F3"/>
  <c r="G3"/>
  <c r="H3"/>
  <c r="I3"/>
  <c r="J3"/>
  <c r="K3"/>
  <c r="B3"/>
  <c r="C44" l="1"/>
  <c r="J4" i="20" l="1"/>
  <c r="J5" s="1"/>
  <c r="J6" s="1"/>
  <c r="J7" s="1"/>
  <c r="J8" s="1"/>
  <c r="J9" s="1"/>
  <c r="J10" s="1"/>
  <c r="J11" s="1"/>
  <c r="J12" s="1"/>
  <c r="J13" s="1"/>
  <c r="J14" s="1"/>
  <c r="J15" s="1"/>
  <c r="J16" s="1"/>
  <c r="J17" s="1"/>
  <c r="J18" s="1"/>
  <c r="J19" s="1"/>
  <c r="J20" s="1"/>
  <c r="J21" s="1"/>
  <c r="J22" s="1"/>
  <c r="J23" s="1"/>
  <c r="B70" l="1"/>
  <c r="B69"/>
  <c r="B68"/>
  <c r="A33" i="21"/>
  <c r="A7"/>
  <c r="A8"/>
  <c r="A10"/>
  <c r="A11"/>
  <c r="A12"/>
  <c r="A13"/>
  <c r="A14"/>
  <c r="AO13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O10"/>
  <c r="AO18" s="1"/>
  <c r="AN19" s="1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6"/>
  <c r="BD6"/>
  <c r="BE6"/>
  <c r="BF6"/>
  <c r="BG6"/>
  <c r="BH6"/>
  <c r="BI6"/>
  <c r="B6"/>
  <c r="H103" i="20"/>
  <c r="H102"/>
  <c r="H101"/>
  <c r="H100"/>
  <c r="H99"/>
  <c r="H98"/>
  <c r="H97"/>
  <c r="H96"/>
  <c r="H95"/>
  <c r="H94"/>
  <c r="I91"/>
  <c r="I94" s="1"/>
  <c r="I90"/>
  <c r="I89"/>
  <c r="F103"/>
  <c r="F102"/>
  <c r="F101"/>
  <c r="F100"/>
  <c r="F99"/>
  <c r="F98"/>
  <c r="F97"/>
  <c r="F96"/>
  <c r="F95"/>
  <c r="F94"/>
  <c r="G91"/>
  <c r="G94" s="1"/>
  <c r="G90"/>
  <c r="G89"/>
  <c r="D95"/>
  <c r="D96"/>
  <c r="D97"/>
  <c r="D98"/>
  <c r="D99"/>
  <c r="D100"/>
  <c r="D101"/>
  <c r="D102"/>
  <c r="D103"/>
  <c r="D94"/>
  <c r="E91"/>
  <c r="E94" s="1"/>
  <c r="E90"/>
  <c r="E89"/>
  <c r="H67"/>
  <c r="F67"/>
  <c r="D67"/>
  <c r="I78"/>
  <c r="I79" s="1"/>
  <c r="G78"/>
  <c r="G79" s="1"/>
  <c r="E78"/>
  <c r="E79" s="1"/>
  <c r="F69"/>
  <c r="H69"/>
  <c r="F70"/>
  <c r="H70"/>
  <c r="F71"/>
  <c r="H71"/>
  <c r="F72"/>
  <c r="H72"/>
  <c r="F73"/>
  <c r="H73"/>
  <c r="F74"/>
  <c r="H74"/>
  <c r="F75"/>
  <c r="H75"/>
  <c r="F76"/>
  <c r="H76"/>
  <c r="F77"/>
  <c r="H77"/>
  <c r="H68"/>
  <c r="F68"/>
  <c r="D84"/>
  <c r="D82"/>
  <c r="D13" i="21" l="1"/>
  <c r="J13"/>
  <c r="Z13"/>
  <c r="B13"/>
  <c r="E13"/>
  <c r="M13"/>
  <c r="I13"/>
  <c r="Q13"/>
  <c r="Y13"/>
  <c r="U13"/>
  <c r="AC13"/>
  <c r="AK13"/>
  <c r="AG13"/>
  <c r="F13"/>
  <c r="T13"/>
  <c r="X13"/>
  <c r="AD13"/>
  <c r="AL13"/>
  <c r="AH13"/>
  <c r="H13"/>
  <c r="N13"/>
  <c r="R13"/>
  <c r="V13"/>
  <c r="G13"/>
  <c r="C13"/>
  <c r="K13"/>
  <c r="S13"/>
  <c r="O13"/>
  <c r="W13"/>
  <c r="AE13"/>
  <c r="AA13"/>
  <c r="AI13"/>
  <c r="AN13"/>
  <c r="L13"/>
  <c r="P13"/>
  <c r="AF13"/>
  <c r="AB13"/>
  <c r="AJ13"/>
  <c r="AM13"/>
  <c r="AM18"/>
  <c r="AL19" s="1"/>
  <c r="AK18"/>
  <c r="AJ19" s="1"/>
  <c r="AI18"/>
  <c r="AH19" s="1"/>
  <c r="AG18"/>
  <c r="AF19" s="1"/>
  <c r="AE18"/>
  <c r="AD19" s="1"/>
  <c r="AC18"/>
  <c r="AB19" s="1"/>
  <c r="AA18"/>
  <c r="Z19" s="1"/>
  <c r="Y18"/>
  <c r="X19" s="1"/>
  <c r="W18"/>
  <c r="V19" s="1"/>
  <c r="U18"/>
  <c r="T19" s="1"/>
  <c r="S18"/>
  <c r="R19" s="1"/>
  <c r="Q18"/>
  <c r="P19" s="1"/>
  <c r="O18"/>
  <c r="N19" s="1"/>
  <c r="M18"/>
  <c r="L19" s="1"/>
  <c r="K18"/>
  <c r="J19" s="1"/>
  <c r="I18"/>
  <c r="H19" s="1"/>
  <c r="G18"/>
  <c r="F19" s="1"/>
  <c r="E18"/>
  <c r="D19" s="1"/>
  <c r="C18"/>
  <c r="B19" s="1"/>
  <c r="B29"/>
  <c r="B18"/>
  <c r="AN18"/>
  <c r="AM19" s="1"/>
  <c r="AL18"/>
  <c r="AK19" s="1"/>
  <c r="AJ18"/>
  <c r="AI19" s="1"/>
  <c r="AH18"/>
  <c r="AG19" s="1"/>
  <c r="AF18"/>
  <c r="AE19" s="1"/>
  <c r="AD18"/>
  <c r="AC19" s="1"/>
  <c r="AB18"/>
  <c r="AA19" s="1"/>
  <c r="Z18"/>
  <c r="Y19" s="1"/>
  <c r="X18"/>
  <c r="W19" s="1"/>
  <c r="V18"/>
  <c r="U19" s="1"/>
  <c r="T18"/>
  <c r="S19" s="1"/>
  <c r="R18"/>
  <c r="Q19" s="1"/>
  <c r="P18"/>
  <c r="O19" s="1"/>
  <c r="N18"/>
  <c r="M19" s="1"/>
  <c r="L18"/>
  <c r="K19" s="1"/>
  <c r="J18"/>
  <c r="I19" s="1"/>
  <c r="H18"/>
  <c r="G19" s="1"/>
  <c r="F18"/>
  <c r="E19" s="1"/>
  <c r="D18"/>
  <c r="C19" s="1"/>
  <c r="B30"/>
  <c r="I92" i="20"/>
  <c r="G92"/>
  <c r="E92"/>
  <c r="E95" s="1"/>
  <c r="E105" s="1"/>
  <c r="D69"/>
  <c r="D70"/>
  <c r="D71"/>
  <c r="D72"/>
  <c r="D73"/>
  <c r="D74"/>
  <c r="D75"/>
  <c r="D76"/>
  <c r="D77"/>
  <c r="D68"/>
  <c r="L39" i="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38"/>
  <c r="C35"/>
  <c r="A23" i="20"/>
  <c r="A22"/>
  <c r="A21"/>
  <c r="A20"/>
  <c r="A19"/>
  <c r="A18"/>
  <c r="A17"/>
  <c r="A16"/>
  <c r="A15"/>
  <c r="A14"/>
  <c r="A13"/>
  <c r="A12"/>
  <c r="A11"/>
  <c r="A10"/>
  <c r="A9"/>
  <c r="A8"/>
  <c r="A7"/>
  <c r="A6"/>
  <c r="A5"/>
  <c r="O4"/>
  <c r="M4"/>
  <c r="A4"/>
  <c r="R3"/>
  <c r="Q3"/>
  <c r="P3"/>
  <c r="I3"/>
  <c r="H3"/>
  <c r="G3"/>
  <c r="F3"/>
  <c r="C3"/>
  <c r="B3"/>
  <c r="H6" i="11"/>
  <c r="H8" s="1"/>
  <c r="I14" s="1"/>
  <c r="H21" i="16"/>
  <c r="H22"/>
  <c r="H20"/>
  <c r="L23"/>
  <c r="E24"/>
  <c r="F18"/>
  <c r="G25"/>
  <c r="F25"/>
  <c r="E27"/>
  <c r="E28"/>
  <c r="E26"/>
  <c r="C34" i="9"/>
  <c r="H34" s="1"/>
  <c r="D34"/>
  <c r="C33"/>
  <c r="H33" s="1"/>
  <c r="D33"/>
  <c r="C32"/>
  <c r="H32" s="1"/>
  <c r="D32"/>
  <c r="C31"/>
  <c r="H31" s="1"/>
  <c r="D31"/>
  <c r="C30"/>
  <c r="H30" s="1"/>
  <c r="D30"/>
  <c r="C29"/>
  <c r="H29" s="1"/>
  <c r="D29"/>
  <c r="C28"/>
  <c r="H28" s="1"/>
  <c r="D28"/>
  <c r="C27"/>
  <c r="H27" s="1"/>
  <c r="D27"/>
  <c r="C26"/>
  <c r="H26" s="1"/>
  <c r="D26"/>
  <c r="C25"/>
  <c r="H25" s="1"/>
  <c r="D25"/>
  <c r="C24"/>
  <c r="H24" s="1"/>
  <c r="D24"/>
  <c r="C23"/>
  <c r="H23" s="1"/>
  <c r="D23"/>
  <c r="C22"/>
  <c r="H22" s="1"/>
  <c r="D22"/>
  <c r="C21"/>
  <c r="H21" s="1"/>
  <c r="D21"/>
  <c r="C20"/>
  <c r="H20" s="1"/>
  <c r="D20"/>
  <c r="C19"/>
  <c r="H19" s="1"/>
  <c r="D19"/>
  <c r="C18"/>
  <c r="H18" s="1"/>
  <c r="D18"/>
  <c r="C17"/>
  <c r="H17" s="1"/>
  <c r="D17"/>
  <c r="C16"/>
  <c r="H16" s="1"/>
  <c r="D16"/>
  <c r="C15"/>
  <c r="D15"/>
  <c r="M34"/>
  <c r="N34"/>
  <c r="M33"/>
  <c r="N33"/>
  <c r="M32"/>
  <c r="N32"/>
  <c r="M31"/>
  <c r="N31"/>
  <c r="M30"/>
  <c r="N30"/>
  <c r="M29"/>
  <c r="N29"/>
  <c r="M28"/>
  <c r="N28"/>
  <c r="M27"/>
  <c r="N27"/>
  <c r="M26"/>
  <c r="N26"/>
  <c r="M25"/>
  <c r="N25"/>
  <c r="M24"/>
  <c r="N24"/>
  <c r="M23"/>
  <c r="N23"/>
  <c r="M22"/>
  <c r="N22"/>
  <c r="M21"/>
  <c r="N21"/>
  <c r="M20"/>
  <c r="N20"/>
  <c r="M19"/>
  <c r="N19"/>
  <c r="M18"/>
  <c r="N18"/>
  <c r="M17"/>
  <c r="N17"/>
  <c r="M16"/>
  <c r="N16"/>
  <c r="M15"/>
  <c r="N15"/>
  <c r="R34"/>
  <c r="S34"/>
  <c r="R33"/>
  <c r="S33"/>
  <c r="R32"/>
  <c r="S32"/>
  <c r="R31"/>
  <c r="S31"/>
  <c r="R30"/>
  <c r="S30"/>
  <c r="R29"/>
  <c r="S29"/>
  <c r="R28"/>
  <c r="S28"/>
  <c r="R27"/>
  <c r="S27"/>
  <c r="R26"/>
  <c r="S26"/>
  <c r="R25"/>
  <c r="S25"/>
  <c r="R24"/>
  <c r="S24"/>
  <c r="R23"/>
  <c r="S23"/>
  <c r="R22"/>
  <c r="S22"/>
  <c r="R21"/>
  <c r="S21"/>
  <c r="R20"/>
  <c r="S20"/>
  <c r="R19"/>
  <c r="S19"/>
  <c r="R18"/>
  <c r="S18"/>
  <c r="R17"/>
  <c r="S17"/>
  <c r="R16"/>
  <c r="S16"/>
  <c r="R15"/>
  <c r="S15"/>
  <c r="W34"/>
  <c r="X34"/>
  <c r="W33"/>
  <c r="X33"/>
  <c r="W32"/>
  <c r="X32"/>
  <c r="W31"/>
  <c r="X31"/>
  <c r="W30"/>
  <c r="X30"/>
  <c r="W29"/>
  <c r="X29"/>
  <c r="W28"/>
  <c r="X28"/>
  <c r="W27"/>
  <c r="X27"/>
  <c r="W26"/>
  <c r="X26"/>
  <c r="W25"/>
  <c r="X25"/>
  <c r="W24"/>
  <c r="X24"/>
  <c r="W23"/>
  <c r="X23"/>
  <c r="W22"/>
  <c r="X22"/>
  <c r="W21"/>
  <c r="X21"/>
  <c r="W20"/>
  <c r="X20"/>
  <c r="W19"/>
  <c r="X19"/>
  <c r="W18"/>
  <c r="X18"/>
  <c r="W17"/>
  <c r="X17"/>
  <c r="W16"/>
  <c r="X16"/>
  <c r="W15"/>
  <c r="X15"/>
  <c r="AB34"/>
  <c r="AC34"/>
  <c r="AB33"/>
  <c r="AC33"/>
  <c r="AB32"/>
  <c r="AC32"/>
  <c r="AB31"/>
  <c r="AC31"/>
  <c r="AB30"/>
  <c r="AC30"/>
  <c r="AB29"/>
  <c r="AC29"/>
  <c r="AB28"/>
  <c r="AC28"/>
  <c r="AB27"/>
  <c r="AC27"/>
  <c r="AB26"/>
  <c r="AC26"/>
  <c r="AB25"/>
  <c r="AC25"/>
  <c r="AB24"/>
  <c r="AC24"/>
  <c r="AB23"/>
  <c r="AC23"/>
  <c r="AB22"/>
  <c r="AC22"/>
  <c r="AB21"/>
  <c r="AC21"/>
  <c r="AB20"/>
  <c r="AC20"/>
  <c r="AB19"/>
  <c r="AC19"/>
  <c r="AB18"/>
  <c r="AC18"/>
  <c r="AB17"/>
  <c r="AC17"/>
  <c r="AB16"/>
  <c r="AC16"/>
  <c r="AB15"/>
  <c r="AC15"/>
  <c r="AG34"/>
  <c r="AH34"/>
  <c r="AG33"/>
  <c r="AH33"/>
  <c r="AG32"/>
  <c r="AH32"/>
  <c r="AG31"/>
  <c r="AH31"/>
  <c r="AG30"/>
  <c r="AH30"/>
  <c r="AG29"/>
  <c r="AH29"/>
  <c r="AG28"/>
  <c r="AH28"/>
  <c r="AG27"/>
  <c r="AH27"/>
  <c r="AG26"/>
  <c r="AH26"/>
  <c r="AG25"/>
  <c r="AH25"/>
  <c r="AG24"/>
  <c r="AH24"/>
  <c r="AG23"/>
  <c r="AH23"/>
  <c r="AG22"/>
  <c r="AH22"/>
  <c r="AG21"/>
  <c r="AH21"/>
  <c r="AG20"/>
  <c r="AH20"/>
  <c r="AG19"/>
  <c r="AH19"/>
  <c r="AG18"/>
  <c r="AH18"/>
  <c r="AG17"/>
  <c r="AH17"/>
  <c r="AG16"/>
  <c r="AH16"/>
  <c r="AG15"/>
  <c r="AH15"/>
  <c r="AL34"/>
  <c r="AM34"/>
  <c r="AL33"/>
  <c r="AM33"/>
  <c r="AL32"/>
  <c r="AM32"/>
  <c r="AL31"/>
  <c r="AM31"/>
  <c r="AL30"/>
  <c r="AM30"/>
  <c r="AL29"/>
  <c r="AM29"/>
  <c r="AL28"/>
  <c r="AM28"/>
  <c r="AL27"/>
  <c r="AM27"/>
  <c r="AL26"/>
  <c r="AM26"/>
  <c r="AL25"/>
  <c r="AM25"/>
  <c r="AL24"/>
  <c r="AM24"/>
  <c r="AL23"/>
  <c r="AM23"/>
  <c r="AL22"/>
  <c r="AM22"/>
  <c r="AL21"/>
  <c r="AM21"/>
  <c r="AL20"/>
  <c r="AM20"/>
  <c r="AL19"/>
  <c r="AM19"/>
  <c r="AL18"/>
  <c r="AM18"/>
  <c r="AL17"/>
  <c r="AM17"/>
  <c r="AL16"/>
  <c r="AM16"/>
  <c r="AL15"/>
  <c r="AM15"/>
  <c r="AQ34"/>
  <c r="AR34"/>
  <c r="AQ33"/>
  <c r="AR33"/>
  <c r="AQ32"/>
  <c r="AR32"/>
  <c r="AQ31"/>
  <c r="AR31"/>
  <c r="AQ30"/>
  <c r="AR30"/>
  <c r="AQ29"/>
  <c r="AR29"/>
  <c r="AQ28"/>
  <c r="AR28"/>
  <c r="AQ27"/>
  <c r="AR27"/>
  <c r="AQ26"/>
  <c r="AR26"/>
  <c r="AQ25"/>
  <c r="AR25"/>
  <c r="AQ24"/>
  <c r="AR24"/>
  <c r="AQ23"/>
  <c r="AR23"/>
  <c r="AQ22"/>
  <c r="AR22"/>
  <c r="AQ21"/>
  <c r="AR21"/>
  <c r="AQ20"/>
  <c r="AR20"/>
  <c r="AQ19"/>
  <c r="AR19"/>
  <c r="AQ18"/>
  <c r="AR18"/>
  <c r="AQ17"/>
  <c r="AR17"/>
  <c r="AQ16"/>
  <c r="AR16"/>
  <c r="AQ15"/>
  <c r="AR15"/>
  <c r="AV34"/>
  <c r="AW34"/>
  <c r="AV33"/>
  <c r="AW33"/>
  <c r="AV32"/>
  <c r="AW32"/>
  <c r="AV31"/>
  <c r="AW31"/>
  <c r="AV30"/>
  <c r="AW30"/>
  <c r="AV29"/>
  <c r="AW29"/>
  <c r="AV28"/>
  <c r="AW28"/>
  <c r="AV27"/>
  <c r="AW27"/>
  <c r="AV26"/>
  <c r="AW26"/>
  <c r="AV25"/>
  <c r="AW25"/>
  <c r="AV24"/>
  <c r="AW24"/>
  <c r="AV23"/>
  <c r="AW23"/>
  <c r="AV22"/>
  <c r="AW22"/>
  <c r="AV21"/>
  <c r="AW21"/>
  <c r="AV20"/>
  <c r="AW20"/>
  <c r="AV19"/>
  <c r="AW19"/>
  <c r="AV18"/>
  <c r="AW18"/>
  <c r="AV17"/>
  <c r="AW17"/>
  <c r="AV16"/>
  <c r="AW16"/>
  <c r="AV15"/>
  <c r="AW15"/>
  <c r="BA34"/>
  <c r="BB34"/>
  <c r="BA33"/>
  <c r="BB33"/>
  <c r="BA32"/>
  <c r="BB32"/>
  <c r="BA31"/>
  <c r="BB31"/>
  <c r="BA30"/>
  <c r="BB30"/>
  <c r="BA29"/>
  <c r="BB29"/>
  <c r="BA28"/>
  <c r="BB28"/>
  <c r="BA27"/>
  <c r="BB27"/>
  <c r="BA26"/>
  <c r="BB26"/>
  <c r="BA25"/>
  <c r="BB25"/>
  <c r="BA24"/>
  <c r="BB24"/>
  <c r="BA23"/>
  <c r="BB23"/>
  <c r="BA22"/>
  <c r="BB22"/>
  <c r="BA21"/>
  <c r="BB21"/>
  <c r="BA20"/>
  <c r="BB20"/>
  <c r="BA19"/>
  <c r="BB19"/>
  <c r="BA18"/>
  <c r="BB18"/>
  <c r="BA17"/>
  <c r="BB17"/>
  <c r="BA16"/>
  <c r="BB16"/>
  <c r="BA15"/>
  <c r="BB15"/>
  <c r="BF34"/>
  <c r="BG34"/>
  <c r="BF33"/>
  <c r="BG33"/>
  <c r="BF32"/>
  <c r="BG32"/>
  <c r="BF31"/>
  <c r="BG31"/>
  <c r="BF30"/>
  <c r="BG30"/>
  <c r="BF29"/>
  <c r="BG29"/>
  <c r="BF28"/>
  <c r="BG28"/>
  <c r="BF27"/>
  <c r="BG27"/>
  <c r="BF26"/>
  <c r="BG26"/>
  <c r="BF25"/>
  <c r="BG25"/>
  <c r="BF24"/>
  <c r="BG24"/>
  <c r="BF23"/>
  <c r="BG23"/>
  <c r="BF22"/>
  <c r="BG22"/>
  <c r="BF21"/>
  <c r="BG21"/>
  <c r="BF20"/>
  <c r="BG20"/>
  <c r="BF19"/>
  <c r="BG19"/>
  <c r="BF18"/>
  <c r="BG18"/>
  <c r="BF17"/>
  <c r="BG17"/>
  <c r="BF16"/>
  <c r="BG16"/>
  <c r="BF15"/>
  <c r="BG15"/>
  <c r="E21" i="16"/>
  <c r="E22"/>
  <c r="E20"/>
  <c r="B44" i="12"/>
  <c r="D44"/>
  <c r="AO12" i="21"/>
  <c r="K55" i="2"/>
  <c r="L55"/>
  <c r="M55"/>
  <c r="N55"/>
  <c r="O55"/>
  <c r="P55"/>
  <c r="K56"/>
  <c r="L56"/>
  <c r="M56"/>
  <c r="N56"/>
  <c r="O56"/>
  <c r="P56"/>
  <c r="K57"/>
  <c r="L57"/>
  <c r="M57"/>
  <c r="N57"/>
  <c r="O57"/>
  <c r="P57"/>
  <c r="K58"/>
  <c r="L58"/>
  <c r="M58"/>
  <c r="N58"/>
  <c r="O58"/>
  <c r="P58"/>
  <c r="K59"/>
  <c r="L59"/>
  <c r="M59"/>
  <c r="N59"/>
  <c r="O59"/>
  <c r="P59"/>
  <c r="K60"/>
  <c r="L60"/>
  <c r="M60"/>
  <c r="N60"/>
  <c r="O60"/>
  <c r="P60"/>
  <c r="K61"/>
  <c r="L61"/>
  <c r="M61"/>
  <c r="N61"/>
  <c r="O61"/>
  <c r="P61"/>
  <c r="K62"/>
  <c r="L62"/>
  <c r="M62"/>
  <c r="N62"/>
  <c r="O62"/>
  <c r="P62"/>
  <c r="K63"/>
  <c r="L63"/>
  <c r="M63"/>
  <c r="N63"/>
  <c r="O63"/>
  <c r="P63"/>
  <c r="K64"/>
  <c r="L64"/>
  <c r="M64"/>
  <c r="N64"/>
  <c r="O64"/>
  <c r="P64"/>
  <c r="K65"/>
  <c r="L65"/>
  <c r="M65"/>
  <c r="N65"/>
  <c r="O65"/>
  <c r="P65"/>
  <c r="K66"/>
  <c r="L66"/>
  <c r="M66"/>
  <c r="N66"/>
  <c r="O66"/>
  <c r="P66"/>
  <c r="K67"/>
  <c r="L67"/>
  <c r="M67"/>
  <c r="N67"/>
  <c r="O67"/>
  <c r="P67"/>
  <c r="K68"/>
  <c r="L68"/>
  <c r="M68"/>
  <c r="N68"/>
  <c r="O68"/>
  <c r="P68"/>
  <c r="K69"/>
  <c r="L69"/>
  <c r="M69"/>
  <c r="N69"/>
  <c r="O69"/>
  <c r="P69"/>
  <c r="K70"/>
  <c r="L70"/>
  <c r="M70"/>
  <c r="N70"/>
  <c r="O70"/>
  <c r="P70"/>
  <c r="K71"/>
  <c r="L71"/>
  <c r="M71"/>
  <c r="N71"/>
  <c r="O71"/>
  <c r="P71"/>
  <c r="K72"/>
  <c r="L72"/>
  <c r="M72"/>
  <c r="N72"/>
  <c r="O72"/>
  <c r="P72"/>
  <c r="K73"/>
  <c r="L73"/>
  <c r="M73"/>
  <c r="N73"/>
  <c r="O73"/>
  <c r="P73"/>
  <c r="F55"/>
  <c r="G55"/>
  <c r="F56"/>
  <c r="G56"/>
  <c r="F57"/>
  <c r="G57"/>
  <c r="F58"/>
  <c r="G58"/>
  <c r="F59"/>
  <c r="G59"/>
  <c r="F60"/>
  <c r="G60"/>
  <c r="F61"/>
  <c r="G61"/>
  <c r="F62"/>
  <c r="G62"/>
  <c r="F63"/>
  <c r="G63"/>
  <c r="F64"/>
  <c r="G64"/>
  <c r="F65"/>
  <c r="G65"/>
  <c r="F66"/>
  <c r="G66"/>
  <c r="F67"/>
  <c r="G67"/>
  <c r="F68"/>
  <c r="G68"/>
  <c r="F69"/>
  <c r="G69"/>
  <c r="F70"/>
  <c r="G70"/>
  <c r="F71"/>
  <c r="G71"/>
  <c r="F72"/>
  <c r="G72"/>
  <c r="F73"/>
  <c r="G73"/>
  <c r="B89" a="1"/>
  <c r="B98" s="1"/>
  <c r="C99" s="1"/>
  <c r="A128"/>
  <c r="A125"/>
  <c r="A126"/>
  <c r="A127"/>
  <c r="A118"/>
  <c r="A119"/>
  <c r="A120"/>
  <c r="A121"/>
  <c r="A122"/>
  <c r="A123"/>
  <c r="A124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89"/>
  <c r="L22" i="6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I50" i="2"/>
  <c r="D6" a="1"/>
  <c r="D6" s="1"/>
  <c r="D89" s="1"/>
  <c r="B6" a="1"/>
  <c r="D13" i="7"/>
  <c r="D14"/>
  <c r="D15"/>
  <c r="D12"/>
  <c r="D9"/>
  <c r="D10"/>
  <c r="D11"/>
  <c r="D8"/>
  <c r="D5"/>
  <c r="D6"/>
  <c r="D7"/>
  <c r="D4"/>
  <c r="G16" i="11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5"/>
  <c r="H11"/>
  <c r="H7"/>
  <c r="H52" s="1"/>
  <c r="J46"/>
  <c r="J15"/>
  <c r="H10"/>
  <c r="J18"/>
  <c r="J22"/>
  <c r="J26"/>
  <c r="J30"/>
  <c r="J34"/>
  <c r="J38"/>
  <c r="J54"/>
  <c r="J50"/>
  <c r="J114"/>
  <c r="J112"/>
  <c r="J110"/>
  <c r="J108"/>
  <c r="J106"/>
  <c r="J104"/>
  <c r="J102"/>
  <c r="J100"/>
  <c r="J98"/>
  <c r="J96"/>
  <c r="J94"/>
  <c r="J92"/>
  <c r="J90"/>
  <c r="J88"/>
  <c r="J86"/>
  <c r="J84"/>
  <c r="J82"/>
  <c r="J80"/>
  <c r="J78"/>
  <c r="J76"/>
  <c r="J74"/>
  <c r="J72"/>
  <c r="J70"/>
  <c r="J68"/>
  <c r="J66"/>
  <c r="J64"/>
  <c r="J62"/>
  <c r="J60"/>
  <c r="J58"/>
  <c r="J56"/>
  <c r="J53"/>
  <c r="J49"/>
  <c r="J45"/>
  <c r="J41"/>
  <c r="J37"/>
  <c r="J21"/>
  <c r="J25"/>
  <c r="J29"/>
  <c r="J33"/>
  <c r="J40"/>
  <c r="D251" i="9"/>
  <c r="C251"/>
  <c r="D250"/>
  <c r="C250"/>
  <c r="D249"/>
  <c r="C249"/>
  <c r="D248"/>
  <c r="C248"/>
  <c r="D247"/>
  <c r="C247"/>
  <c r="D246"/>
  <c r="C246"/>
  <c r="D245"/>
  <c r="C245"/>
  <c r="D244"/>
  <c r="C244"/>
  <c r="D243"/>
  <c r="C243"/>
  <c r="D242"/>
  <c r="C242"/>
  <c r="D241"/>
  <c r="C241"/>
  <c r="D240"/>
  <c r="C240"/>
  <c r="D239"/>
  <c r="C239"/>
  <c r="D238"/>
  <c r="C238"/>
  <c r="D237"/>
  <c r="C237"/>
  <c r="D236"/>
  <c r="C236"/>
  <c r="D235"/>
  <c r="C235"/>
  <c r="D234"/>
  <c r="C234"/>
  <c r="D233"/>
  <c r="C233"/>
  <c r="D232"/>
  <c r="C232"/>
  <c r="D231"/>
  <c r="C231"/>
  <c r="D230"/>
  <c r="C230"/>
  <c r="D229"/>
  <c r="C229"/>
  <c r="D228"/>
  <c r="C228"/>
  <c r="D227"/>
  <c r="C227"/>
  <c r="D226"/>
  <c r="C226"/>
  <c r="D225"/>
  <c r="C225"/>
  <c r="D224"/>
  <c r="C224"/>
  <c r="D223"/>
  <c r="C223"/>
  <c r="D222"/>
  <c r="C222"/>
  <c r="D221"/>
  <c r="C221"/>
  <c r="D220"/>
  <c r="C220"/>
  <c r="D219"/>
  <c r="C219"/>
  <c r="D218"/>
  <c r="C218"/>
  <c r="D217"/>
  <c r="C217"/>
  <c r="D216"/>
  <c r="C216"/>
  <c r="D215"/>
  <c r="C215"/>
  <c r="D214"/>
  <c r="C214"/>
  <c r="D213"/>
  <c r="C213"/>
  <c r="D212"/>
  <c r="C212"/>
  <c r="D211"/>
  <c r="C211"/>
  <c r="D210"/>
  <c r="C210"/>
  <c r="D209"/>
  <c r="C209"/>
  <c r="D208"/>
  <c r="C208"/>
  <c r="D207"/>
  <c r="C207"/>
  <c r="D206"/>
  <c r="C206"/>
  <c r="D205"/>
  <c r="C205"/>
  <c r="D204"/>
  <c r="C204"/>
  <c r="D203"/>
  <c r="C203"/>
  <c r="D202"/>
  <c r="C202"/>
  <c r="D201"/>
  <c r="C201"/>
  <c r="D200"/>
  <c r="C200"/>
  <c r="D199"/>
  <c r="C199"/>
  <c r="D198"/>
  <c r="C198"/>
  <c r="D197"/>
  <c r="C197"/>
  <c r="D196"/>
  <c r="C196"/>
  <c r="D195"/>
  <c r="C195"/>
  <c r="D194"/>
  <c r="C194"/>
  <c r="D193"/>
  <c r="C193"/>
  <c r="D192"/>
  <c r="C192"/>
  <c r="D191"/>
  <c r="C191"/>
  <c r="D190"/>
  <c r="C190"/>
  <c r="D189"/>
  <c r="C189"/>
  <c r="D188"/>
  <c r="C188"/>
  <c r="D187"/>
  <c r="C187"/>
  <c r="D186"/>
  <c r="C186"/>
  <c r="D185"/>
  <c r="C185"/>
  <c r="D184"/>
  <c r="C184"/>
  <c r="D183"/>
  <c r="C183"/>
  <c r="D182"/>
  <c r="C182"/>
  <c r="D181"/>
  <c r="C181"/>
  <c r="D180"/>
  <c r="C180"/>
  <c r="D179"/>
  <c r="C179"/>
  <c r="D178"/>
  <c r="C178"/>
  <c r="D177"/>
  <c r="C177"/>
  <c r="D176"/>
  <c r="C176"/>
  <c r="D175"/>
  <c r="C175"/>
  <c r="D174"/>
  <c r="C174"/>
  <c r="D173"/>
  <c r="C173"/>
  <c r="D172"/>
  <c r="C172"/>
  <c r="D171"/>
  <c r="C171"/>
  <c r="D170"/>
  <c r="C170"/>
  <c r="D169"/>
  <c r="C169"/>
  <c r="D168"/>
  <c r="C168"/>
  <c r="D167"/>
  <c r="C167"/>
  <c r="D166"/>
  <c r="C166"/>
  <c r="D165"/>
  <c r="C165"/>
  <c r="D164"/>
  <c r="C164"/>
  <c r="D163"/>
  <c r="C163"/>
  <c r="D162"/>
  <c r="C162"/>
  <c r="D161"/>
  <c r="C161"/>
  <c r="D160"/>
  <c r="C160"/>
  <c r="D159"/>
  <c r="C159"/>
  <c r="D158"/>
  <c r="C158"/>
  <c r="D157"/>
  <c r="C157"/>
  <c r="D156"/>
  <c r="C156"/>
  <c r="D155"/>
  <c r="C155"/>
  <c r="D154"/>
  <c r="C154"/>
  <c r="D153"/>
  <c r="C153"/>
  <c r="D152"/>
  <c r="C152"/>
  <c r="D151"/>
  <c r="C151"/>
  <c r="D150"/>
  <c r="C150"/>
  <c r="D149"/>
  <c r="C149"/>
  <c r="D148"/>
  <c r="C148"/>
  <c r="D147"/>
  <c r="C147"/>
  <c r="D146"/>
  <c r="C146"/>
  <c r="D145"/>
  <c r="C145"/>
  <c r="D144"/>
  <c r="C144"/>
  <c r="D143"/>
  <c r="C143"/>
  <c r="D142"/>
  <c r="C142"/>
  <c r="D141"/>
  <c r="C141"/>
  <c r="D140"/>
  <c r="C140"/>
  <c r="D139"/>
  <c r="C139"/>
  <c r="D138"/>
  <c r="C138"/>
  <c r="D137"/>
  <c r="C137"/>
  <c r="D136"/>
  <c r="C136"/>
  <c r="D135"/>
  <c r="C135"/>
  <c r="D134"/>
  <c r="C134"/>
  <c r="D133"/>
  <c r="C133"/>
  <c r="D132"/>
  <c r="C132"/>
  <c r="D131"/>
  <c r="C131"/>
  <c r="D130"/>
  <c r="C130"/>
  <c r="D129"/>
  <c r="C129"/>
  <c r="D128"/>
  <c r="C128"/>
  <c r="D127"/>
  <c r="C127"/>
  <c r="D126"/>
  <c r="C126"/>
  <c r="D125"/>
  <c r="C125"/>
  <c r="D124"/>
  <c r="C124"/>
  <c r="D123"/>
  <c r="C123"/>
  <c r="D122"/>
  <c r="C122"/>
  <c r="D121"/>
  <c r="C121"/>
  <c r="D120"/>
  <c r="C120"/>
  <c r="D119"/>
  <c r="C119"/>
  <c r="D118"/>
  <c r="C118"/>
  <c r="D117"/>
  <c r="C117"/>
  <c r="D116"/>
  <c r="C116"/>
  <c r="D115"/>
  <c r="C115"/>
  <c r="D114"/>
  <c r="C114"/>
  <c r="D113"/>
  <c r="C113"/>
  <c r="D112"/>
  <c r="C112"/>
  <c r="D111"/>
  <c r="C111"/>
  <c r="D110"/>
  <c r="C110"/>
  <c r="D109"/>
  <c r="C109"/>
  <c r="D108"/>
  <c r="C108"/>
  <c r="D107"/>
  <c r="C107"/>
  <c r="D106"/>
  <c r="C106"/>
  <c r="D105"/>
  <c r="C105"/>
  <c r="D104"/>
  <c r="C104"/>
  <c r="D103"/>
  <c r="C103"/>
  <c r="D102"/>
  <c r="C102"/>
  <c r="D101"/>
  <c r="C101"/>
  <c r="D100"/>
  <c r="C100"/>
  <c r="D99"/>
  <c r="C99"/>
  <c r="D98"/>
  <c r="C98"/>
  <c r="D97"/>
  <c r="C97"/>
  <c r="D96"/>
  <c r="C96"/>
  <c r="D95"/>
  <c r="C95"/>
  <c r="D94"/>
  <c r="C94"/>
  <c r="D93"/>
  <c r="C93"/>
  <c r="D92"/>
  <c r="C92"/>
  <c r="D91"/>
  <c r="C91"/>
  <c r="D90"/>
  <c r="C90"/>
  <c r="D89"/>
  <c r="C89"/>
  <c r="D88"/>
  <c r="C88"/>
  <c r="D87"/>
  <c r="C87"/>
  <c r="D86"/>
  <c r="C86"/>
  <c r="D85"/>
  <c r="C85"/>
  <c r="D84"/>
  <c r="C84"/>
  <c r="D83"/>
  <c r="C83"/>
  <c r="D82"/>
  <c r="C82"/>
  <c r="D81"/>
  <c r="C81"/>
  <c r="D80"/>
  <c r="C80"/>
  <c r="D79"/>
  <c r="C79"/>
  <c r="D78"/>
  <c r="C78"/>
  <c r="D77"/>
  <c r="C77"/>
  <c r="D76"/>
  <c r="C76"/>
  <c r="D75"/>
  <c r="C75"/>
  <c r="D74"/>
  <c r="C74"/>
  <c r="D73"/>
  <c r="C73"/>
  <c r="D72"/>
  <c r="C72"/>
  <c r="D71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D59"/>
  <c r="C59"/>
  <c r="D58"/>
  <c r="C58"/>
  <c r="D57"/>
  <c r="C57"/>
  <c r="D56"/>
  <c r="C56"/>
  <c r="D55"/>
  <c r="C55"/>
  <c r="D54"/>
  <c r="C54"/>
  <c r="D53"/>
  <c r="C53"/>
  <c r="D52"/>
  <c r="C52"/>
  <c r="D51"/>
  <c r="C51"/>
  <c r="D50"/>
  <c r="C50"/>
  <c r="D49"/>
  <c r="C49"/>
  <c r="D48"/>
  <c r="C48"/>
  <c r="D47"/>
  <c r="C47"/>
  <c r="D46"/>
  <c r="C46"/>
  <c r="D45"/>
  <c r="C45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D19" i="7"/>
  <c r="D17"/>
  <c r="D18"/>
  <c r="E11"/>
  <c r="A6"/>
  <c r="K22" i="6"/>
  <c r="U62"/>
  <c r="V62"/>
  <c r="W62"/>
  <c r="AD62"/>
  <c r="J62"/>
  <c r="U44"/>
  <c r="V44"/>
  <c r="W44"/>
  <c r="AD44"/>
  <c r="C82" i="2"/>
  <c r="C81"/>
  <c r="C80"/>
  <c r="C79"/>
  <c r="C78"/>
  <c r="C77"/>
  <c r="C76"/>
  <c r="C74"/>
  <c r="B74"/>
  <c r="C75"/>
  <c r="C73"/>
  <c r="U29" i="6"/>
  <c r="V29"/>
  <c r="W29"/>
  <c r="AD29"/>
  <c r="J29"/>
  <c r="J3"/>
  <c r="B24"/>
  <c r="B23"/>
  <c r="C35"/>
  <c r="D35"/>
  <c r="E7" i="7"/>
  <c r="D20"/>
  <c r="E15"/>
  <c r="C52" i="2"/>
  <c r="C51"/>
  <c r="C30" i="6"/>
  <c r="D30"/>
  <c r="C32"/>
  <c r="D32"/>
  <c r="C34"/>
  <c r="D34"/>
  <c r="C31"/>
  <c r="D31"/>
  <c r="C33"/>
  <c r="D33"/>
  <c r="J60"/>
  <c r="J42"/>
  <c r="J43"/>
  <c r="J61"/>
  <c r="F76" i="2"/>
  <c r="G76"/>
  <c r="F54"/>
  <c r="G54"/>
  <c r="F79"/>
  <c r="G79"/>
  <c r="F75"/>
  <c r="G75"/>
  <c r="F82"/>
  <c r="G82"/>
  <c r="F78"/>
  <c r="G78"/>
  <c r="F74"/>
  <c r="G74"/>
  <c r="F81"/>
  <c r="G81"/>
  <c r="F77"/>
  <c r="G77"/>
  <c r="F80"/>
  <c r="G80"/>
  <c r="D37" i="6"/>
  <c r="D36"/>
  <c r="I51" i="2"/>
  <c r="I52"/>
  <c r="O80"/>
  <c r="M80"/>
  <c r="K80"/>
  <c r="O79"/>
  <c r="M79"/>
  <c r="K79"/>
  <c r="O78"/>
  <c r="M78"/>
  <c r="K78"/>
  <c r="O77"/>
  <c r="M77"/>
  <c r="K77"/>
  <c r="O76"/>
  <c r="M76"/>
  <c r="K76"/>
  <c r="O75"/>
  <c r="M75"/>
  <c r="K75"/>
  <c r="O74"/>
  <c r="M74"/>
  <c r="K74"/>
  <c r="O54"/>
  <c r="M54"/>
  <c r="K54"/>
  <c r="O53"/>
  <c r="M53"/>
  <c r="K53"/>
  <c r="O52"/>
  <c r="M52"/>
  <c r="K52"/>
  <c r="P80"/>
  <c r="N80"/>
  <c r="L80"/>
  <c r="P79"/>
  <c r="N79"/>
  <c r="L79"/>
  <c r="P78"/>
  <c r="N78"/>
  <c r="L78"/>
  <c r="P77"/>
  <c r="N77"/>
  <c r="L77"/>
  <c r="P76"/>
  <c r="N76"/>
  <c r="L76"/>
  <c r="P75"/>
  <c r="N75"/>
  <c r="L75"/>
  <c r="P74"/>
  <c r="N74"/>
  <c r="L74"/>
  <c r="P54"/>
  <c r="N54"/>
  <c r="L54"/>
  <c r="P53"/>
  <c r="N53"/>
  <c r="L53"/>
  <c r="P52"/>
  <c r="N52"/>
  <c r="L52"/>
  <c r="B89"/>
  <c r="C90" s="1"/>
  <c r="D45"/>
  <c r="D128" s="1"/>
  <c r="D33"/>
  <c r="D116" s="1"/>
  <c r="D43"/>
  <c r="D126" s="1"/>
  <c r="D27"/>
  <c r="D110" s="1"/>
  <c r="D11"/>
  <c r="D94" s="1"/>
  <c r="D40"/>
  <c r="D123" s="1"/>
  <c r="D32"/>
  <c r="D115" s="1"/>
  <c r="D24"/>
  <c r="D107" s="1"/>
  <c r="D16"/>
  <c r="D99" s="1"/>
  <c r="D8"/>
  <c r="D91" s="1"/>
  <c r="J44" i="11"/>
  <c r="J35"/>
  <c r="J31"/>
  <c r="J27"/>
  <c r="J23"/>
  <c r="J19"/>
  <c r="J39"/>
  <c r="J43"/>
  <c r="J47"/>
  <c r="J51"/>
  <c r="J55"/>
  <c r="J57"/>
  <c r="J59"/>
  <c r="J61"/>
  <c r="J63"/>
  <c r="J65"/>
  <c r="J67"/>
  <c r="J69"/>
  <c r="J71"/>
  <c r="J73"/>
  <c r="J75"/>
  <c r="J77"/>
  <c r="J79"/>
  <c r="J81"/>
  <c r="J83"/>
  <c r="J85"/>
  <c r="J87"/>
  <c r="J89"/>
  <c r="J91"/>
  <c r="J93"/>
  <c r="J95"/>
  <c r="J97"/>
  <c r="J99"/>
  <c r="J101"/>
  <c r="J103"/>
  <c r="J105"/>
  <c r="J107"/>
  <c r="J109"/>
  <c r="J111"/>
  <c r="J113"/>
  <c r="J48"/>
  <c r="J52"/>
  <c r="J42"/>
  <c r="J36"/>
  <c r="J32"/>
  <c r="J28"/>
  <c r="J24"/>
  <c r="J20"/>
  <c r="J16"/>
  <c r="J17"/>
  <c r="J14"/>
  <c r="B102" i="2"/>
  <c r="C103" s="1"/>
  <c r="H82" i="11" l="1"/>
  <c r="B12" i="21"/>
  <c r="AN12"/>
  <c r="AL12"/>
  <c r="AJ12"/>
  <c r="AH12"/>
  <c r="AF12"/>
  <c r="AD12"/>
  <c r="AB12"/>
  <c r="Z12"/>
  <c r="X12"/>
  <c r="V12"/>
  <c r="T12"/>
  <c r="R12"/>
  <c r="P12"/>
  <c r="N12"/>
  <c r="L12"/>
  <c r="J12"/>
  <c r="H12"/>
  <c r="F12"/>
  <c r="D12"/>
  <c r="AM12"/>
  <c r="AK12"/>
  <c r="AI12"/>
  <c r="AG12"/>
  <c r="AE12"/>
  <c r="AC12"/>
  <c r="AA12"/>
  <c r="Y12"/>
  <c r="W12"/>
  <c r="U12"/>
  <c r="S12"/>
  <c r="Q12"/>
  <c r="O12"/>
  <c r="M12"/>
  <c r="K12"/>
  <c r="I12"/>
  <c r="G12"/>
  <c r="E12"/>
  <c r="C12"/>
  <c r="H112" i="11"/>
  <c r="H45"/>
  <c r="H96"/>
  <c r="H19"/>
  <c r="H66"/>
  <c r="H88"/>
  <c r="H104"/>
  <c r="H30"/>
  <c r="H35"/>
  <c r="H58"/>
  <c r="H74"/>
  <c r="L15"/>
  <c r="L16" s="1"/>
  <c r="S15"/>
  <c r="S16" s="1"/>
  <c r="S17" s="1"/>
  <c r="S18" s="1"/>
  <c r="S19" s="1"/>
  <c r="S20" s="1"/>
  <c r="S21" s="1"/>
  <c r="S22" s="1"/>
  <c r="S23" s="1"/>
  <c r="S24" s="1"/>
  <c r="S25" s="1"/>
  <c r="S26" s="1"/>
  <c r="S27" s="1"/>
  <c r="S28" s="1"/>
  <c r="S29" s="1"/>
  <c r="S30" s="1"/>
  <c r="S31" s="1"/>
  <c r="S32" s="1"/>
  <c r="S33" s="1"/>
  <c r="S34" s="1"/>
  <c r="S35" s="1"/>
  <c r="S36" s="1"/>
  <c r="S37" s="1"/>
  <c r="S38" s="1"/>
  <c r="S39" s="1"/>
  <c r="S40" s="1"/>
  <c r="S41" s="1"/>
  <c r="S42" s="1"/>
  <c r="S43" s="1"/>
  <c r="S44" s="1"/>
  <c r="S45" s="1"/>
  <c r="S46" s="1"/>
  <c r="S47" s="1"/>
  <c r="S48" s="1"/>
  <c r="S49" s="1"/>
  <c r="S50" s="1"/>
  <c r="S51" s="1"/>
  <c r="S52" s="1"/>
  <c r="S53" s="1"/>
  <c r="S54" s="1"/>
  <c r="D12" i="2"/>
  <c r="D95" s="1"/>
  <c r="D20"/>
  <c r="D103" s="1"/>
  <c r="D28"/>
  <c r="D111" s="1"/>
  <c r="D36"/>
  <c r="D119" s="1"/>
  <c r="D44"/>
  <c r="D127" s="1"/>
  <c r="D19"/>
  <c r="D102" s="1"/>
  <c r="D35"/>
  <c r="D118" s="1"/>
  <c r="D17"/>
  <c r="D100" s="1"/>
  <c r="D13"/>
  <c r="D96" s="1"/>
  <c r="D37"/>
  <c r="D120" s="1"/>
  <c r="B118"/>
  <c r="C119" s="1"/>
  <c r="D10"/>
  <c r="D93" s="1"/>
  <c r="D14"/>
  <c r="D97" s="1"/>
  <c r="D18"/>
  <c r="D101" s="1"/>
  <c r="D22"/>
  <c r="D105" s="1"/>
  <c r="D26"/>
  <c r="D109" s="1"/>
  <c r="D30"/>
  <c r="D113" s="1"/>
  <c r="D34"/>
  <c r="D117" s="1"/>
  <c r="D38"/>
  <c r="D121" s="1"/>
  <c r="D42"/>
  <c r="D125" s="1"/>
  <c r="D7"/>
  <c r="D90" s="1"/>
  <c r="D15"/>
  <c r="D98" s="1"/>
  <c r="D23"/>
  <c r="D106" s="1"/>
  <c r="D31"/>
  <c r="D114" s="1"/>
  <c r="D39"/>
  <c r="D122" s="1"/>
  <c r="D9"/>
  <c r="D92" s="1"/>
  <c r="D25"/>
  <c r="D108" s="1"/>
  <c r="D41"/>
  <c r="D124" s="1"/>
  <c r="D29"/>
  <c r="D112" s="1"/>
  <c r="D21"/>
  <c r="D104" s="1"/>
  <c r="B126"/>
  <c r="C127" s="1"/>
  <c r="B110"/>
  <c r="C111" s="1"/>
  <c r="B123"/>
  <c r="C124" s="1"/>
  <c r="B94"/>
  <c r="C95" s="1"/>
  <c r="B92"/>
  <c r="C93" s="1"/>
  <c r="B122"/>
  <c r="C123" s="1"/>
  <c r="B114"/>
  <c r="C115" s="1"/>
  <c r="B106"/>
  <c r="B127"/>
  <c r="C128" s="1"/>
  <c r="B119"/>
  <c r="C120" s="1"/>
  <c r="B90"/>
  <c r="C91" s="1"/>
  <c r="T15" i="11"/>
  <c r="T16" s="1"/>
  <c r="T17" s="1"/>
  <c r="T18" s="1"/>
  <c r="T19" s="1"/>
  <c r="T20" s="1"/>
  <c r="T21" s="1"/>
  <c r="T22" s="1"/>
  <c r="T23" s="1"/>
  <c r="T24" s="1"/>
  <c r="T25" s="1"/>
  <c r="T26" s="1"/>
  <c r="T27" s="1"/>
  <c r="T28" s="1"/>
  <c r="T29" s="1"/>
  <c r="T30" s="1"/>
  <c r="T31" s="1"/>
  <c r="T32" s="1"/>
  <c r="T33" s="1"/>
  <c r="T34" s="1"/>
  <c r="T35" s="1"/>
  <c r="T36" s="1"/>
  <c r="T37" s="1"/>
  <c r="T38" s="1"/>
  <c r="T39" s="1"/>
  <c r="T40" s="1"/>
  <c r="T41" s="1"/>
  <c r="T42" s="1"/>
  <c r="T43" s="1"/>
  <c r="T44" s="1"/>
  <c r="T45" s="1"/>
  <c r="T46" s="1"/>
  <c r="T47" s="1"/>
  <c r="T48" s="1"/>
  <c r="T49" s="1"/>
  <c r="T50" s="1"/>
  <c r="T51" s="1"/>
  <c r="T52" s="1"/>
  <c r="T53" s="1"/>
  <c r="T54" s="1"/>
  <c r="Q15"/>
  <c r="Q16" s="1"/>
  <c r="Q17" s="1"/>
  <c r="Q18" s="1"/>
  <c r="Q19" s="1"/>
  <c r="Q20" s="1"/>
  <c r="Q21" s="1"/>
  <c r="Q22" s="1"/>
  <c r="Q23" s="1"/>
  <c r="Q24" s="1"/>
  <c r="Q25" s="1"/>
  <c r="Q26" s="1"/>
  <c r="Q27" s="1"/>
  <c r="Q28" s="1"/>
  <c r="Q29" s="1"/>
  <c r="Q30" s="1"/>
  <c r="Q31" s="1"/>
  <c r="Q32" s="1"/>
  <c r="Q33" s="1"/>
  <c r="Q34" s="1"/>
  <c r="Q35" s="1"/>
  <c r="Q36" s="1"/>
  <c r="Q37" s="1"/>
  <c r="Q38" s="1"/>
  <c r="Q39" s="1"/>
  <c r="Q40" s="1"/>
  <c r="Q41" s="1"/>
  <c r="Q42" s="1"/>
  <c r="Q43" s="1"/>
  <c r="Q44" s="1"/>
  <c r="Q45" s="1"/>
  <c r="Q46" s="1"/>
  <c r="Q47" s="1"/>
  <c r="Q48" s="1"/>
  <c r="Q49" s="1"/>
  <c r="Q50" s="1"/>
  <c r="Q51" s="1"/>
  <c r="Q52" s="1"/>
  <c r="Q53" s="1"/>
  <c r="Q54" s="1"/>
  <c r="H92"/>
  <c r="H100"/>
  <c r="H108"/>
  <c r="H50"/>
  <c r="H22"/>
  <c r="H40"/>
  <c r="H27"/>
  <c r="H37"/>
  <c r="H53"/>
  <c r="H62"/>
  <c r="H70"/>
  <c r="H78"/>
  <c r="Z14" i="21"/>
  <c r="J14"/>
  <c r="AH14"/>
  <c r="R14"/>
  <c r="AL14"/>
  <c r="AD14"/>
  <c r="V14"/>
  <c r="N14"/>
  <c r="F14"/>
  <c r="AN14"/>
  <c r="AJ14"/>
  <c r="AF14"/>
  <c r="AB14"/>
  <c r="X14"/>
  <c r="T14"/>
  <c r="P14"/>
  <c r="L14"/>
  <c r="H14"/>
  <c r="D14"/>
  <c r="AO14"/>
  <c r="AM14"/>
  <c r="AK14"/>
  <c r="AI14"/>
  <c r="AG14"/>
  <c r="AE14"/>
  <c r="AC14"/>
  <c r="AA14"/>
  <c r="Y14"/>
  <c r="W14"/>
  <c r="U14"/>
  <c r="S14"/>
  <c r="Q14"/>
  <c r="O14"/>
  <c r="M14"/>
  <c r="K14"/>
  <c r="I14"/>
  <c r="G14"/>
  <c r="E14"/>
  <c r="C14"/>
  <c r="B14"/>
  <c r="E27" i="20" a="1"/>
  <c r="D32" i="21"/>
  <c r="D33" s="1"/>
  <c r="F32"/>
  <c r="F33" s="1"/>
  <c r="H32"/>
  <c r="H33" s="1"/>
  <c r="J32"/>
  <c r="J33" s="1"/>
  <c r="L32"/>
  <c r="L33" s="1"/>
  <c r="N32"/>
  <c r="N33" s="1"/>
  <c r="P32"/>
  <c r="P33" s="1"/>
  <c r="R32"/>
  <c r="R33" s="1"/>
  <c r="T32"/>
  <c r="T33" s="1"/>
  <c r="V32"/>
  <c r="V33" s="1"/>
  <c r="X32"/>
  <c r="X33" s="1"/>
  <c r="Z32"/>
  <c r="Z33" s="1"/>
  <c r="AB32"/>
  <c r="AB33" s="1"/>
  <c r="AD32"/>
  <c r="AD33" s="1"/>
  <c r="AF32"/>
  <c r="AF33" s="1"/>
  <c r="AH32"/>
  <c r="AH33" s="1"/>
  <c r="AJ32"/>
  <c r="AJ33" s="1"/>
  <c r="AL32"/>
  <c r="AL33" s="1"/>
  <c r="AN32"/>
  <c r="AN33" s="1"/>
  <c r="C32"/>
  <c r="C33" s="1"/>
  <c r="E32"/>
  <c r="E33" s="1"/>
  <c r="G32"/>
  <c r="G33" s="1"/>
  <c r="I32"/>
  <c r="I33" s="1"/>
  <c r="K32"/>
  <c r="K33" s="1"/>
  <c r="M32"/>
  <c r="M33" s="1"/>
  <c r="O32"/>
  <c r="O33" s="1"/>
  <c r="Q32"/>
  <c r="Q33" s="1"/>
  <c r="S32"/>
  <c r="S33" s="1"/>
  <c r="U32"/>
  <c r="U33" s="1"/>
  <c r="W32"/>
  <c r="W33" s="1"/>
  <c r="Y32"/>
  <c r="Y33" s="1"/>
  <c r="AA32"/>
  <c r="AA33" s="1"/>
  <c r="AC32"/>
  <c r="AC33" s="1"/>
  <c r="AE32"/>
  <c r="AE33" s="1"/>
  <c r="AG32"/>
  <c r="AG33" s="1"/>
  <c r="AI32"/>
  <c r="AI33" s="1"/>
  <c r="AK32"/>
  <c r="AK33" s="1"/>
  <c r="AM32"/>
  <c r="AM33" s="1"/>
  <c r="B32"/>
  <c r="B33" s="1"/>
  <c r="P15" i="11"/>
  <c r="P16" s="1"/>
  <c r="P17" s="1"/>
  <c r="P18" s="1"/>
  <c r="P19" s="1"/>
  <c r="P20" s="1"/>
  <c r="P21" s="1"/>
  <c r="P22" s="1"/>
  <c r="P23" s="1"/>
  <c r="P24" s="1"/>
  <c r="P25" s="1"/>
  <c r="P26" s="1"/>
  <c r="P27" s="1"/>
  <c r="P28" s="1"/>
  <c r="P29" s="1"/>
  <c r="P30" s="1"/>
  <c r="P31" s="1"/>
  <c r="P32" s="1"/>
  <c r="P33" s="1"/>
  <c r="P34" s="1"/>
  <c r="P35" s="1"/>
  <c r="P36" s="1"/>
  <c r="P37" s="1"/>
  <c r="P38" s="1"/>
  <c r="P39" s="1"/>
  <c r="P40" s="1"/>
  <c r="P41" s="1"/>
  <c r="P42" s="1"/>
  <c r="P43" s="1"/>
  <c r="P44" s="1"/>
  <c r="P45" s="1"/>
  <c r="P46" s="1"/>
  <c r="P47" s="1"/>
  <c r="P48" s="1"/>
  <c r="P49" s="1"/>
  <c r="P50" s="1"/>
  <c r="P51" s="1"/>
  <c r="P52" s="1"/>
  <c r="P53" s="1"/>
  <c r="P54" s="1"/>
  <c r="M15"/>
  <c r="M16" s="1"/>
  <c r="M17" s="1"/>
  <c r="M18" s="1"/>
  <c r="M19" s="1"/>
  <c r="M20" s="1"/>
  <c r="M21" s="1"/>
  <c r="M22" s="1"/>
  <c r="M23" s="1"/>
  <c r="M24" s="1"/>
  <c r="M25" s="1"/>
  <c r="M26" s="1"/>
  <c r="M27" s="1"/>
  <c r="M28" s="1"/>
  <c r="M29" s="1"/>
  <c r="M30" s="1"/>
  <c r="M31" s="1"/>
  <c r="M32" s="1"/>
  <c r="M33" s="1"/>
  <c r="M34" s="1"/>
  <c r="M35" s="1"/>
  <c r="M36" s="1"/>
  <c r="M37" s="1"/>
  <c r="M38" s="1"/>
  <c r="M39" s="1"/>
  <c r="M40" s="1"/>
  <c r="M41" s="1"/>
  <c r="M42" s="1"/>
  <c r="M43" s="1"/>
  <c r="M44" s="1"/>
  <c r="M45" s="1"/>
  <c r="M46" s="1"/>
  <c r="M47" s="1"/>
  <c r="M48" s="1"/>
  <c r="M49" s="1"/>
  <c r="M50" s="1"/>
  <c r="M51" s="1"/>
  <c r="M52" s="1"/>
  <c r="M53" s="1"/>
  <c r="M54" s="1"/>
  <c r="U15"/>
  <c r="U16" s="1"/>
  <c r="U17" s="1"/>
  <c r="U18" s="1"/>
  <c r="U19" s="1"/>
  <c r="U20" s="1"/>
  <c r="U21" s="1"/>
  <c r="U22" s="1"/>
  <c r="U23" s="1"/>
  <c r="U24" s="1"/>
  <c r="U25" s="1"/>
  <c r="U26" s="1"/>
  <c r="U27" s="1"/>
  <c r="U28" s="1"/>
  <c r="U29" s="1"/>
  <c r="U30" s="1"/>
  <c r="U31" s="1"/>
  <c r="U32" s="1"/>
  <c r="U33" s="1"/>
  <c r="U34" s="1"/>
  <c r="U35" s="1"/>
  <c r="U36" s="1"/>
  <c r="U37" s="1"/>
  <c r="U38" s="1"/>
  <c r="U39" s="1"/>
  <c r="U40" s="1"/>
  <c r="U41" s="1"/>
  <c r="U42" s="1"/>
  <c r="U43" s="1"/>
  <c r="U44" s="1"/>
  <c r="U45" s="1"/>
  <c r="U46" s="1"/>
  <c r="U47" s="1"/>
  <c r="U48" s="1"/>
  <c r="U49" s="1"/>
  <c r="U50" s="1"/>
  <c r="U51" s="1"/>
  <c r="U52" s="1"/>
  <c r="U53" s="1"/>
  <c r="U54" s="1"/>
  <c r="N15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R15"/>
  <c r="R16" s="1"/>
  <c r="R17" s="1"/>
  <c r="R18" s="1"/>
  <c r="R19" s="1"/>
  <c r="R20" s="1"/>
  <c r="R21" s="1"/>
  <c r="R22" s="1"/>
  <c r="R23" s="1"/>
  <c r="R24" s="1"/>
  <c r="R25" s="1"/>
  <c r="R26" s="1"/>
  <c r="R27" s="1"/>
  <c r="R28" s="1"/>
  <c r="R29" s="1"/>
  <c r="R30" s="1"/>
  <c r="R31" s="1"/>
  <c r="R32" s="1"/>
  <c r="R33" s="1"/>
  <c r="R34" s="1"/>
  <c r="R35" s="1"/>
  <c r="R36" s="1"/>
  <c r="R37" s="1"/>
  <c r="R38" s="1"/>
  <c r="R39" s="1"/>
  <c r="R40" s="1"/>
  <c r="R41" s="1"/>
  <c r="R42" s="1"/>
  <c r="R43" s="1"/>
  <c r="R44" s="1"/>
  <c r="R45" s="1"/>
  <c r="R46" s="1"/>
  <c r="R47" s="1"/>
  <c r="R48" s="1"/>
  <c r="R49" s="1"/>
  <c r="R50" s="1"/>
  <c r="R51" s="1"/>
  <c r="R52" s="1"/>
  <c r="R53" s="1"/>
  <c r="R54" s="1"/>
  <c r="O15"/>
  <c r="O16" s="1"/>
  <c r="O17" s="1"/>
  <c r="O18" s="1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O38" s="1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O52" s="1"/>
  <c r="O53" s="1"/>
  <c r="O54" s="1"/>
  <c r="H90"/>
  <c r="H94"/>
  <c r="H98"/>
  <c r="H102"/>
  <c r="H106"/>
  <c r="H110"/>
  <c r="H114"/>
  <c r="H54"/>
  <c r="H18"/>
  <c r="H26"/>
  <c r="H34"/>
  <c r="H15"/>
  <c r="I15" s="1"/>
  <c r="H23"/>
  <c r="H31"/>
  <c r="H42"/>
  <c r="H41"/>
  <c r="H49"/>
  <c r="H56"/>
  <c r="H60"/>
  <c r="H64"/>
  <c r="H68"/>
  <c r="H72"/>
  <c r="H76"/>
  <c r="H80"/>
  <c r="H84"/>
  <c r="H89"/>
  <c r="H97"/>
  <c r="H105"/>
  <c r="H113"/>
  <c r="B22" i="21"/>
  <c r="B21"/>
  <c r="H86" i="11"/>
  <c r="H93"/>
  <c r="H101"/>
  <c r="H109"/>
  <c r="E96" i="20"/>
  <c r="E106" s="1"/>
  <c r="I95"/>
  <c r="G95"/>
  <c r="B6" i="2"/>
  <c r="C7" s="1"/>
  <c r="B43"/>
  <c r="C44" s="1"/>
  <c r="B41"/>
  <c r="C42" s="1"/>
  <c r="B39"/>
  <c r="C40" s="1"/>
  <c r="B37"/>
  <c r="C38" s="1"/>
  <c r="B35"/>
  <c r="C36" s="1"/>
  <c r="B33"/>
  <c r="C34" s="1"/>
  <c r="B31"/>
  <c r="C32" s="1"/>
  <c r="B29"/>
  <c r="C30" s="1"/>
  <c r="B27"/>
  <c r="C28" s="1"/>
  <c r="B25"/>
  <c r="C26" s="1"/>
  <c r="B23"/>
  <c r="C24" s="1"/>
  <c r="B21"/>
  <c r="C22" s="1"/>
  <c r="B19"/>
  <c r="C20" s="1"/>
  <c r="B17"/>
  <c r="C18" s="1"/>
  <c r="B15"/>
  <c r="C16" s="1"/>
  <c r="B13"/>
  <c r="C14" s="1"/>
  <c r="B11"/>
  <c r="C12" s="1"/>
  <c r="B9"/>
  <c r="C10" s="1"/>
  <c r="B7"/>
  <c r="B44"/>
  <c r="C45" s="1"/>
  <c r="B42"/>
  <c r="C43" s="1"/>
  <c r="B40"/>
  <c r="C41" s="1"/>
  <c r="B38"/>
  <c r="C39" s="1"/>
  <c r="B36"/>
  <c r="C37" s="1"/>
  <c r="B34"/>
  <c r="C35" s="1"/>
  <c r="B32"/>
  <c r="C33" s="1"/>
  <c r="B30"/>
  <c r="C31" s="1"/>
  <c r="B28"/>
  <c r="C29" s="1"/>
  <c r="B26"/>
  <c r="C27" s="1"/>
  <c r="B24"/>
  <c r="C25" s="1"/>
  <c r="B22"/>
  <c r="C23" s="1"/>
  <c r="B20"/>
  <c r="C21" s="1"/>
  <c r="B18"/>
  <c r="C19" s="1"/>
  <c r="B16"/>
  <c r="C17" s="1"/>
  <c r="B14"/>
  <c r="C15" s="1"/>
  <c r="B12"/>
  <c r="C13" s="1"/>
  <c r="B10"/>
  <c r="C11" s="1"/>
  <c r="B8"/>
  <c r="C9" s="1"/>
  <c r="B45"/>
  <c r="B96"/>
  <c r="C97" s="1"/>
  <c r="B128"/>
  <c r="E14" i="9" s="1"/>
  <c r="B124" i="2"/>
  <c r="C125" s="1"/>
  <c r="B120"/>
  <c r="C121" s="1"/>
  <c r="B116"/>
  <c r="C117" s="1"/>
  <c r="B112"/>
  <c r="C113" s="1"/>
  <c r="B108"/>
  <c r="C109" s="1"/>
  <c r="B104"/>
  <c r="C105" s="1"/>
  <c r="B100"/>
  <c r="C101" s="1"/>
  <c r="B125"/>
  <c r="C126" s="1"/>
  <c r="B121"/>
  <c r="C122" s="1"/>
  <c r="B117"/>
  <c r="C118" s="1"/>
  <c r="B113"/>
  <c r="C114" s="1"/>
  <c r="B109"/>
  <c r="C110" s="1"/>
  <c r="B105"/>
  <c r="C106" s="1"/>
  <c r="B101"/>
  <c r="C102" s="1"/>
  <c r="B97"/>
  <c r="C98" s="1"/>
  <c r="B93"/>
  <c r="C94" s="1"/>
  <c r="B91"/>
  <c r="C92" s="1"/>
  <c r="B95"/>
  <c r="C96" s="1"/>
  <c r="B99"/>
  <c r="C100" s="1"/>
  <c r="B103"/>
  <c r="C104" s="1"/>
  <c r="B107"/>
  <c r="C108" s="1"/>
  <c r="B111"/>
  <c r="C112" s="1"/>
  <c r="B115"/>
  <c r="C116" s="1"/>
  <c r="J44" i="6" s="1"/>
  <c r="H48" i="11"/>
  <c r="H111"/>
  <c r="H107"/>
  <c r="H103"/>
  <c r="H99"/>
  <c r="H95"/>
  <c r="H91"/>
  <c r="H87"/>
  <c r="H85"/>
  <c r="H83"/>
  <c r="H81"/>
  <c r="H79"/>
  <c r="H77"/>
  <c r="H75"/>
  <c r="H73"/>
  <c r="H71"/>
  <c r="H69"/>
  <c r="H67"/>
  <c r="H65"/>
  <c r="H63"/>
  <c r="H61"/>
  <c r="H59"/>
  <c r="H57"/>
  <c r="H55"/>
  <c r="H51"/>
  <c r="H47"/>
  <c r="H43"/>
  <c r="H39"/>
  <c r="H46"/>
  <c r="H38"/>
  <c r="H33"/>
  <c r="H29"/>
  <c r="H25"/>
  <c r="H21"/>
  <c r="H17"/>
  <c r="H44"/>
  <c r="H36"/>
  <c r="H32"/>
  <c r="H28"/>
  <c r="H24"/>
  <c r="H20"/>
  <c r="H16"/>
  <c r="N14"/>
  <c r="P14"/>
  <c r="R14"/>
  <c r="T14"/>
  <c r="L14"/>
  <c r="M14"/>
  <c r="O14"/>
  <c r="Q14"/>
  <c r="S14"/>
  <c r="U14"/>
  <c r="W27" i="20"/>
  <c r="W40" s="1"/>
  <c r="U27"/>
  <c r="U40" s="1"/>
  <c r="S27"/>
  <c r="S40" s="1"/>
  <c r="Q27"/>
  <c r="Q40" s="1"/>
  <c r="O27"/>
  <c r="O40" s="1"/>
  <c r="M27"/>
  <c r="M40" s="1"/>
  <c r="K27"/>
  <c r="K40" s="1"/>
  <c r="I27"/>
  <c r="I40" s="1"/>
  <c r="G27"/>
  <c r="G40" s="1"/>
  <c r="E27"/>
  <c r="E40" s="1"/>
  <c r="X27"/>
  <c r="X40" s="1"/>
  <c r="V27"/>
  <c r="V40" s="1"/>
  <c r="T27"/>
  <c r="T40" s="1"/>
  <c r="R27"/>
  <c r="R40" s="1"/>
  <c r="P27"/>
  <c r="P40" s="1"/>
  <c r="N27"/>
  <c r="N40" s="1"/>
  <c r="L27"/>
  <c r="L40" s="1"/>
  <c r="J27"/>
  <c r="J40" s="1"/>
  <c r="H27"/>
  <c r="H40" s="1"/>
  <c r="F27"/>
  <c r="F40" s="1"/>
  <c r="J52" i="2"/>
  <c r="J51"/>
  <c r="J50"/>
  <c r="C107" l="1"/>
  <c r="C87"/>
  <c r="C86"/>
  <c r="I16" i="1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V15"/>
  <c r="B34" i="21"/>
  <c r="D24"/>
  <c r="D25" s="1"/>
  <c r="D26" s="1"/>
  <c r="F24"/>
  <c r="F25" s="1"/>
  <c r="F26" s="1"/>
  <c r="H24"/>
  <c r="H25" s="1"/>
  <c r="H26" s="1"/>
  <c r="J24"/>
  <c r="J25" s="1"/>
  <c r="J26" s="1"/>
  <c r="L24"/>
  <c r="L25" s="1"/>
  <c r="L26" s="1"/>
  <c r="N24"/>
  <c r="N25" s="1"/>
  <c r="N26" s="1"/>
  <c r="P24"/>
  <c r="P25" s="1"/>
  <c r="P26" s="1"/>
  <c r="R24"/>
  <c r="R25" s="1"/>
  <c r="R26" s="1"/>
  <c r="T24"/>
  <c r="T25" s="1"/>
  <c r="T26" s="1"/>
  <c r="V24"/>
  <c r="V25" s="1"/>
  <c r="V26" s="1"/>
  <c r="X24"/>
  <c r="X25" s="1"/>
  <c r="X26" s="1"/>
  <c r="Z24"/>
  <c r="Z25" s="1"/>
  <c r="Z26" s="1"/>
  <c r="AB24"/>
  <c r="AB25" s="1"/>
  <c r="AB26" s="1"/>
  <c r="AD24"/>
  <c r="AD25" s="1"/>
  <c r="AD26" s="1"/>
  <c r="AF24"/>
  <c r="AF25" s="1"/>
  <c r="AF26" s="1"/>
  <c r="AH24"/>
  <c r="AH25" s="1"/>
  <c r="AH26" s="1"/>
  <c r="AJ24"/>
  <c r="AJ25" s="1"/>
  <c r="AJ26" s="1"/>
  <c r="AL24"/>
  <c r="AL25" s="1"/>
  <c r="AL26" s="1"/>
  <c r="AN24"/>
  <c r="AN25" s="1"/>
  <c r="AN26" s="1"/>
  <c r="C24"/>
  <c r="C25" s="1"/>
  <c r="C26" s="1"/>
  <c r="E24"/>
  <c r="E25" s="1"/>
  <c r="E26" s="1"/>
  <c r="G24"/>
  <c r="G25" s="1"/>
  <c r="G26" s="1"/>
  <c r="I24"/>
  <c r="I25" s="1"/>
  <c r="I26" s="1"/>
  <c r="K24"/>
  <c r="K25" s="1"/>
  <c r="K26" s="1"/>
  <c r="M24"/>
  <c r="M25" s="1"/>
  <c r="M26" s="1"/>
  <c r="O24"/>
  <c r="O25" s="1"/>
  <c r="O26" s="1"/>
  <c r="Q24"/>
  <c r="Q25" s="1"/>
  <c r="Q26" s="1"/>
  <c r="S24"/>
  <c r="S25" s="1"/>
  <c r="S26" s="1"/>
  <c r="U24"/>
  <c r="U25" s="1"/>
  <c r="U26" s="1"/>
  <c r="W24"/>
  <c r="W25" s="1"/>
  <c r="W26" s="1"/>
  <c r="Y24"/>
  <c r="Y25" s="1"/>
  <c r="Y26" s="1"/>
  <c r="AA24"/>
  <c r="AA25" s="1"/>
  <c r="AA26" s="1"/>
  <c r="AC24"/>
  <c r="AC25" s="1"/>
  <c r="AC26" s="1"/>
  <c r="AE24"/>
  <c r="AE25" s="1"/>
  <c r="AE26" s="1"/>
  <c r="AG24"/>
  <c r="AG25" s="1"/>
  <c r="AG26" s="1"/>
  <c r="AI24"/>
  <c r="AI25" s="1"/>
  <c r="AI26" s="1"/>
  <c r="AK24"/>
  <c r="AK25" s="1"/>
  <c r="AK26" s="1"/>
  <c r="AM24"/>
  <c r="AM25" s="1"/>
  <c r="AM26" s="1"/>
  <c r="B24"/>
  <c r="B25" s="1"/>
  <c r="B26" s="1"/>
  <c r="G96" i="20"/>
  <c r="G105"/>
  <c r="I96"/>
  <c r="I106" s="1"/>
  <c r="I105"/>
  <c r="E97"/>
  <c r="H53"/>
  <c r="H50"/>
  <c r="H49"/>
  <c r="H48"/>
  <c r="H47"/>
  <c r="H46"/>
  <c r="H45"/>
  <c r="H44"/>
  <c r="H43"/>
  <c r="H42"/>
  <c r="L53"/>
  <c r="L50"/>
  <c r="L49"/>
  <c r="L48"/>
  <c r="L47"/>
  <c r="L46"/>
  <c r="L45"/>
  <c r="L44"/>
  <c r="L43"/>
  <c r="L42"/>
  <c r="P53"/>
  <c r="P50"/>
  <c r="P49"/>
  <c r="P48"/>
  <c r="P47"/>
  <c r="P46"/>
  <c r="P45"/>
  <c r="P44"/>
  <c r="P43"/>
  <c r="P42"/>
  <c r="T53"/>
  <c r="T50"/>
  <c r="T49"/>
  <c r="T48"/>
  <c r="T47"/>
  <c r="T46"/>
  <c r="T45"/>
  <c r="T44"/>
  <c r="T43"/>
  <c r="T42"/>
  <c r="X53"/>
  <c r="X50"/>
  <c r="X49"/>
  <c r="X48"/>
  <c r="X47"/>
  <c r="X46"/>
  <c r="X45"/>
  <c r="X44"/>
  <c r="X43"/>
  <c r="X42"/>
  <c r="G53"/>
  <c r="G50"/>
  <c r="G49"/>
  <c r="G48"/>
  <c r="G47"/>
  <c r="G46"/>
  <c r="G45"/>
  <c r="G44"/>
  <c r="G43"/>
  <c r="G42"/>
  <c r="K53"/>
  <c r="K50"/>
  <c r="K49"/>
  <c r="K48"/>
  <c r="K47"/>
  <c r="K46"/>
  <c r="K45"/>
  <c r="K44"/>
  <c r="K43"/>
  <c r="K42"/>
  <c r="O53"/>
  <c r="O50"/>
  <c r="O49"/>
  <c r="O48"/>
  <c r="O47"/>
  <c r="O46"/>
  <c r="O45"/>
  <c r="O44"/>
  <c r="O43"/>
  <c r="O42"/>
  <c r="S53"/>
  <c r="S50"/>
  <c r="S49"/>
  <c r="S48"/>
  <c r="S47"/>
  <c r="S46"/>
  <c r="S45"/>
  <c r="S44"/>
  <c r="S43"/>
  <c r="S42"/>
  <c r="W53"/>
  <c r="W50"/>
  <c r="W49"/>
  <c r="W48"/>
  <c r="W47"/>
  <c r="W46"/>
  <c r="W45"/>
  <c r="W44"/>
  <c r="W43"/>
  <c r="W42"/>
  <c r="AI14" i="9"/>
  <c r="AS14"/>
  <c r="O14"/>
  <c r="AD14"/>
  <c r="AX14"/>
  <c r="BH14"/>
  <c r="AN14"/>
  <c r="T14"/>
  <c r="Y14"/>
  <c r="BC14"/>
  <c r="F53" i="20"/>
  <c r="F50"/>
  <c r="F49"/>
  <c r="F48"/>
  <c r="F47"/>
  <c r="F46"/>
  <c r="F45"/>
  <c r="F44"/>
  <c r="F43"/>
  <c r="F42"/>
  <c r="F41"/>
  <c r="J53"/>
  <c r="J50"/>
  <c r="J49"/>
  <c r="J48"/>
  <c r="J47"/>
  <c r="J46"/>
  <c r="J45"/>
  <c r="J44"/>
  <c r="J43"/>
  <c r="J42"/>
  <c r="N53"/>
  <c r="N50"/>
  <c r="N49"/>
  <c r="N48"/>
  <c r="N47"/>
  <c r="N46"/>
  <c r="N45"/>
  <c r="N44"/>
  <c r="N43"/>
  <c r="N42"/>
  <c r="R53"/>
  <c r="R50"/>
  <c r="R49"/>
  <c r="R48"/>
  <c r="R47"/>
  <c r="R46"/>
  <c r="R45"/>
  <c r="R44"/>
  <c r="R43"/>
  <c r="R42"/>
  <c r="V53"/>
  <c r="V50"/>
  <c r="V49"/>
  <c r="V48"/>
  <c r="V47"/>
  <c r="V46"/>
  <c r="V45"/>
  <c r="V44"/>
  <c r="V43"/>
  <c r="V42"/>
  <c r="E53"/>
  <c r="E50"/>
  <c r="E49"/>
  <c r="E48"/>
  <c r="E47"/>
  <c r="E46"/>
  <c r="E45"/>
  <c r="E44"/>
  <c r="E43"/>
  <c r="E42"/>
  <c r="E41"/>
  <c r="I53"/>
  <c r="I50"/>
  <c r="I49"/>
  <c r="I48"/>
  <c r="I47"/>
  <c r="I46"/>
  <c r="I45"/>
  <c r="I44"/>
  <c r="I43"/>
  <c r="I42"/>
  <c r="M53"/>
  <c r="M50"/>
  <c r="M49"/>
  <c r="M48"/>
  <c r="M47"/>
  <c r="M46"/>
  <c r="M45"/>
  <c r="M44"/>
  <c r="M43"/>
  <c r="M42"/>
  <c r="Q53"/>
  <c r="Q50"/>
  <c r="Q49"/>
  <c r="Q48"/>
  <c r="Q47"/>
  <c r="Q46"/>
  <c r="Q45"/>
  <c r="Q44"/>
  <c r="Q43"/>
  <c r="Q42"/>
  <c r="U53"/>
  <c r="U50"/>
  <c r="U49"/>
  <c r="U48"/>
  <c r="U47"/>
  <c r="U46"/>
  <c r="U45"/>
  <c r="U44"/>
  <c r="U43"/>
  <c r="U42"/>
  <c r="J10" i="6"/>
  <c r="J9"/>
  <c r="J13"/>
  <c r="J12"/>
  <c r="J67"/>
  <c r="J65"/>
  <c r="J63"/>
  <c r="J50"/>
  <c r="J48"/>
  <c r="J46"/>
  <c r="J34"/>
  <c r="J32"/>
  <c r="J30"/>
  <c r="J15"/>
  <c r="J17"/>
  <c r="J14"/>
  <c r="J4" s="1"/>
  <c r="J11"/>
  <c r="J66"/>
  <c r="J47"/>
  <c r="J33"/>
  <c r="J18"/>
  <c r="J68"/>
  <c r="J64"/>
  <c r="J49"/>
  <c r="J45"/>
  <c r="J35"/>
  <c r="J31"/>
  <c r="J16"/>
  <c r="C8" i="2"/>
  <c r="C3" s="1"/>
  <c r="J1" i="6" s="1"/>
  <c r="V16" i="11"/>
  <c r="L17"/>
  <c r="B7" i="9"/>
  <c r="I5" i="11" l="1"/>
  <c r="B27" i="21"/>
  <c r="B37" s="1"/>
  <c r="J14" i="9"/>
  <c r="E107" i="20"/>
  <c r="G97"/>
  <c r="G106"/>
  <c r="I97"/>
  <c r="I107" s="1"/>
  <c r="E98"/>
  <c r="F51"/>
  <c r="E5" s="1"/>
  <c r="E51"/>
  <c r="E4" s="1"/>
  <c r="V17" i="11"/>
  <c r="L18"/>
  <c r="K49" i="6"/>
  <c r="K47"/>
  <c r="K48"/>
  <c r="K46"/>
  <c r="K50"/>
  <c r="K45"/>
  <c r="C4" i="2"/>
  <c r="F90"/>
  <c r="G90" s="1"/>
  <c r="F91"/>
  <c r="G91" s="1"/>
  <c r="F92"/>
  <c r="G92" s="1"/>
  <c r="F93"/>
  <c r="G93" s="1"/>
  <c r="F94"/>
  <c r="G94" s="1"/>
  <c r="F95"/>
  <c r="G95" s="1"/>
  <c r="F96"/>
  <c r="G96" s="1"/>
  <c r="F97"/>
  <c r="G97" s="1"/>
  <c r="F98"/>
  <c r="G98" s="1"/>
  <c r="F99"/>
  <c r="G99" s="1"/>
  <c r="F100"/>
  <c r="G100" s="1"/>
  <c r="F101"/>
  <c r="G101" s="1"/>
  <c r="F102"/>
  <c r="G102" s="1"/>
  <c r="F103"/>
  <c r="G103" s="1"/>
  <c r="F104"/>
  <c r="G104" s="1"/>
  <c r="F105"/>
  <c r="G105" s="1"/>
  <c r="F106"/>
  <c r="G106" s="1"/>
  <c r="F107"/>
  <c r="G107" s="1"/>
  <c r="F108"/>
  <c r="G108" s="1"/>
  <c r="F109"/>
  <c r="G109" s="1"/>
  <c r="F110"/>
  <c r="G110" s="1"/>
  <c r="F111"/>
  <c r="G111" s="1"/>
  <c r="F112"/>
  <c r="G112" s="1"/>
  <c r="F113"/>
  <c r="G113" s="1"/>
  <c r="F114"/>
  <c r="G114" s="1"/>
  <c r="F115"/>
  <c r="G115" s="1"/>
  <c r="F116"/>
  <c r="G116" s="1"/>
  <c r="F117"/>
  <c r="G117" s="1"/>
  <c r="F118"/>
  <c r="G118" s="1"/>
  <c r="F119"/>
  <c r="G119" s="1"/>
  <c r="F120"/>
  <c r="G120" s="1"/>
  <c r="F121"/>
  <c r="G121" s="1"/>
  <c r="F122"/>
  <c r="G122" s="1"/>
  <c r="F123"/>
  <c r="G123" s="1"/>
  <c r="F124"/>
  <c r="G124" s="1"/>
  <c r="F125"/>
  <c r="G125" s="1"/>
  <c r="F126"/>
  <c r="G126" s="1"/>
  <c r="F127"/>
  <c r="G127" s="1"/>
  <c r="F128"/>
  <c r="G128" s="1"/>
  <c r="B8" i="9"/>
  <c r="I6" i="11"/>
  <c r="G41" i="20"/>
  <c r="I85" i="2" l="1"/>
  <c r="I89"/>
  <c r="I87"/>
  <c r="I86"/>
  <c r="E108" i="20"/>
  <c r="G98"/>
  <c r="G107"/>
  <c r="I98"/>
  <c r="I108" s="1"/>
  <c r="E99"/>
  <c r="E109" s="1"/>
  <c r="G51"/>
  <c r="E6" s="1"/>
  <c r="U47" i="6"/>
  <c r="U45"/>
  <c r="U48"/>
  <c r="U49"/>
  <c r="U50"/>
  <c r="U46"/>
  <c r="V18" i="11"/>
  <c r="L19"/>
  <c r="H41" i="20"/>
  <c r="J2" i="6"/>
  <c r="F7" i="2"/>
  <c r="G7" s="1"/>
  <c r="F9"/>
  <c r="G9" s="1"/>
  <c r="F11"/>
  <c r="G11" s="1"/>
  <c r="F13"/>
  <c r="G13" s="1"/>
  <c r="F15"/>
  <c r="G15" s="1"/>
  <c r="F17"/>
  <c r="G17" s="1"/>
  <c r="F19"/>
  <c r="G19" s="1"/>
  <c r="F21"/>
  <c r="G21" s="1"/>
  <c r="F23"/>
  <c r="G23" s="1"/>
  <c r="F25"/>
  <c r="G25" s="1"/>
  <c r="F27"/>
  <c r="G27" s="1"/>
  <c r="F29"/>
  <c r="G29" s="1"/>
  <c r="F31"/>
  <c r="G31" s="1"/>
  <c r="F33"/>
  <c r="G33" s="1"/>
  <c r="F35"/>
  <c r="G35" s="1"/>
  <c r="F37"/>
  <c r="G37" s="1"/>
  <c r="F39"/>
  <c r="G39" s="1"/>
  <c r="F41"/>
  <c r="G41" s="1"/>
  <c r="F43"/>
  <c r="G43" s="1"/>
  <c r="F45"/>
  <c r="G45" s="1"/>
  <c r="F8"/>
  <c r="G8" s="1"/>
  <c r="F10"/>
  <c r="G10" s="1"/>
  <c r="F12"/>
  <c r="G12" s="1"/>
  <c r="F14"/>
  <c r="G14" s="1"/>
  <c r="F16"/>
  <c r="G16" s="1"/>
  <c r="F18"/>
  <c r="G18" s="1"/>
  <c r="F20"/>
  <c r="G20" s="1"/>
  <c r="F22"/>
  <c r="G22" s="1"/>
  <c r="F24"/>
  <c r="G24" s="1"/>
  <c r="F26"/>
  <c r="G26" s="1"/>
  <c r="F28"/>
  <c r="G28" s="1"/>
  <c r="F30"/>
  <c r="G30" s="1"/>
  <c r="F32"/>
  <c r="G32" s="1"/>
  <c r="F34"/>
  <c r="G34" s="1"/>
  <c r="F36"/>
  <c r="G36" s="1"/>
  <c r="F38"/>
  <c r="G38" s="1"/>
  <c r="F40"/>
  <c r="G40" s="1"/>
  <c r="F42"/>
  <c r="G42" s="1"/>
  <c r="F44"/>
  <c r="G44" s="1"/>
  <c r="K43" i="6"/>
  <c r="G99" i="20" l="1"/>
  <c r="G108"/>
  <c r="I99"/>
  <c r="I109" s="1"/>
  <c r="E100"/>
  <c r="E110" s="1"/>
  <c r="H51"/>
  <c r="E7" s="1"/>
  <c r="I2" i="2"/>
  <c r="I3"/>
  <c r="I4"/>
  <c r="L88"/>
  <c r="L140" s="1"/>
  <c r="K63" i="6" s="1"/>
  <c r="M88" i="2"/>
  <c r="M140" s="1"/>
  <c r="O88"/>
  <c r="O140" s="1"/>
  <c r="P89"/>
  <c r="P141" s="1"/>
  <c r="P109"/>
  <c r="P143" s="1"/>
  <c r="P111"/>
  <c r="P145" s="1"/>
  <c r="O108"/>
  <c r="O142" s="1"/>
  <c r="O110"/>
  <c r="O144" s="1"/>
  <c r="N89"/>
  <c r="N141" s="1"/>
  <c r="N109"/>
  <c r="N143" s="1"/>
  <c r="N111"/>
  <c r="N145" s="1"/>
  <c r="M108"/>
  <c r="M142" s="1"/>
  <c r="M110"/>
  <c r="M144" s="1"/>
  <c r="L89"/>
  <c r="L141" s="1"/>
  <c r="K64" i="6" s="1"/>
  <c r="L109" i="2"/>
  <c r="L143" s="1"/>
  <c r="K66" i="6" s="1"/>
  <c r="L111" i="2"/>
  <c r="L145" s="1"/>
  <c r="K68" i="6" s="1"/>
  <c r="M118" i="2"/>
  <c r="Q120"/>
  <c r="O123"/>
  <c r="O125"/>
  <c r="M128"/>
  <c r="Q91"/>
  <c r="O94"/>
  <c r="M97"/>
  <c r="Q99"/>
  <c r="Q101"/>
  <c r="O104"/>
  <c r="M107"/>
  <c r="L118"/>
  <c r="P120"/>
  <c r="N123"/>
  <c r="N125"/>
  <c r="P126"/>
  <c r="P128"/>
  <c r="L91"/>
  <c r="N92"/>
  <c r="P93"/>
  <c r="L95"/>
  <c r="N96"/>
  <c r="N98"/>
  <c r="P99"/>
  <c r="L101"/>
  <c r="N102"/>
  <c r="P103"/>
  <c r="L105"/>
  <c r="N106"/>
  <c r="P107"/>
  <c r="P112"/>
  <c r="P146" s="1"/>
  <c r="N112"/>
  <c r="N146" s="1"/>
  <c r="O114"/>
  <c r="O148" s="1"/>
  <c r="L115"/>
  <c r="L149" s="1"/>
  <c r="Q108"/>
  <c r="Q142" s="1"/>
  <c r="O115"/>
  <c r="O149" s="1"/>
  <c r="L116"/>
  <c r="L150" s="1"/>
  <c r="Q111"/>
  <c r="Q145" s="1"/>
  <c r="O116"/>
  <c r="O150" s="1"/>
  <c r="Q117"/>
  <c r="M119"/>
  <c r="O120"/>
  <c r="Q121"/>
  <c r="M123"/>
  <c r="O124"/>
  <c r="Q125"/>
  <c r="M127"/>
  <c r="O128"/>
  <c r="Q90"/>
  <c r="M92"/>
  <c r="O93"/>
  <c r="Q94"/>
  <c r="M96"/>
  <c r="O97"/>
  <c r="Q98"/>
  <c r="M100"/>
  <c r="O101"/>
  <c r="Q102"/>
  <c r="M104"/>
  <c r="O105"/>
  <c r="B9" i="9"/>
  <c r="N88" i="2"/>
  <c r="N140" s="1"/>
  <c r="P88"/>
  <c r="P140" s="1"/>
  <c r="P108"/>
  <c r="P142" s="1"/>
  <c r="P110"/>
  <c r="P144" s="1"/>
  <c r="O89"/>
  <c r="O141" s="1"/>
  <c r="O109"/>
  <c r="O143" s="1"/>
  <c r="O111"/>
  <c r="O145" s="1"/>
  <c r="N108"/>
  <c r="N142" s="1"/>
  <c r="N110"/>
  <c r="N144" s="1"/>
  <c r="M89"/>
  <c r="M141" s="1"/>
  <c r="M109"/>
  <c r="M143" s="1"/>
  <c r="M111"/>
  <c r="M145" s="1"/>
  <c r="L108"/>
  <c r="L142" s="1"/>
  <c r="K65" i="6" s="1"/>
  <c r="L110" i="2"/>
  <c r="L144" s="1"/>
  <c r="K67" i="6" s="1"/>
  <c r="O117" i="2"/>
  <c r="O119"/>
  <c r="M122"/>
  <c r="Q124"/>
  <c r="Q126"/>
  <c r="O90"/>
  <c r="M93"/>
  <c r="Q95"/>
  <c r="O98"/>
  <c r="M101"/>
  <c r="M103"/>
  <c r="Q105"/>
  <c r="N117"/>
  <c r="N119"/>
  <c r="L122"/>
  <c r="L124"/>
  <c r="L126"/>
  <c r="N127"/>
  <c r="N90"/>
  <c r="P91"/>
  <c r="L93"/>
  <c r="N94"/>
  <c r="P95"/>
  <c r="L97"/>
  <c r="L99"/>
  <c r="N100"/>
  <c r="P101"/>
  <c r="L103"/>
  <c r="N104"/>
  <c r="P105"/>
  <c r="L107"/>
  <c r="M114"/>
  <c r="M148" s="1"/>
  <c r="L114"/>
  <c r="L148" s="1"/>
  <c r="O112"/>
  <c r="O146" s="1"/>
  <c r="N114"/>
  <c r="N148" s="1"/>
  <c r="N116"/>
  <c r="N150" s="1"/>
  <c r="Q112"/>
  <c r="Q146" s="1"/>
  <c r="Q116"/>
  <c r="Q150" s="1"/>
  <c r="Q89"/>
  <c r="Q141" s="1"/>
  <c r="M115"/>
  <c r="M149" s="1"/>
  <c r="M117"/>
  <c r="O118"/>
  <c r="Q119"/>
  <c r="M121"/>
  <c r="O122"/>
  <c r="Q123"/>
  <c r="M125"/>
  <c r="O126"/>
  <c r="Q127"/>
  <c r="M90"/>
  <c r="O91"/>
  <c r="Q92"/>
  <c r="M94"/>
  <c r="O95"/>
  <c r="Q96"/>
  <c r="M98"/>
  <c r="O99"/>
  <c r="Q100"/>
  <c r="M102"/>
  <c r="O103"/>
  <c r="Q104"/>
  <c r="M106"/>
  <c r="O107"/>
  <c r="P117"/>
  <c r="L119"/>
  <c r="N120"/>
  <c r="P121"/>
  <c r="L123"/>
  <c r="N124"/>
  <c r="P125"/>
  <c r="L127"/>
  <c r="N128"/>
  <c r="P90"/>
  <c r="L92"/>
  <c r="N93"/>
  <c r="P94"/>
  <c r="L96"/>
  <c r="N97"/>
  <c r="P98"/>
  <c r="L100"/>
  <c r="N101"/>
  <c r="P102"/>
  <c r="L104"/>
  <c r="N105"/>
  <c r="P106"/>
  <c r="M112"/>
  <c r="M146" s="1"/>
  <c r="N113"/>
  <c r="N147" s="1"/>
  <c r="O113"/>
  <c r="O147" s="1"/>
  <c r="P113"/>
  <c r="P147" s="1"/>
  <c r="P115"/>
  <c r="P149" s="1"/>
  <c r="Q110"/>
  <c r="Q144" s="1"/>
  <c r="M116"/>
  <c r="M150" s="1"/>
  <c r="P116"/>
  <c r="P150" s="1"/>
  <c r="Q113"/>
  <c r="Q147" s="1"/>
  <c r="Q118"/>
  <c r="O121"/>
  <c r="M124"/>
  <c r="O127"/>
  <c r="M91"/>
  <c r="Q93"/>
  <c r="O96"/>
  <c r="M99"/>
  <c r="O102"/>
  <c r="M105"/>
  <c r="Q107"/>
  <c r="L120"/>
  <c r="P122"/>
  <c r="L128"/>
  <c r="L117"/>
  <c r="P119"/>
  <c r="N122"/>
  <c r="L125"/>
  <c r="P127"/>
  <c r="N91"/>
  <c r="L94"/>
  <c r="P96"/>
  <c r="N99"/>
  <c r="L102"/>
  <c r="P104"/>
  <c r="N107"/>
  <c r="P114"/>
  <c r="P148" s="1"/>
  <c r="L113"/>
  <c r="L147" s="1"/>
  <c r="Q114"/>
  <c r="Q148" s="1"/>
  <c r="Q109"/>
  <c r="Q143" s="1"/>
  <c r="M120"/>
  <c r="M126"/>
  <c r="O92"/>
  <c r="Q97"/>
  <c r="Q103"/>
  <c r="P118"/>
  <c r="P124"/>
  <c r="Q106"/>
  <c r="N118"/>
  <c r="L121"/>
  <c r="P123"/>
  <c r="N126"/>
  <c r="L90"/>
  <c r="P92"/>
  <c r="N95"/>
  <c r="L98"/>
  <c r="P100"/>
  <c r="N103"/>
  <c r="L106"/>
  <c r="L112"/>
  <c r="L146" s="1"/>
  <c r="M113"/>
  <c r="M147" s="1"/>
  <c r="Q88"/>
  <c r="Q140" s="1"/>
  <c r="N115"/>
  <c r="N149" s="1"/>
  <c r="Q115"/>
  <c r="Q149" s="1"/>
  <c r="Q122"/>
  <c r="Q128"/>
  <c r="M95"/>
  <c r="O100"/>
  <c r="O106"/>
  <c r="N121"/>
  <c r="P97"/>
  <c r="K4" i="6"/>
  <c r="K21" s="1"/>
  <c r="W34"/>
  <c r="AD30"/>
  <c r="V30"/>
  <c r="W32"/>
  <c r="U35"/>
  <c r="K31"/>
  <c r="V32"/>
  <c r="AD33"/>
  <c r="K35"/>
  <c r="W31"/>
  <c r="W33"/>
  <c r="W35"/>
  <c r="V31"/>
  <c r="AD32"/>
  <c r="K34"/>
  <c r="V35"/>
  <c r="W30"/>
  <c r="K32"/>
  <c r="U31"/>
  <c r="U33"/>
  <c r="AD31"/>
  <c r="K33"/>
  <c r="V34"/>
  <c r="AD35"/>
  <c r="U32"/>
  <c r="U34"/>
  <c r="K30"/>
  <c r="V33"/>
  <c r="AD34"/>
  <c r="U30"/>
  <c r="L20" i="11"/>
  <c r="V19"/>
  <c r="I41" i="20"/>
  <c r="V45" i="6"/>
  <c r="V47"/>
  <c r="V48"/>
  <c r="V46"/>
  <c r="U43"/>
  <c r="V49"/>
  <c r="V50"/>
  <c r="G100" i="20" l="1"/>
  <c r="G109"/>
  <c r="I100"/>
  <c r="I110" s="1"/>
  <c r="E101"/>
  <c r="E111" s="1"/>
  <c r="I51"/>
  <c r="E8" s="1"/>
  <c r="V20" i="11"/>
  <c r="L21"/>
  <c r="J41" i="20"/>
  <c r="B35" i="9"/>
  <c r="B33"/>
  <c r="B31"/>
  <c r="B29"/>
  <c r="B27"/>
  <c r="B25"/>
  <c r="B23"/>
  <c r="B21"/>
  <c r="B19"/>
  <c r="B17"/>
  <c r="B15"/>
  <c r="E15" s="1"/>
  <c r="B37"/>
  <c r="B39"/>
  <c r="B41"/>
  <c r="B43"/>
  <c r="B45"/>
  <c r="B47"/>
  <c r="B49"/>
  <c r="B51"/>
  <c r="B53"/>
  <c r="B55"/>
  <c r="B57"/>
  <c r="B59"/>
  <c r="B61"/>
  <c r="B63"/>
  <c r="B65"/>
  <c r="B67"/>
  <c r="B69"/>
  <c r="B71"/>
  <c r="B73"/>
  <c r="B75"/>
  <c r="B77"/>
  <c r="B79"/>
  <c r="B81"/>
  <c r="B83"/>
  <c r="B85"/>
  <c r="B87"/>
  <c r="B89"/>
  <c r="B91"/>
  <c r="B93"/>
  <c r="B95"/>
  <c r="E95" s="1"/>
  <c r="B97"/>
  <c r="E97" s="1"/>
  <c r="B99"/>
  <c r="E99" s="1"/>
  <c r="B100"/>
  <c r="E100" s="1"/>
  <c r="B102"/>
  <c r="E102" s="1"/>
  <c r="B104"/>
  <c r="E104" s="1"/>
  <c r="B106"/>
  <c r="E106" s="1"/>
  <c r="B108"/>
  <c r="E108" s="1"/>
  <c r="B110"/>
  <c r="E110" s="1"/>
  <c r="B112"/>
  <c r="E112" s="1"/>
  <c r="B114"/>
  <c r="E114" s="1"/>
  <c r="B116"/>
  <c r="E116" s="1"/>
  <c r="B118"/>
  <c r="E118" s="1"/>
  <c r="B120"/>
  <c r="E120" s="1"/>
  <c r="B122"/>
  <c r="E122" s="1"/>
  <c r="B124"/>
  <c r="E124" s="1"/>
  <c r="B126"/>
  <c r="E126" s="1"/>
  <c r="B128"/>
  <c r="E128" s="1"/>
  <c r="B130"/>
  <c r="E130" s="1"/>
  <c r="B132"/>
  <c r="E132" s="1"/>
  <c r="B134"/>
  <c r="E134" s="1"/>
  <c r="B136"/>
  <c r="E136" s="1"/>
  <c r="B138"/>
  <c r="E138" s="1"/>
  <c r="B140"/>
  <c r="E140" s="1"/>
  <c r="B142"/>
  <c r="E142" s="1"/>
  <c r="B144"/>
  <c r="E144" s="1"/>
  <c r="B146"/>
  <c r="E146" s="1"/>
  <c r="B148"/>
  <c r="E148" s="1"/>
  <c r="B150"/>
  <c r="E150" s="1"/>
  <c r="B152"/>
  <c r="E152" s="1"/>
  <c r="B154"/>
  <c r="E154" s="1"/>
  <c r="B156"/>
  <c r="E156" s="1"/>
  <c r="B158"/>
  <c r="E158" s="1"/>
  <c r="B160"/>
  <c r="E160" s="1"/>
  <c r="B162"/>
  <c r="E162" s="1"/>
  <c r="B164"/>
  <c r="E164" s="1"/>
  <c r="B167"/>
  <c r="E167" s="1"/>
  <c r="B169"/>
  <c r="E169" s="1"/>
  <c r="B171"/>
  <c r="E171" s="1"/>
  <c r="B173"/>
  <c r="E173" s="1"/>
  <c r="B175"/>
  <c r="E175" s="1"/>
  <c r="B177"/>
  <c r="E177" s="1"/>
  <c r="B180"/>
  <c r="E180" s="1"/>
  <c r="B182"/>
  <c r="E182" s="1"/>
  <c r="B184"/>
  <c r="E184" s="1"/>
  <c r="B186"/>
  <c r="E186" s="1"/>
  <c r="B188"/>
  <c r="E188" s="1"/>
  <c r="B190"/>
  <c r="E190" s="1"/>
  <c r="B192"/>
  <c r="E192" s="1"/>
  <c r="B194"/>
  <c r="E194" s="1"/>
  <c r="B196"/>
  <c r="E196" s="1"/>
  <c r="B198"/>
  <c r="E198" s="1"/>
  <c r="B200"/>
  <c r="E200" s="1"/>
  <c r="B202"/>
  <c r="E202" s="1"/>
  <c r="B204"/>
  <c r="E204" s="1"/>
  <c r="B206"/>
  <c r="E206" s="1"/>
  <c r="B208"/>
  <c r="E208" s="1"/>
  <c r="B210"/>
  <c r="E210" s="1"/>
  <c r="B212"/>
  <c r="E212" s="1"/>
  <c r="B214"/>
  <c r="E214" s="1"/>
  <c r="B216"/>
  <c r="E216" s="1"/>
  <c r="B218"/>
  <c r="E218" s="1"/>
  <c r="B220"/>
  <c r="E220" s="1"/>
  <c r="B222"/>
  <c r="E222" s="1"/>
  <c r="B224"/>
  <c r="E224" s="1"/>
  <c r="B226"/>
  <c r="E226" s="1"/>
  <c r="B228"/>
  <c r="E228" s="1"/>
  <c r="B230"/>
  <c r="E230" s="1"/>
  <c r="B232"/>
  <c r="E232" s="1"/>
  <c r="B234"/>
  <c r="E234" s="1"/>
  <c r="B236"/>
  <c r="E236" s="1"/>
  <c r="B238"/>
  <c r="E238" s="1"/>
  <c r="B240"/>
  <c r="E240" s="1"/>
  <c r="B242"/>
  <c r="E242" s="1"/>
  <c r="B244"/>
  <c r="E244" s="1"/>
  <c r="B246"/>
  <c r="E246" s="1"/>
  <c r="B248"/>
  <c r="E248" s="1"/>
  <c r="B250"/>
  <c r="E250" s="1"/>
  <c r="B32"/>
  <c r="B28"/>
  <c r="B24"/>
  <c r="B20"/>
  <c r="B16"/>
  <c r="B38"/>
  <c r="B42"/>
  <c r="B46"/>
  <c r="B50"/>
  <c r="B54"/>
  <c r="B58"/>
  <c r="B62"/>
  <c r="B66"/>
  <c r="B70"/>
  <c r="B74"/>
  <c r="B78"/>
  <c r="B82"/>
  <c r="B86"/>
  <c r="B90"/>
  <c r="B94"/>
  <c r="E94" s="1"/>
  <c r="B98"/>
  <c r="E98" s="1"/>
  <c r="B101"/>
  <c r="E101" s="1"/>
  <c r="B105"/>
  <c r="E105" s="1"/>
  <c r="B109"/>
  <c r="E109" s="1"/>
  <c r="B113"/>
  <c r="E113" s="1"/>
  <c r="B117"/>
  <c r="E117" s="1"/>
  <c r="B121"/>
  <c r="E121" s="1"/>
  <c r="B125"/>
  <c r="E125" s="1"/>
  <c r="B129"/>
  <c r="E129" s="1"/>
  <c r="B133"/>
  <c r="E133" s="1"/>
  <c r="B137"/>
  <c r="E137" s="1"/>
  <c r="B141"/>
  <c r="E141" s="1"/>
  <c r="B145"/>
  <c r="E145" s="1"/>
  <c r="B149"/>
  <c r="E149" s="1"/>
  <c r="B153"/>
  <c r="E153" s="1"/>
  <c r="B157"/>
  <c r="E157" s="1"/>
  <c r="B161"/>
  <c r="E161" s="1"/>
  <c r="B165"/>
  <c r="E165" s="1"/>
  <c r="B166"/>
  <c r="E166" s="1"/>
  <c r="B170"/>
  <c r="E170" s="1"/>
  <c r="B174"/>
  <c r="E174" s="1"/>
  <c r="B178"/>
  <c r="E178" s="1"/>
  <c r="B179"/>
  <c r="E179" s="1"/>
  <c r="B183"/>
  <c r="E183" s="1"/>
  <c r="B187"/>
  <c r="E187" s="1"/>
  <c r="B189"/>
  <c r="E189" s="1"/>
  <c r="B193"/>
  <c r="E193" s="1"/>
  <c r="B197"/>
  <c r="E197" s="1"/>
  <c r="B201"/>
  <c r="E201" s="1"/>
  <c r="B205"/>
  <c r="E205" s="1"/>
  <c r="B209"/>
  <c r="E209" s="1"/>
  <c r="B213"/>
  <c r="E213" s="1"/>
  <c r="B217"/>
  <c r="E217" s="1"/>
  <c r="B221"/>
  <c r="E221" s="1"/>
  <c r="B225"/>
  <c r="E225" s="1"/>
  <c r="B229"/>
  <c r="E229" s="1"/>
  <c r="B233"/>
  <c r="E233" s="1"/>
  <c r="B237"/>
  <c r="E237" s="1"/>
  <c r="B241"/>
  <c r="E241" s="1"/>
  <c r="B245"/>
  <c r="E245" s="1"/>
  <c r="B249"/>
  <c r="E249" s="1"/>
  <c r="B34"/>
  <c r="B30"/>
  <c r="B26"/>
  <c r="B22"/>
  <c r="B18"/>
  <c r="B36"/>
  <c r="B40"/>
  <c r="B44"/>
  <c r="B48"/>
  <c r="B52"/>
  <c r="B56"/>
  <c r="B60"/>
  <c r="B64"/>
  <c r="B68"/>
  <c r="B72"/>
  <c r="B76"/>
  <c r="B80"/>
  <c r="B84"/>
  <c r="B88"/>
  <c r="B92"/>
  <c r="B96"/>
  <c r="E96" s="1"/>
  <c r="B103"/>
  <c r="E103" s="1"/>
  <c r="B107"/>
  <c r="E107" s="1"/>
  <c r="B111"/>
  <c r="E111" s="1"/>
  <c r="B115"/>
  <c r="E115" s="1"/>
  <c r="B119"/>
  <c r="E119" s="1"/>
  <c r="B123"/>
  <c r="E123" s="1"/>
  <c r="B127"/>
  <c r="E127" s="1"/>
  <c r="B131"/>
  <c r="E131" s="1"/>
  <c r="B135"/>
  <c r="E135" s="1"/>
  <c r="B139"/>
  <c r="E139" s="1"/>
  <c r="B143"/>
  <c r="E143" s="1"/>
  <c r="B147"/>
  <c r="E147" s="1"/>
  <c r="B151"/>
  <c r="E151" s="1"/>
  <c r="B155"/>
  <c r="E155" s="1"/>
  <c r="B159"/>
  <c r="E159" s="1"/>
  <c r="B163"/>
  <c r="E163" s="1"/>
  <c r="B168"/>
  <c r="E168" s="1"/>
  <c r="B172"/>
  <c r="E172" s="1"/>
  <c r="B176"/>
  <c r="E176" s="1"/>
  <c r="B181"/>
  <c r="E181" s="1"/>
  <c r="B185"/>
  <c r="E185" s="1"/>
  <c r="B191"/>
  <c r="E191" s="1"/>
  <c r="B195"/>
  <c r="E195" s="1"/>
  <c r="B199"/>
  <c r="E199" s="1"/>
  <c r="B203"/>
  <c r="E203" s="1"/>
  <c r="B207"/>
  <c r="E207" s="1"/>
  <c r="B211"/>
  <c r="E211" s="1"/>
  <c r="B215"/>
  <c r="E215" s="1"/>
  <c r="B219"/>
  <c r="E219" s="1"/>
  <c r="B223"/>
  <c r="E223" s="1"/>
  <c r="B227"/>
  <c r="E227" s="1"/>
  <c r="B231"/>
  <c r="E231" s="1"/>
  <c r="B235"/>
  <c r="E235" s="1"/>
  <c r="B239"/>
  <c r="E239" s="1"/>
  <c r="B243"/>
  <c r="E243" s="1"/>
  <c r="B247"/>
  <c r="E247" s="1"/>
  <c r="B251"/>
  <c r="E251" s="1"/>
  <c r="L31"/>
  <c r="L29"/>
  <c r="L27"/>
  <c r="L25"/>
  <c r="L23"/>
  <c r="L21"/>
  <c r="L19"/>
  <c r="L17"/>
  <c r="L15"/>
  <c r="O15" s="1"/>
  <c r="M38" s="1"/>
  <c r="E54" i="20" s="1"/>
  <c r="Q30" i="9"/>
  <c r="Q28"/>
  <c r="Q26"/>
  <c r="Q24"/>
  <c r="Q22"/>
  <c r="Q20"/>
  <c r="Q18"/>
  <c r="Q16"/>
  <c r="V31"/>
  <c r="V29"/>
  <c r="V27"/>
  <c r="V25"/>
  <c r="V23"/>
  <c r="V21"/>
  <c r="V19"/>
  <c r="V17"/>
  <c r="V15"/>
  <c r="Y15" s="1"/>
  <c r="O38" s="1"/>
  <c r="E56" i="20" s="1"/>
  <c r="AA30" i="9"/>
  <c r="AA28"/>
  <c r="AA26"/>
  <c r="AA24"/>
  <c r="AA22"/>
  <c r="AA20"/>
  <c r="AA18"/>
  <c r="AA16"/>
  <c r="AF31"/>
  <c r="AF29"/>
  <c r="AF27"/>
  <c r="AF25"/>
  <c r="AF23"/>
  <c r="AF21"/>
  <c r="AF19"/>
  <c r="AF17"/>
  <c r="AF15"/>
  <c r="AI15" s="1"/>
  <c r="Q38" s="1"/>
  <c r="E58" i="20" s="1"/>
  <c r="AK30" i="9"/>
  <c r="AK28"/>
  <c r="AK26"/>
  <c r="AK24"/>
  <c r="AK22"/>
  <c r="AK20"/>
  <c r="AK18"/>
  <c r="AK16"/>
  <c r="AP31"/>
  <c r="AP29"/>
  <c r="AP27"/>
  <c r="AP25"/>
  <c r="AP23"/>
  <c r="AP21"/>
  <c r="AP19"/>
  <c r="AP17"/>
  <c r="AP15"/>
  <c r="AS15" s="1"/>
  <c r="S38" s="1"/>
  <c r="E60" i="20" s="1"/>
  <c r="AU30" i="9"/>
  <c r="AU28"/>
  <c r="AU26"/>
  <c r="AU24"/>
  <c r="AU22"/>
  <c r="AU20"/>
  <c r="AU18"/>
  <c r="AU16"/>
  <c r="AZ31"/>
  <c r="AZ29"/>
  <c r="AZ27"/>
  <c r="AZ25"/>
  <c r="AZ23"/>
  <c r="AZ21"/>
  <c r="AZ19"/>
  <c r="AZ17"/>
  <c r="AZ15"/>
  <c r="BC15" s="1"/>
  <c r="U38" s="1"/>
  <c r="E62" i="20" s="1"/>
  <c r="BE30" i="9"/>
  <c r="BE28"/>
  <c r="BE26"/>
  <c r="BE24"/>
  <c r="BE22"/>
  <c r="BE20"/>
  <c r="BE18"/>
  <c r="BE16"/>
  <c r="L34"/>
  <c r="L32"/>
  <c r="Q33"/>
  <c r="V34"/>
  <c r="V32"/>
  <c r="AA33"/>
  <c r="AF34"/>
  <c r="AF32"/>
  <c r="AK33"/>
  <c r="AP34"/>
  <c r="AP32"/>
  <c r="AU33"/>
  <c r="AZ34"/>
  <c r="AZ32"/>
  <c r="BE33"/>
  <c r="L30"/>
  <c r="L28"/>
  <c r="L26"/>
  <c r="L24"/>
  <c r="L22"/>
  <c r="L20"/>
  <c r="L18"/>
  <c r="L16"/>
  <c r="Q31"/>
  <c r="Q29"/>
  <c r="Q27"/>
  <c r="Q25"/>
  <c r="Q23"/>
  <c r="Q21"/>
  <c r="Q19"/>
  <c r="Q17"/>
  <c r="Q15"/>
  <c r="T15" s="1"/>
  <c r="N38" s="1"/>
  <c r="E55" i="20" s="1"/>
  <c r="V30" i="9"/>
  <c r="V28"/>
  <c r="V26"/>
  <c r="V24"/>
  <c r="V22"/>
  <c r="V20"/>
  <c r="V18"/>
  <c r="V16"/>
  <c r="AA31"/>
  <c r="AA29"/>
  <c r="AA27"/>
  <c r="AA25"/>
  <c r="AA23"/>
  <c r="AA21"/>
  <c r="AA19"/>
  <c r="AA17"/>
  <c r="AA15"/>
  <c r="AD15" s="1"/>
  <c r="P38" s="1"/>
  <c r="E57" i="20" s="1"/>
  <c r="AF30" i="9"/>
  <c r="AF28"/>
  <c r="AF26"/>
  <c r="AF24"/>
  <c r="AF22"/>
  <c r="AF20"/>
  <c r="AF18"/>
  <c r="AF16"/>
  <c r="AK31"/>
  <c r="AK29"/>
  <c r="AK27"/>
  <c r="AK25"/>
  <c r="AK23"/>
  <c r="AK21"/>
  <c r="AK19"/>
  <c r="AK17"/>
  <c r="AK15"/>
  <c r="AN15" s="1"/>
  <c r="R38" s="1"/>
  <c r="E59" i="20" s="1"/>
  <c r="AP30" i="9"/>
  <c r="AP28"/>
  <c r="AP26"/>
  <c r="AP24"/>
  <c r="AP22"/>
  <c r="AP20"/>
  <c r="AP18"/>
  <c r="AP16"/>
  <c r="AU31"/>
  <c r="AU29"/>
  <c r="AU27"/>
  <c r="AU25"/>
  <c r="AU23"/>
  <c r="AU21"/>
  <c r="AU19"/>
  <c r="AU17"/>
  <c r="AU15"/>
  <c r="AX15" s="1"/>
  <c r="T38" s="1"/>
  <c r="E61" i="20" s="1"/>
  <c r="AZ30" i="9"/>
  <c r="AZ28"/>
  <c r="AZ26"/>
  <c r="AZ24"/>
  <c r="AZ22"/>
  <c r="AZ20"/>
  <c r="AZ18"/>
  <c r="AZ16"/>
  <c r="BE31"/>
  <c r="BE29"/>
  <c r="BE27"/>
  <c r="BE25"/>
  <c r="BE23"/>
  <c r="BE21"/>
  <c r="BE19"/>
  <c r="BE17"/>
  <c r="BE15"/>
  <c r="BH15" s="1"/>
  <c r="V38" s="1"/>
  <c r="E63" i="20" s="1"/>
  <c r="L33" i="9"/>
  <c r="Q34"/>
  <c r="Q32"/>
  <c r="V33"/>
  <c r="AA34"/>
  <c r="AA32"/>
  <c r="AF33"/>
  <c r="AK34"/>
  <c r="AK32"/>
  <c r="AP33"/>
  <c r="AU34"/>
  <c r="AU32"/>
  <c r="AZ33"/>
  <c r="BE34"/>
  <c r="BE32"/>
  <c r="U28" i="6"/>
  <c r="W28"/>
  <c r="V28"/>
  <c r="L4"/>
  <c r="W50"/>
  <c r="W45"/>
  <c r="W48"/>
  <c r="W46"/>
  <c r="W49"/>
  <c r="W47"/>
  <c r="V43"/>
  <c r="AD28"/>
  <c r="AE36"/>
  <c r="U67"/>
  <c r="U63"/>
  <c r="K61"/>
  <c r="U65"/>
  <c r="U64"/>
  <c r="U66"/>
  <c r="U68"/>
  <c r="L9" i="2"/>
  <c r="N9"/>
  <c r="P9"/>
  <c r="R9"/>
  <c r="T9"/>
  <c r="V9"/>
  <c r="X9"/>
  <c r="Z9"/>
  <c r="AB9"/>
  <c r="AD9"/>
  <c r="L10"/>
  <c r="N10"/>
  <c r="P10"/>
  <c r="R10"/>
  <c r="T10"/>
  <c r="V10"/>
  <c r="X10"/>
  <c r="Z10"/>
  <c r="AB10"/>
  <c r="AD10"/>
  <c r="L11"/>
  <c r="N11"/>
  <c r="P11"/>
  <c r="R11"/>
  <c r="T11"/>
  <c r="V11"/>
  <c r="X11"/>
  <c r="Z11"/>
  <c r="AB11"/>
  <c r="AD11"/>
  <c r="L12"/>
  <c r="N12"/>
  <c r="P12"/>
  <c r="R12"/>
  <c r="T12"/>
  <c r="V12"/>
  <c r="X12"/>
  <c r="Z12"/>
  <c r="AB12"/>
  <c r="AD12"/>
  <c r="L13"/>
  <c r="N13"/>
  <c r="P13"/>
  <c r="R13"/>
  <c r="T13"/>
  <c r="V13"/>
  <c r="X13"/>
  <c r="Z13"/>
  <c r="AB13"/>
  <c r="AD13"/>
  <c r="L14"/>
  <c r="N14"/>
  <c r="P14"/>
  <c r="R14"/>
  <c r="T14"/>
  <c r="V14"/>
  <c r="X14"/>
  <c r="Z14"/>
  <c r="AB14"/>
  <c r="AD14"/>
  <c r="L15"/>
  <c r="N15"/>
  <c r="P15"/>
  <c r="R15"/>
  <c r="T15"/>
  <c r="V15"/>
  <c r="X15"/>
  <c r="Z15"/>
  <c r="AB15"/>
  <c r="AD15"/>
  <c r="L16"/>
  <c r="N16"/>
  <c r="P16"/>
  <c r="R16"/>
  <c r="T16"/>
  <c r="K9"/>
  <c r="K9" i="6" s="1"/>
  <c r="O9" i="2"/>
  <c r="S9"/>
  <c r="W9"/>
  <c r="AA9"/>
  <c r="K10"/>
  <c r="K10" i="6" s="1"/>
  <c r="O10" i="2"/>
  <c r="S10"/>
  <c r="W10"/>
  <c r="AA10"/>
  <c r="K11"/>
  <c r="K11" i="6" s="1"/>
  <c r="O11" i="2"/>
  <c r="S11"/>
  <c r="W11"/>
  <c r="AA11"/>
  <c r="K12"/>
  <c r="K12" i="6" s="1"/>
  <c r="O12" i="2"/>
  <c r="S12"/>
  <c r="W12"/>
  <c r="AA12"/>
  <c r="K13"/>
  <c r="K13" i="6" s="1"/>
  <c r="O13" i="2"/>
  <c r="S13"/>
  <c r="W13"/>
  <c r="AA13"/>
  <c r="K14"/>
  <c r="K14" i="6" s="1"/>
  <c r="O14" i="2"/>
  <c r="S14"/>
  <c r="W14"/>
  <c r="AA14"/>
  <c r="K15"/>
  <c r="K15" i="6" s="1"/>
  <c r="O15" i="2"/>
  <c r="S15"/>
  <c r="W15"/>
  <c r="AA15"/>
  <c r="K16"/>
  <c r="K16" i="6" s="1"/>
  <c r="O16" i="2"/>
  <c r="S16"/>
  <c r="V16"/>
  <c r="X16"/>
  <c r="Z16"/>
  <c r="AB16"/>
  <c r="AD16"/>
  <c r="L17"/>
  <c r="N17"/>
  <c r="P17"/>
  <c r="R17"/>
  <c r="T17"/>
  <c r="V17"/>
  <c r="X17"/>
  <c r="Z17"/>
  <c r="AB17"/>
  <c r="AD17"/>
  <c r="L18"/>
  <c r="N18"/>
  <c r="P18"/>
  <c r="R18"/>
  <c r="T18"/>
  <c r="V18"/>
  <c r="X18"/>
  <c r="Z18"/>
  <c r="AB18"/>
  <c r="AD18"/>
  <c r="M9"/>
  <c r="Q9"/>
  <c r="U9"/>
  <c r="Y9"/>
  <c r="AC9"/>
  <c r="M10"/>
  <c r="Q10"/>
  <c r="U10"/>
  <c r="Y10"/>
  <c r="AC10"/>
  <c r="M11"/>
  <c r="Q11"/>
  <c r="U11"/>
  <c r="Y11"/>
  <c r="AC11"/>
  <c r="M12"/>
  <c r="Q12"/>
  <c r="U12"/>
  <c r="Y12"/>
  <c r="AC12"/>
  <c r="M13"/>
  <c r="Q13"/>
  <c r="U13"/>
  <c r="Y13"/>
  <c r="AC13"/>
  <c r="M14"/>
  <c r="Q14"/>
  <c r="U14"/>
  <c r="Y14"/>
  <c r="AC14"/>
  <c r="M15"/>
  <c r="Q15"/>
  <c r="U15"/>
  <c r="Y15"/>
  <c r="AC15"/>
  <c r="M16"/>
  <c r="Q16"/>
  <c r="U16"/>
  <c r="W16"/>
  <c r="Y16"/>
  <c r="AA16"/>
  <c r="AC16"/>
  <c r="K17"/>
  <c r="K17" i="6" s="1"/>
  <c r="M17" i="2"/>
  <c r="O17"/>
  <c r="Q17"/>
  <c r="S17"/>
  <c r="U17"/>
  <c r="W17"/>
  <c r="Y17"/>
  <c r="AA17"/>
  <c r="AC17"/>
  <c r="K18"/>
  <c r="K18" i="6" s="1"/>
  <c r="M18" i="2"/>
  <c r="O18"/>
  <c r="Q18"/>
  <c r="S18"/>
  <c r="U18"/>
  <c r="W18"/>
  <c r="Y18"/>
  <c r="AA18"/>
  <c r="AC18"/>
  <c r="L7"/>
  <c r="N7"/>
  <c r="P7"/>
  <c r="R7"/>
  <c r="T7"/>
  <c r="V7"/>
  <c r="X7"/>
  <c r="Z7"/>
  <c r="AB7"/>
  <c r="AD7"/>
  <c r="L8"/>
  <c r="N8"/>
  <c r="P8"/>
  <c r="R8"/>
  <c r="T8"/>
  <c r="V8"/>
  <c r="X8"/>
  <c r="Z8"/>
  <c r="AB8"/>
  <c r="AD8"/>
  <c r="L19"/>
  <c r="N19"/>
  <c r="P19"/>
  <c r="R19"/>
  <c r="T19"/>
  <c r="V19"/>
  <c r="X19"/>
  <c r="Z19"/>
  <c r="AB19"/>
  <c r="AD19"/>
  <c r="L20"/>
  <c r="N20"/>
  <c r="P20"/>
  <c r="R20"/>
  <c r="T20"/>
  <c r="V20"/>
  <c r="X20"/>
  <c r="Z20"/>
  <c r="AB20"/>
  <c r="AD20"/>
  <c r="L21"/>
  <c r="N21"/>
  <c r="P21"/>
  <c r="R21"/>
  <c r="T21"/>
  <c r="V21"/>
  <c r="X21"/>
  <c r="Z21"/>
  <c r="AB21"/>
  <c r="AD21"/>
  <c r="L22"/>
  <c r="N22"/>
  <c r="P22"/>
  <c r="R22"/>
  <c r="T22"/>
  <c r="V22"/>
  <c r="X22"/>
  <c r="Z22"/>
  <c r="AB22"/>
  <c r="AD22"/>
  <c r="L23"/>
  <c r="N23"/>
  <c r="P23"/>
  <c r="R23"/>
  <c r="T23"/>
  <c r="V23"/>
  <c r="X23"/>
  <c r="Z23"/>
  <c r="AB23"/>
  <c r="AD23"/>
  <c r="L24"/>
  <c r="N24"/>
  <c r="P24"/>
  <c r="R24"/>
  <c r="T24"/>
  <c r="V24"/>
  <c r="X24"/>
  <c r="Z24"/>
  <c r="AB24"/>
  <c r="AD24"/>
  <c r="L25"/>
  <c r="N25"/>
  <c r="P25"/>
  <c r="R25"/>
  <c r="T25"/>
  <c r="V25"/>
  <c r="X25"/>
  <c r="Z25"/>
  <c r="AB25"/>
  <c r="AD25"/>
  <c r="L26"/>
  <c r="N26"/>
  <c r="P26"/>
  <c r="R26"/>
  <c r="T26"/>
  <c r="V26"/>
  <c r="X26"/>
  <c r="Z26"/>
  <c r="AB26"/>
  <c r="AD26"/>
  <c r="L27"/>
  <c r="N27"/>
  <c r="P27"/>
  <c r="R27"/>
  <c r="T27"/>
  <c r="V27"/>
  <c r="X27"/>
  <c r="Z27"/>
  <c r="AB27"/>
  <c r="AD27"/>
  <c r="L28"/>
  <c r="N28"/>
  <c r="P28"/>
  <c r="R28"/>
  <c r="T28"/>
  <c r="V28"/>
  <c r="X28"/>
  <c r="Z28"/>
  <c r="AB28"/>
  <c r="AD28"/>
  <c r="L29"/>
  <c r="N29"/>
  <c r="P29"/>
  <c r="R29"/>
  <c r="T29"/>
  <c r="V29"/>
  <c r="X29"/>
  <c r="Z29"/>
  <c r="AB29"/>
  <c r="AD29"/>
  <c r="L30"/>
  <c r="N30"/>
  <c r="P30"/>
  <c r="R30"/>
  <c r="T30"/>
  <c r="V30"/>
  <c r="X30"/>
  <c r="Z30"/>
  <c r="AB30"/>
  <c r="AD30"/>
  <c r="L31"/>
  <c r="K7"/>
  <c r="O7"/>
  <c r="S7"/>
  <c r="W7"/>
  <c r="AA7"/>
  <c r="K8"/>
  <c r="O8"/>
  <c r="S8"/>
  <c r="W8"/>
  <c r="AA8"/>
  <c r="K19"/>
  <c r="O19"/>
  <c r="S19"/>
  <c r="W19"/>
  <c r="AA19"/>
  <c r="K20"/>
  <c r="O20"/>
  <c r="S20"/>
  <c r="W20"/>
  <c r="AA20"/>
  <c r="K21"/>
  <c r="O21"/>
  <c r="S21"/>
  <c r="W21"/>
  <c r="AA21"/>
  <c r="K22"/>
  <c r="O22"/>
  <c r="S22"/>
  <c r="W22"/>
  <c r="AA22"/>
  <c r="K23"/>
  <c r="O23"/>
  <c r="S23"/>
  <c r="W23"/>
  <c r="AA23"/>
  <c r="K24"/>
  <c r="O24"/>
  <c r="S24"/>
  <c r="W24"/>
  <c r="AA24"/>
  <c r="K25"/>
  <c r="O25"/>
  <c r="S25"/>
  <c r="W25"/>
  <c r="AA25"/>
  <c r="K26"/>
  <c r="O26"/>
  <c r="S26"/>
  <c r="W26"/>
  <c r="AA26"/>
  <c r="K27"/>
  <c r="O27"/>
  <c r="S27"/>
  <c r="W27"/>
  <c r="AA27"/>
  <c r="K28"/>
  <c r="O28"/>
  <c r="S28"/>
  <c r="W28"/>
  <c r="AA28"/>
  <c r="K29"/>
  <c r="O29"/>
  <c r="S29"/>
  <c r="W29"/>
  <c r="AA29"/>
  <c r="O30"/>
  <c r="S30"/>
  <c r="W30"/>
  <c r="AA30"/>
  <c r="N31"/>
  <c r="R31"/>
  <c r="V31"/>
  <c r="Z31"/>
  <c r="AD31"/>
  <c r="N32"/>
  <c r="R32"/>
  <c r="V32"/>
  <c r="Z32"/>
  <c r="AD32"/>
  <c r="N33"/>
  <c r="T33"/>
  <c r="X33"/>
  <c r="AB33"/>
  <c r="L34"/>
  <c r="R34"/>
  <c r="V34"/>
  <c r="Z34"/>
  <c r="AD34"/>
  <c r="N35"/>
  <c r="R35"/>
  <c r="V35"/>
  <c r="Z35"/>
  <c r="AD35"/>
  <c r="N36"/>
  <c r="T36"/>
  <c r="X36"/>
  <c r="AB36"/>
  <c r="L37"/>
  <c r="P37"/>
  <c r="T37"/>
  <c r="X37"/>
  <c r="AB37"/>
  <c r="N38"/>
  <c r="R38"/>
  <c r="V38"/>
  <c r="Z38"/>
  <c r="L39"/>
  <c r="P39"/>
  <c r="T39"/>
  <c r="X39"/>
  <c r="AB39"/>
  <c r="L40"/>
  <c r="P40"/>
  <c r="T40"/>
  <c r="X40"/>
  <c r="AB40"/>
  <c r="L41"/>
  <c r="P41"/>
  <c r="T41"/>
  <c r="Z41"/>
  <c r="AD41"/>
  <c r="N42"/>
  <c r="R42"/>
  <c r="X42"/>
  <c r="AB42"/>
  <c r="L43"/>
  <c r="P43"/>
  <c r="T43"/>
  <c r="X43"/>
  <c r="AB43"/>
  <c r="L44"/>
  <c r="R44"/>
  <c r="V44"/>
  <c r="Z44"/>
  <c r="AD44"/>
  <c r="N45"/>
  <c r="R45"/>
  <c r="X45"/>
  <c r="AB45"/>
  <c r="M7"/>
  <c r="Q7"/>
  <c r="U7"/>
  <c r="Y7"/>
  <c r="AC7"/>
  <c r="M8"/>
  <c r="Q8"/>
  <c r="U8"/>
  <c r="Y8"/>
  <c r="AC8"/>
  <c r="M19"/>
  <c r="Q19"/>
  <c r="U19"/>
  <c r="Y19"/>
  <c r="AC19"/>
  <c r="M20"/>
  <c r="Q20"/>
  <c r="U20"/>
  <c r="Y20"/>
  <c r="AC20"/>
  <c r="M21"/>
  <c r="Q21"/>
  <c r="U21"/>
  <c r="Y21"/>
  <c r="AC21"/>
  <c r="M22"/>
  <c r="Q22"/>
  <c r="U22"/>
  <c r="Y22"/>
  <c r="AC22"/>
  <c r="M23"/>
  <c r="Q23"/>
  <c r="U23"/>
  <c r="Y23"/>
  <c r="AC23"/>
  <c r="M24"/>
  <c r="Q24"/>
  <c r="U24"/>
  <c r="Y24"/>
  <c r="AC24"/>
  <c r="M25"/>
  <c r="Q25"/>
  <c r="U25"/>
  <c r="Y25"/>
  <c r="AC25"/>
  <c r="M26"/>
  <c r="Q26"/>
  <c r="U26"/>
  <c r="Y26"/>
  <c r="AC26"/>
  <c r="M27"/>
  <c r="Q27"/>
  <c r="U27"/>
  <c r="Y27"/>
  <c r="AC27"/>
  <c r="M28"/>
  <c r="Q28"/>
  <c r="U28"/>
  <c r="Y28"/>
  <c r="AC28"/>
  <c r="M29"/>
  <c r="Q29"/>
  <c r="U29"/>
  <c r="Y29"/>
  <c r="AC29"/>
  <c r="M30"/>
  <c r="Q30"/>
  <c r="U30"/>
  <c r="Y30"/>
  <c r="AC30"/>
  <c r="M31"/>
  <c r="O31"/>
  <c r="Q31"/>
  <c r="S31"/>
  <c r="U31"/>
  <c r="W31"/>
  <c r="Y31"/>
  <c r="AA31"/>
  <c r="AC31"/>
  <c r="K32"/>
  <c r="M32"/>
  <c r="O32"/>
  <c r="Q32"/>
  <c r="S32"/>
  <c r="U32"/>
  <c r="W32"/>
  <c r="Y32"/>
  <c r="AA32"/>
  <c r="AC32"/>
  <c r="K33"/>
  <c r="M33"/>
  <c r="O33"/>
  <c r="Q33"/>
  <c r="S33"/>
  <c r="U33"/>
  <c r="W33"/>
  <c r="Y33"/>
  <c r="AA33"/>
  <c r="AC33"/>
  <c r="K34"/>
  <c r="M34"/>
  <c r="O34"/>
  <c r="Q34"/>
  <c r="S34"/>
  <c r="U34"/>
  <c r="W34"/>
  <c r="Y34"/>
  <c r="AA34"/>
  <c r="AC34"/>
  <c r="K35"/>
  <c r="M35"/>
  <c r="O35"/>
  <c r="Q35"/>
  <c r="S35"/>
  <c r="U35"/>
  <c r="W35"/>
  <c r="Y35"/>
  <c r="AA35"/>
  <c r="AC35"/>
  <c r="K36"/>
  <c r="M36"/>
  <c r="O36"/>
  <c r="Q36"/>
  <c r="S36"/>
  <c r="U36"/>
  <c r="W36"/>
  <c r="Y36"/>
  <c r="AA36"/>
  <c r="AC36"/>
  <c r="K37"/>
  <c r="M37"/>
  <c r="O37"/>
  <c r="Q37"/>
  <c r="S37"/>
  <c r="U37"/>
  <c r="W37"/>
  <c r="Y37"/>
  <c r="AA37"/>
  <c r="AC37"/>
  <c r="K38"/>
  <c r="M38"/>
  <c r="O38"/>
  <c r="Q38"/>
  <c r="S38"/>
  <c r="U38"/>
  <c r="W38"/>
  <c r="Y38"/>
  <c r="AA38"/>
  <c r="AC38"/>
  <c r="K39"/>
  <c r="M39"/>
  <c r="O39"/>
  <c r="Q39"/>
  <c r="S39"/>
  <c r="U39"/>
  <c r="W39"/>
  <c r="Y39"/>
  <c r="AA39"/>
  <c r="AC39"/>
  <c r="K40"/>
  <c r="M40"/>
  <c r="O40"/>
  <c r="Q40"/>
  <c r="S40"/>
  <c r="U40"/>
  <c r="W40"/>
  <c r="Y40"/>
  <c r="AA40"/>
  <c r="AC40"/>
  <c r="K41"/>
  <c r="M41"/>
  <c r="O41"/>
  <c r="Q41"/>
  <c r="S41"/>
  <c r="U41"/>
  <c r="W41"/>
  <c r="Y41"/>
  <c r="AA41"/>
  <c r="AC41"/>
  <c r="K42"/>
  <c r="M42"/>
  <c r="O42"/>
  <c r="Q42"/>
  <c r="S42"/>
  <c r="U42"/>
  <c r="W42"/>
  <c r="Y42"/>
  <c r="AA42"/>
  <c r="AC42"/>
  <c r="K43"/>
  <c r="M43"/>
  <c r="O43"/>
  <c r="Q43"/>
  <c r="S43"/>
  <c r="U43"/>
  <c r="W43"/>
  <c r="Y43"/>
  <c r="AA43"/>
  <c r="AC43"/>
  <c r="K44"/>
  <c r="M44"/>
  <c r="O44"/>
  <c r="Q44"/>
  <c r="S44"/>
  <c r="U44"/>
  <c r="W44"/>
  <c r="Y44"/>
  <c r="AA44"/>
  <c r="AC44"/>
  <c r="K45"/>
  <c r="M45"/>
  <c r="O45"/>
  <c r="Q45"/>
  <c r="S45"/>
  <c r="U45"/>
  <c r="W45"/>
  <c r="Y45"/>
  <c r="AA45"/>
  <c r="AC45"/>
  <c r="K30"/>
  <c r="K31"/>
  <c r="P31"/>
  <c r="T31"/>
  <c r="X31"/>
  <c r="AB31"/>
  <c r="L32"/>
  <c r="P32"/>
  <c r="T32"/>
  <c r="X32"/>
  <c r="AB32"/>
  <c r="L33"/>
  <c r="P33"/>
  <c r="R33"/>
  <c r="V33"/>
  <c r="Z33"/>
  <c r="AD33"/>
  <c r="N34"/>
  <c r="P34"/>
  <c r="T34"/>
  <c r="X34"/>
  <c r="AB34"/>
  <c r="L35"/>
  <c r="P35"/>
  <c r="T35"/>
  <c r="X35"/>
  <c r="AB35"/>
  <c r="L36"/>
  <c r="P36"/>
  <c r="R36"/>
  <c r="V36"/>
  <c r="Z36"/>
  <c r="AD36"/>
  <c r="N37"/>
  <c r="R37"/>
  <c r="V37"/>
  <c r="Z37"/>
  <c r="AD37"/>
  <c r="L38"/>
  <c r="P38"/>
  <c r="T38"/>
  <c r="X38"/>
  <c r="AB38"/>
  <c r="AD38"/>
  <c r="N39"/>
  <c r="R39"/>
  <c r="V39"/>
  <c r="Z39"/>
  <c r="AD39"/>
  <c r="N40"/>
  <c r="R40"/>
  <c r="V40"/>
  <c r="Z40"/>
  <c r="AD40"/>
  <c r="N41"/>
  <c r="R41"/>
  <c r="V41"/>
  <c r="X41"/>
  <c r="AB41"/>
  <c r="L42"/>
  <c r="P42"/>
  <c r="T42"/>
  <c r="V42"/>
  <c r="Z42"/>
  <c r="AD42"/>
  <c r="N43"/>
  <c r="R43"/>
  <c r="V43"/>
  <c r="Z43"/>
  <c r="AD43"/>
  <c r="N44"/>
  <c r="P44"/>
  <c r="T44"/>
  <c r="X44"/>
  <c r="AB44"/>
  <c r="L45"/>
  <c r="P45"/>
  <c r="T45"/>
  <c r="V45"/>
  <c r="Z45"/>
  <c r="AD45"/>
  <c r="K28" i="6"/>
  <c r="G101" i="20" l="1"/>
  <c r="G110"/>
  <c r="I101"/>
  <c r="E102"/>
  <c r="J51"/>
  <c r="E9" s="1"/>
  <c r="E64"/>
  <c r="O16" i="9"/>
  <c r="M39" s="1"/>
  <c r="F54" i="20" s="1"/>
  <c r="AS16" i="9"/>
  <c r="S39" s="1"/>
  <c r="F60" i="20" s="1"/>
  <c r="Y16" i="9"/>
  <c r="O39" s="1"/>
  <c r="F56" i="20" s="1"/>
  <c r="BC16" i="9"/>
  <c r="U39" s="1"/>
  <c r="F62" i="20" s="1"/>
  <c r="AI16" i="9"/>
  <c r="Q39" s="1"/>
  <c r="F58" i="20" s="1"/>
  <c r="E37"/>
  <c r="L18" i="6"/>
  <c r="E36" i="20"/>
  <c r="L17" i="6"/>
  <c r="E35" i="20"/>
  <c r="L16" i="6"/>
  <c r="E33" i="20"/>
  <c r="L14" i="6"/>
  <c r="E31" i="20"/>
  <c r="L12" i="6"/>
  <c r="E29" i="20"/>
  <c r="L10" i="6"/>
  <c r="V63"/>
  <c r="V67"/>
  <c r="V68"/>
  <c r="V66"/>
  <c r="V64"/>
  <c r="U61"/>
  <c r="V65"/>
  <c r="BH16" i="9"/>
  <c r="V39" s="1"/>
  <c r="F63" i="20" s="1"/>
  <c r="AN16" i="9"/>
  <c r="R39" s="1"/>
  <c r="F59" i="20" s="1"/>
  <c r="T16" i="9"/>
  <c r="N39" s="1"/>
  <c r="F55" i="20" s="1"/>
  <c r="J4" i="2"/>
  <c r="J2"/>
  <c r="J3"/>
  <c r="E34" i="20"/>
  <c r="L15" i="6"/>
  <c r="E32" i="20"/>
  <c r="L13" i="6"/>
  <c r="E30" i="20"/>
  <c r="L11" i="6"/>
  <c r="K7"/>
  <c r="E28" i="20"/>
  <c r="L9" i="6"/>
  <c r="AD49"/>
  <c r="AD46"/>
  <c r="AD45"/>
  <c r="AD50"/>
  <c r="AD47"/>
  <c r="AD48"/>
  <c r="W43"/>
  <c r="L21"/>
  <c r="M4"/>
  <c r="E16" i="9"/>
  <c r="J15"/>
  <c r="V21" i="11"/>
  <c r="L22"/>
  <c r="K41" i="20"/>
  <c r="AX16" i="9"/>
  <c r="T39" s="1"/>
  <c r="F61" i="20" s="1"/>
  <c r="AD16" i="9"/>
  <c r="P39" s="1"/>
  <c r="F57" i="20" s="1"/>
  <c r="F4" l="1"/>
  <c r="G4"/>
  <c r="AS17" i="9"/>
  <c r="S40" s="1"/>
  <c r="G60" i="20" s="1"/>
  <c r="O17" i="9"/>
  <c r="M40" s="1"/>
  <c r="G54" i="20" s="1"/>
  <c r="E112"/>
  <c r="G102"/>
  <c r="G111"/>
  <c r="I102"/>
  <c r="I112" s="1"/>
  <c r="I111"/>
  <c r="E103"/>
  <c r="E114" s="1"/>
  <c r="K51"/>
  <c r="E10" s="1"/>
  <c r="F64"/>
  <c r="E38"/>
  <c r="C4" s="1"/>
  <c r="BC17" i="9"/>
  <c r="U40" s="1"/>
  <c r="G62" i="20" s="1"/>
  <c r="AI17" i="9"/>
  <c r="Q40" s="1"/>
  <c r="G58" i="20" s="1"/>
  <c r="T17" i="9"/>
  <c r="N40" s="1"/>
  <c r="G55" i="20" s="1"/>
  <c r="Y17" i="9"/>
  <c r="O40" s="1"/>
  <c r="G56" i="20" s="1"/>
  <c r="AN17" i="9"/>
  <c r="R40" s="1"/>
  <c r="G59" i="20" s="1"/>
  <c r="BH17" i="9"/>
  <c r="V40" s="1"/>
  <c r="G63" i="20" s="1"/>
  <c r="J16" i="9"/>
  <c r="W65" i="6"/>
  <c r="W67"/>
  <c r="W66"/>
  <c r="W68"/>
  <c r="W63"/>
  <c r="W64"/>
  <c r="V61"/>
  <c r="F31" i="20"/>
  <c r="M12" i="6"/>
  <c r="F35" i="20"/>
  <c r="M16" i="6"/>
  <c r="F37" i="20"/>
  <c r="M18" i="6"/>
  <c r="E17" i="9"/>
  <c r="E18" s="1"/>
  <c r="AD17"/>
  <c r="F28" i="20"/>
  <c r="L7" i="6"/>
  <c r="M9"/>
  <c r="F30" i="20"/>
  <c r="M11" i="6"/>
  <c r="F34" i="20"/>
  <c r="M15" i="6"/>
  <c r="V22" i="11"/>
  <c r="L23"/>
  <c r="L41" i="20"/>
  <c r="M21" i="6"/>
  <c r="N4"/>
  <c r="AE51"/>
  <c r="AD43"/>
  <c r="F32" i="20"/>
  <c r="M13" i="6"/>
  <c r="F29" i="20"/>
  <c r="M10" i="6"/>
  <c r="F33" i="20"/>
  <c r="M14" i="6"/>
  <c r="F36" i="20"/>
  <c r="M17" i="6"/>
  <c r="AX17" i="9"/>
  <c r="H4" i="20"/>
  <c r="F5" l="1"/>
  <c r="G5"/>
  <c r="AS18" i="9"/>
  <c r="S41" s="1"/>
  <c r="H60" i="20" s="1"/>
  <c r="O18" i="9"/>
  <c r="O19" s="1"/>
  <c r="E113" i="20"/>
  <c r="E116" s="1"/>
  <c r="G103"/>
  <c r="G114" s="1"/>
  <c r="G112"/>
  <c r="I103"/>
  <c r="I114" s="1"/>
  <c r="T18" i="9"/>
  <c r="N41" s="1"/>
  <c r="H55" i="20" s="1"/>
  <c r="AI18" i="9"/>
  <c r="Q41" s="1"/>
  <c r="H58" i="20" s="1"/>
  <c r="L51"/>
  <c r="E11" s="1"/>
  <c r="F38"/>
  <c r="C5" s="1"/>
  <c r="BC18" i="9"/>
  <c r="U41" s="1"/>
  <c r="H62" i="20" s="1"/>
  <c r="Y18" i="9"/>
  <c r="Y19" s="1"/>
  <c r="AN18"/>
  <c r="BH18"/>
  <c r="V41" s="1"/>
  <c r="H63" i="20" s="1"/>
  <c r="T40" i="9"/>
  <c r="G61" i="20" s="1"/>
  <c r="AX18" i="9"/>
  <c r="G36" i="20"/>
  <c r="N17" i="6"/>
  <c r="G29" i="20"/>
  <c r="N10" i="6"/>
  <c r="N21"/>
  <c r="O4"/>
  <c r="G30" i="20"/>
  <c r="N11" i="6"/>
  <c r="G37" i="20"/>
  <c r="N18" i="6"/>
  <c r="G31" i="20"/>
  <c r="N12" i="6"/>
  <c r="G33" i="20"/>
  <c r="N14" i="6"/>
  <c r="G32" i="20"/>
  <c r="N13" i="6"/>
  <c r="V23" i="11"/>
  <c r="L24"/>
  <c r="M41" i="20"/>
  <c r="G34"/>
  <c r="N15" i="6"/>
  <c r="G28" i="20"/>
  <c r="M7" i="6"/>
  <c r="N9"/>
  <c r="P40" i="9"/>
  <c r="G57" i="20" s="1"/>
  <c r="AD18" i="9"/>
  <c r="E19"/>
  <c r="G35" i="20"/>
  <c r="N16" i="6"/>
  <c r="AD63"/>
  <c r="AD66"/>
  <c r="AD65"/>
  <c r="W61"/>
  <c r="AD64"/>
  <c r="AD68"/>
  <c r="AD67"/>
  <c r="J17" i="9"/>
  <c r="H5" i="20"/>
  <c r="P5" l="1"/>
  <c r="AS19" i="9"/>
  <c r="S42" s="1"/>
  <c r="I60" i="20" s="1"/>
  <c r="M41" i="9"/>
  <c r="H54" i="20" s="1"/>
  <c r="G113"/>
  <c r="G116" s="1"/>
  <c r="I113"/>
  <c r="I116" s="1"/>
  <c r="T19" i="9"/>
  <c r="N42" s="1"/>
  <c r="I55" i="20" s="1"/>
  <c r="AI19" i="9"/>
  <c r="AI20" s="1"/>
  <c r="O41"/>
  <c r="H56" i="20" s="1"/>
  <c r="G64"/>
  <c r="M51"/>
  <c r="E12" s="1"/>
  <c r="G38"/>
  <c r="C6" s="1"/>
  <c r="BC19" i="9"/>
  <c r="U42" s="1"/>
  <c r="I62" i="20" s="1"/>
  <c r="R41" i="9"/>
  <c r="H59" i="20" s="1"/>
  <c r="AN19" i="9"/>
  <c r="BH19"/>
  <c r="J18"/>
  <c r="H31" i="20"/>
  <c r="O12" i="6"/>
  <c r="M42" i="9"/>
  <c r="I54" i="20" s="1"/>
  <c r="O20" i="9"/>
  <c r="O11" i="6"/>
  <c r="H30" i="20"/>
  <c r="H36"/>
  <c r="O17" i="6"/>
  <c r="H35" i="20"/>
  <c r="O16" i="6"/>
  <c r="H33" i="20"/>
  <c r="O14" i="6"/>
  <c r="AD61"/>
  <c r="AE69"/>
  <c r="E20" i="9"/>
  <c r="P41"/>
  <c r="H57" i="20" s="1"/>
  <c r="AD19" i="9"/>
  <c r="O9" i="6"/>
  <c r="N7"/>
  <c r="H28" i="20"/>
  <c r="H34"/>
  <c r="O15" i="6"/>
  <c r="V24" i="11"/>
  <c r="L25"/>
  <c r="N41" i="20"/>
  <c r="H32"/>
  <c r="O13" i="6"/>
  <c r="O42" i="9"/>
  <c r="I56" i="20" s="1"/>
  <c r="Y20" i="9"/>
  <c r="H37" i="20"/>
  <c r="O18" i="6"/>
  <c r="O21"/>
  <c r="P4"/>
  <c r="H29" i="20"/>
  <c r="O10" i="6"/>
  <c r="T41" i="9"/>
  <c r="H61" i="20" s="1"/>
  <c r="AX19" i="9"/>
  <c r="F6" i="20" l="1"/>
  <c r="G6"/>
  <c r="AS20" i="9"/>
  <c r="AS21" s="1"/>
  <c r="Q42"/>
  <c r="I58" i="20" s="1"/>
  <c r="T20" i="9"/>
  <c r="T21" s="1"/>
  <c r="T22" s="1"/>
  <c r="H64" i="20"/>
  <c r="N51"/>
  <c r="E13" s="1"/>
  <c r="H38"/>
  <c r="C7" s="1"/>
  <c r="BC20" i="9"/>
  <c r="U43" s="1"/>
  <c r="J62" i="20" s="1"/>
  <c r="AN20" i="9"/>
  <c r="R42"/>
  <c r="I59" i="20" s="1"/>
  <c r="V42" i="9"/>
  <c r="I63" i="20" s="1"/>
  <c r="BH20" i="9"/>
  <c r="Y21"/>
  <c r="O43"/>
  <c r="J56" i="20" s="1"/>
  <c r="P42" i="9"/>
  <c r="I57" i="20" s="1"/>
  <c r="AD20" i="9"/>
  <c r="E21"/>
  <c r="P14" i="6"/>
  <c r="I33" i="20"/>
  <c r="P17" i="6"/>
  <c r="I36" i="20"/>
  <c r="M43" i="9"/>
  <c r="J54" i="20" s="1"/>
  <c r="O21" i="9"/>
  <c r="I31" i="20"/>
  <c r="P12" i="6"/>
  <c r="T42" i="9"/>
  <c r="I61" i="20" s="1"/>
  <c r="AX20" i="9"/>
  <c r="I29" i="20"/>
  <c r="P10" i="6"/>
  <c r="Q43" i="9"/>
  <c r="J58" i="20" s="1"/>
  <c r="AI21" i="9"/>
  <c r="P13" i="6"/>
  <c r="I32" i="20"/>
  <c r="V25" i="11"/>
  <c r="L26"/>
  <c r="O41" i="20"/>
  <c r="P21" i="6"/>
  <c r="Q4"/>
  <c r="I37" i="20"/>
  <c r="P18" i="6"/>
  <c r="I34" i="20"/>
  <c r="P15" i="6"/>
  <c r="I28" i="20"/>
  <c r="P9" i="6"/>
  <c r="O7"/>
  <c r="P16"/>
  <c r="I35" i="20"/>
  <c r="I30"/>
  <c r="P11" i="6"/>
  <c r="J19" i="9"/>
  <c r="H6" i="20"/>
  <c r="S43" i="9" l="1"/>
  <c r="J60" i="20" s="1"/>
  <c r="P6"/>
  <c r="F7"/>
  <c r="G7"/>
  <c r="N43" i="9"/>
  <c r="J55" i="20" s="1"/>
  <c r="N44" i="9"/>
  <c r="K55" i="20" s="1"/>
  <c r="BC21" i="9"/>
  <c r="BC22" s="1"/>
  <c r="O51" i="20"/>
  <c r="E14" s="1"/>
  <c r="I64"/>
  <c r="I38"/>
  <c r="C8" s="1"/>
  <c r="AN21" i="9"/>
  <c r="R43"/>
  <c r="J59" i="20" s="1"/>
  <c r="V43" i="9"/>
  <c r="J63" i="20" s="1"/>
  <c r="BH21" i="9"/>
  <c r="AS22"/>
  <c r="S44"/>
  <c r="K60" i="20" s="1"/>
  <c r="J30"/>
  <c r="Q11" i="6"/>
  <c r="J35" i="20"/>
  <c r="Q16" i="6"/>
  <c r="J28" i="20"/>
  <c r="Q9" i="6"/>
  <c r="P7"/>
  <c r="V26" i="11"/>
  <c r="L27"/>
  <c r="P41" i="20"/>
  <c r="J32"/>
  <c r="Q13" i="6"/>
  <c r="J29" i="20"/>
  <c r="Q10" i="6"/>
  <c r="T43" i="9"/>
  <c r="J61" i="20" s="1"/>
  <c r="AX21" i="9"/>
  <c r="J33" i="20"/>
  <c r="Q14" i="6"/>
  <c r="E22" i="9"/>
  <c r="O44"/>
  <c r="K56" i="20" s="1"/>
  <c r="Y22" i="9"/>
  <c r="N45"/>
  <c r="L55" i="20" s="1"/>
  <c r="T23" i="9"/>
  <c r="J34" i="20"/>
  <c r="Q15" i="6"/>
  <c r="J37" i="20"/>
  <c r="Q18" i="6"/>
  <c r="Q21"/>
  <c r="R4"/>
  <c r="AI22" i="9"/>
  <c r="Q44"/>
  <c r="K58" i="20" s="1"/>
  <c r="J31"/>
  <c r="Q12" i="6"/>
  <c r="O22" i="9"/>
  <c r="M44"/>
  <c r="K54" i="20" s="1"/>
  <c r="J36"/>
  <c r="Q17" i="6"/>
  <c r="P43" i="9"/>
  <c r="J57" i="20" s="1"/>
  <c r="AD21" i="9"/>
  <c r="J20"/>
  <c r="H7" i="20"/>
  <c r="P7" l="1"/>
  <c r="F8"/>
  <c r="G8"/>
  <c r="U44" i="9"/>
  <c r="K62" i="20" s="1"/>
  <c r="J64"/>
  <c r="P51"/>
  <c r="E15" s="1"/>
  <c r="J38"/>
  <c r="C9" s="1"/>
  <c r="R44" i="9"/>
  <c r="K59" i="20" s="1"/>
  <c r="AN22" i="9"/>
  <c r="BH22"/>
  <c r="V44"/>
  <c r="K63" i="20" s="1"/>
  <c r="AS23" i="9"/>
  <c r="S45"/>
  <c r="L60" i="20" s="1"/>
  <c r="AD22" i="9"/>
  <c r="P44"/>
  <c r="K57" i="20" s="1"/>
  <c r="K36"/>
  <c r="R17" i="6"/>
  <c r="M45" i="9"/>
  <c r="L54" i="20" s="1"/>
  <c r="O23" i="9"/>
  <c r="R21" i="6"/>
  <c r="S4"/>
  <c r="K37" i="20"/>
  <c r="R18" i="6"/>
  <c r="T24" i="9"/>
  <c r="N46"/>
  <c r="M55" i="20" s="1"/>
  <c r="Y23" i="9"/>
  <c r="O45"/>
  <c r="L56" i="20" s="1"/>
  <c r="R14" i="6"/>
  <c r="K33" i="20"/>
  <c r="R13" i="6"/>
  <c r="K32" i="20"/>
  <c r="V27" i="11"/>
  <c r="L28"/>
  <c r="Q41" i="20"/>
  <c r="BC23" i="9"/>
  <c r="U45"/>
  <c r="L62" i="20" s="1"/>
  <c r="K28"/>
  <c r="R9" i="6"/>
  <c r="Q7"/>
  <c r="R16"/>
  <c r="K35" i="20"/>
  <c r="K31"/>
  <c r="R12" i="6"/>
  <c r="Q45" i="9"/>
  <c r="L58" i="20" s="1"/>
  <c r="AI23" i="9"/>
  <c r="K34" i="20"/>
  <c r="R15" i="6"/>
  <c r="E23" i="9"/>
  <c r="AX22"/>
  <c r="T44"/>
  <c r="K61" i="20" s="1"/>
  <c r="R10" i="6"/>
  <c r="K29" i="20"/>
  <c r="R11" i="6"/>
  <c r="K30" i="20"/>
  <c r="J21" i="9"/>
  <c r="H8" i="20"/>
  <c r="P8" l="1"/>
  <c r="F9"/>
  <c r="G9"/>
  <c r="K64"/>
  <c r="Q51"/>
  <c r="E16" s="1"/>
  <c r="K38"/>
  <c r="C10" s="1"/>
  <c r="AN23" i="9"/>
  <c r="R45"/>
  <c r="L59" i="20" s="1"/>
  <c r="V45" i="9"/>
  <c r="L63" i="20" s="1"/>
  <c r="BH23" i="9"/>
  <c r="J22"/>
  <c r="AS24"/>
  <c r="S46"/>
  <c r="M60" i="20" s="1"/>
  <c r="L30"/>
  <c r="S11" i="6"/>
  <c r="L31" i="20"/>
  <c r="S12" i="6"/>
  <c r="L35" i="20"/>
  <c r="S16" i="6"/>
  <c r="BC24" i="9"/>
  <c r="U46"/>
  <c r="M62" i="20" s="1"/>
  <c r="L29" i="11"/>
  <c r="V28"/>
  <c r="R41" i="20"/>
  <c r="L32"/>
  <c r="S13" i="6"/>
  <c r="L36" i="20"/>
  <c r="S17" i="6"/>
  <c r="L29" i="20"/>
  <c r="S10" i="6"/>
  <c r="T45" i="9"/>
  <c r="L61" i="20" s="1"/>
  <c r="AX23" i="9"/>
  <c r="E24"/>
  <c r="E25" s="1"/>
  <c r="L34" i="20"/>
  <c r="S15" i="6"/>
  <c r="AI24" i="9"/>
  <c r="Q46"/>
  <c r="M58" i="20" s="1"/>
  <c r="S9" i="6"/>
  <c r="L28" i="20"/>
  <c r="R7" i="6"/>
  <c r="L33" i="20"/>
  <c r="S14" i="6"/>
  <c r="Y24" i="9"/>
  <c r="O46"/>
  <c r="M56" i="20" s="1"/>
  <c r="T25" i="9"/>
  <c r="N47"/>
  <c r="N55" i="20" s="1"/>
  <c r="L37"/>
  <c r="S18" i="6"/>
  <c r="S21"/>
  <c r="T4"/>
  <c r="O24" i="9"/>
  <c r="M46"/>
  <c r="M54" i="20" s="1"/>
  <c r="P45" i="9"/>
  <c r="L57" i="20" s="1"/>
  <c r="AD23" i="9"/>
  <c r="H9" i="20"/>
  <c r="P9" l="1"/>
  <c r="F10"/>
  <c r="G10"/>
  <c r="L64"/>
  <c r="R51"/>
  <c r="E17" s="1"/>
  <c r="L38"/>
  <c r="C11" s="1"/>
  <c r="J23" i="9"/>
  <c r="AN24"/>
  <c r="R46"/>
  <c r="M59" i="20" s="1"/>
  <c r="V46" i="9"/>
  <c r="M63" i="20" s="1"/>
  <c r="BH24" i="9"/>
  <c r="AS25"/>
  <c r="S47"/>
  <c r="N60" i="20" s="1"/>
  <c r="O25" i="9"/>
  <c r="M47"/>
  <c r="N54" i="20" s="1"/>
  <c r="M33"/>
  <c r="T14" i="6"/>
  <c r="M28" i="20"/>
  <c r="T9" i="6"/>
  <c r="S7"/>
  <c r="AI25" i="9"/>
  <c r="Q47"/>
  <c r="N58" i="20" s="1"/>
  <c r="AX24" i="9"/>
  <c r="T46"/>
  <c r="M61" i="20" s="1"/>
  <c r="T10" i="6"/>
  <c r="M29" i="20"/>
  <c r="M32"/>
  <c r="T13" i="6"/>
  <c r="T16"/>
  <c r="M35" i="20"/>
  <c r="T11" i="6"/>
  <c r="M30" i="20"/>
  <c r="AD24" i="9"/>
  <c r="P46"/>
  <c r="M57" i="20" s="1"/>
  <c r="T21" i="6"/>
  <c r="U4"/>
  <c r="T18"/>
  <c r="M37" i="20"/>
  <c r="N48" i="9"/>
  <c r="O55" i="20" s="1"/>
  <c r="T26" i="9"/>
  <c r="O47"/>
  <c r="N56" i="20" s="1"/>
  <c r="Y25" i="9"/>
  <c r="T15" i="6"/>
  <c r="M34" i="20"/>
  <c r="E26" i="9"/>
  <c r="M36" i="20"/>
  <c r="T17" i="6"/>
  <c r="L30" i="11"/>
  <c r="V29"/>
  <c r="S41" i="20"/>
  <c r="U47" i="9"/>
  <c r="N62" i="20" s="1"/>
  <c r="BC25" i="9"/>
  <c r="M31" i="20"/>
  <c r="T12" i="6"/>
  <c r="H10" i="20"/>
  <c r="P10" l="1"/>
  <c r="F11"/>
  <c r="G11"/>
  <c r="M64"/>
  <c r="S51"/>
  <c r="E18" s="1"/>
  <c r="M38"/>
  <c r="C12" s="1"/>
  <c r="J24" i="9"/>
  <c r="R47"/>
  <c r="N59" i="20" s="1"/>
  <c r="AN25" i="9"/>
  <c r="V47"/>
  <c r="N63" i="20" s="1"/>
  <c r="BH25" i="9"/>
  <c r="S48"/>
  <c r="O60" i="20" s="1"/>
  <c r="AS26" i="9"/>
  <c r="N31" i="20"/>
  <c r="U12" i="6"/>
  <c r="BC26" i="9"/>
  <c r="U48"/>
  <c r="O62" i="20" s="1"/>
  <c r="E27" i="9"/>
  <c r="Y26"/>
  <c r="O48"/>
  <c r="O56" i="20" s="1"/>
  <c r="T27" i="9"/>
  <c r="N49"/>
  <c r="P55" i="20" s="1"/>
  <c r="U18" i="6"/>
  <c r="N37" i="20"/>
  <c r="AD25" i="9"/>
  <c r="P47"/>
  <c r="N57" i="20" s="1"/>
  <c r="U16" i="6"/>
  <c r="N35" i="20"/>
  <c r="U13" i="6"/>
  <c r="N32" i="20"/>
  <c r="U10" i="6"/>
  <c r="N29" i="20"/>
  <c r="AX25" i="9"/>
  <c r="T47"/>
  <c r="N61" i="20" s="1"/>
  <c r="Q48" i="9"/>
  <c r="O58" i="20" s="1"/>
  <c r="AI26" i="9"/>
  <c r="N33" i="20"/>
  <c r="U14" i="6"/>
  <c r="V30" i="11"/>
  <c r="L31"/>
  <c r="T41" i="20"/>
  <c r="N36"/>
  <c r="U17" i="6"/>
  <c r="U15"/>
  <c r="N34" i="20"/>
  <c r="U21" i="6"/>
  <c r="V4"/>
  <c r="N30" i="20"/>
  <c r="U11" i="6"/>
  <c r="N28" i="20"/>
  <c r="U9" i="6"/>
  <c r="T7"/>
  <c r="M48" i="9"/>
  <c r="O54" i="20" s="1"/>
  <c r="O26" i="9"/>
  <c r="H11" i="20"/>
  <c r="P11" l="1"/>
  <c r="F12"/>
  <c r="G12"/>
  <c r="T51"/>
  <c r="E19" s="1"/>
  <c r="N64"/>
  <c r="N38"/>
  <c r="C13" s="1"/>
  <c r="R48" i="9"/>
  <c r="O59" i="20" s="1"/>
  <c r="AN26" i="9"/>
  <c r="V48"/>
  <c r="O63" i="20" s="1"/>
  <c r="BH26" i="9"/>
  <c r="S49"/>
  <c r="P60" i="20" s="1"/>
  <c r="AS27" i="9"/>
  <c r="O27"/>
  <c r="M49"/>
  <c r="P54" i="20" s="1"/>
  <c r="V31" i="11"/>
  <c r="L32"/>
  <c r="U41" i="20"/>
  <c r="T48" i="9"/>
  <c r="O61" i="20" s="1"/>
  <c r="AX26" i="9"/>
  <c r="V13" i="6"/>
  <c r="O32" i="20"/>
  <c r="O37"/>
  <c r="V18" i="6"/>
  <c r="N50" i="9"/>
  <c r="Q55" i="20" s="1"/>
  <c r="T28" i="9"/>
  <c r="O49"/>
  <c r="P56" i="20" s="1"/>
  <c r="Y27" i="9"/>
  <c r="E28"/>
  <c r="E29" s="1"/>
  <c r="U49"/>
  <c r="P62" i="20" s="1"/>
  <c r="BC27" i="9"/>
  <c r="O31" i="20"/>
  <c r="V12" i="6"/>
  <c r="O28" i="20"/>
  <c r="V9" i="6"/>
  <c r="U7"/>
  <c r="O30" i="20"/>
  <c r="V11" i="6"/>
  <c r="V21"/>
  <c r="W4"/>
  <c r="O34" i="20"/>
  <c r="V15" i="6"/>
  <c r="O36" i="20"/>
  <c r="V17" i="6"/>
  <c r="O33" i="20"/>
  <c r="V14" i="6"/>
  <c r="AI27" i="9"/>
  <c r="Q49"/>
  <c r="P58" i="20" s="1"/>
  <c r="O29"/>
  <c r="V10" i="6"/>
  <c r="O35" i="20"/>
  <c r="V16" i="6"/>
  <c r="P48" i="9"/>
  <c r="O57" i="20" s="1"/>
  <c r="AD26" i="9"/>
  <c r="J25"/>
  <c r="H12" i="20"/>
  <c r="P12" l="1"/>
  <c r="F13"/>
  <c r="G13"/>
  <c r="O64"/>
  <c r="U51"/>
  <c r="E20" s="1"/>
  <c r="O38"/>
  <c r="C14" s="1"/>
  <c r="R49" i="9"/>
  <c r="P59" i="20" s="1"/>
  <c r="AN27" i="9"/>
  <c r="J26"/>
  <c r="BH27"/>
  <c r="V49"/>
  <c r="P63" i="20" s="1"/>
  <c r="AS28" i="9"/>
  <c r="S50"/>
  <c r="Q60" i="20" s="1"/>
  <c r="W10" i="6"/>
  <c r="P29" i="20"/>
  <c r="Q50" i="9"/>
  <c r="Q58" i="20" s="1"/>
  <c r="AI28" i="9"/>
  <c r="W17" i="6"/>
  <c r="P36" i="20"/>
  <c r="W21" i="6"/>
  <c r="X4"/>
  <c r="P30" i="20"/>
  <c r="W11" i="6"/>
  <c r="P28" i="20"/>
  <c r="W9" i="6"/>
  <c r="V7"/>
  <c r="U50" i="9"/>
  <c r="Q62" i="20" s="1"/>
  <c r="BC28" i="9"/>
  <c r="O50"/>
  <c r="Q56" i="20" s="1"/>
  <c r="Y28" i="9"/>
  <c r="N51"/>
  <c r="R55" i="20" s="1"/>
  <c r="T29" i="9"/>
  <c r="W18" i="6"/>
  <c r="P37" i="20"/>
  <c r="W13" i="6"/>
  <c r="P32" i="20"/>
  <c r="AX27" i="9"/>
  <c r="T49"/>
  <c r="P61" i="20" s="1"/>
  <c r="M50" i="9"/>
  <c r="Q54" i="20" s="1"/>
  <c r="O28" i="9"/>
  <c r="AD27"/>
  <c r="P49"/>
  <c r="P57" i="20" s="1"/>
  <c r="W16" i="6"/>
  <c r="P35" i="20"/>
  <c r="P33"/>
  <c r="W14" i="6"/>
  <c r="P34" i="20"/>
  <c r="W15" i="6"/>
  <c r="P31" i="20"/>
  <c r="W12" i="6"/>
  <c r="E30" i="9"/>
  <c r="E31" s="1"/>
  <c r="E32" s="1"/>
  <c r="E33" s="1"/>
  <c r="V32" i="11"/>
  <c r="L33"/>
  <c r="V41" i="20"/>
  <c r="H13"/>
  <c r="P13" l="1"/>
  <c r="F14"/>
  <c r="G14"/>
  <c r="P64"/>
  <c r="V51"/>
  <c r="E21" s="1"/>
  <c r="P38"/>
  <c r="C15" s="1"/>
  <c r="R50" i="9"/>
  <c r="Q59" i="20" s="1"/>
  <c r="AN28" i="9"/>
  <c r="V50"/>
  <c r="Q63" i="20" s="1"/>
  <c r="BH28" i="9"/>
  <c r="AS29"/>
  <c r="S51"/>
  <c r="R60" i="20" s="1"/>
  <c r="L34" i="11"/>
  <c r="V33"/>
  <c r="W41" i="20"/>
  <c r="Q34"/>
  <c r="X15" i="6"/>
  <c r="M51" i="9"/>
  <c r="R54" i="20" s="1"/>
  <c r="O29" i="9"/>
  <c r="Q32" i="20"/>
  <c r="X13" i="6"/>
  <c r="N52" i="9"/>
  <c r="S55" i="20" s="1"/>
  <c r="T30" i="9"/>
  <c r="O51"/>
  <c r="R56" i="20" s="1"/>
  <c r="Y29" i="9"/>
  <c r="U51"/>
  <c r="R62" i="20" s="1"/>
  <c r="BC29" i="9"/>
  <c r="Q51"/>
  <c r="R58" i="20" s="1"/>
  <c r="AI29" i="9"/>
  <c r="Q29" i="20"/>
  <c r="X10" i="6"/>
  <c r="Q31" i="20"/>
  <c r="X12" i="6"/>
  <c r="Q33" i="20"/>
  <c r="X14" i="6"/>
  <c r="Q35" i="20"/>
  <c r="X16" i="6"/>
  <c r="P50" i="9"/>
  <c r="Q57" i="20" s="1"/>
  <c r="AD28" i="9"/>
  <c r="J27"/>
  <c r="T50"/>
  <c r="Q61" i="20" s="1"/>
  <c r="AX28" i="9"/>
  <c r="Q37" i="20"/>
  <c r="X18" i="6"/>
  <c r="Q28" i="20"/>
  <c r="X9" i="6"/>
  <c r="W7"/>
  <c r="X11"/>
  <c r="Q30" i="20"/>
  <c r="X21" i="6"/>
  <c r="Y4"/>
  <c r="Q36" i="20"/>
  <c r="X17" i="6"/>
  <c r="E34" i="9"/>
  <c r="H14" i="20"/>
  <c r="P14" l="1"/>
  <c r="F15"/>
  <c r="G15"/>
  <c r="Q64"/>
  <c r="W51"/>
  <c r="E22" s="1"/>
  <c r="Q38"/>
  <c r="C16" s="1"/>
  <c r="AN29" i="9"/>
  <c r="R51"/>
  <c r="R59" i="20" s="1"/>
  <c r="V51" i="9"/>
  <c r="R63" i="20" s="1"/>
  <c r="BH29" i="9"/>
  <c r="AS30"/>
  <c r="S52"/>
  <c r="S60" i="20" s="1"/>
  <c r="Y21" i="6"/>
  <c r="Z4"/>
  <c r="T51" i="9"/>
  <c r="R61" i="20" s="1"/>
  <c r="AX29" i="9"/>
  <c r="Y14" i="6"/>
  <c r="R33" i="20"/>
  <c r="R29"/>
  <c r="Y10" i="6"/>
  <c r="O52" i="9"/>
  <c r="S56" i="20" s="1"/>
  <c r="Y30" i="9"/>
  <c r="N53"/>
  <c r="T55" i="20" s="1"/>
  <c r="T31" i="9"/>
  <c r="R32" i="20"/>
  <c r="Y13" i="6"/>
  <c r="L35" i="11"/>
  <c r="V34"/>
  <c r="X41" i="20"/>
  <c r="R36"/>
  <c r="Y17" i="6"/>
  <c r="R30" i="20"/>
  <c r="Y11" i="6"/>
  <c r="R28" i="20"/>
  <c r="X7" i="6"/>
  <c r="Y9"/>
  <c r="Y18"/>
  <c r="R37" i="20"/>
  <c r="P51" i="9"/>
  <c r="R57" i="20" s="1"/>
  <c r="AD29" i="9"/>
  <c r="R35" i="20"/>
  <c r="Y16" i="6"/>
  <c r="R31" i="20"/>
  <c r="Y12" i="6"/>
  <c r="Q52" i="9"/>
  <c r="S58" i="20" s="1"/>
  <c r="AI30" i="9"/>
  <c r="U52"/>
  <c r="S62" i="20" s="1"/>
  <c r="BC30" i="9"/>
  <c r="M52"/>
  <c r="S54" i="20" s="1"/>
  <c r="O30" i="9"/>
  <c r="R34" i="20"/>
  <c r="Y15" i="6"/>
  <c r="J28" i="9"/>
  <c r="E35"/>
  <c r="H15" i="20"/>
  <c r="P15" l="1"/>
  <c r="F16"/>
  <c r="G16"/>
  <c r="R64"/>
  <c r="X51"/>
  <c r="E23" s="1"/>
  <c r="R38"/>
  <c r="C17" s="1"/>
  <c r="J29" i="9"/>
  <c r="R52"/>
  <c r="S59" i="20" s="1"/>
  <c r="AN30" i="9"/>
  <c r="V52"/>
  <c r="S63" i="20" s="1"/>
  <c r="BH30" i="9"/>
  <c r="S53"/>
  <c r="T60" i="20" s="1"/>
  <c r="AS31" i="9"/>
  <c r="S31" i="20"/>
  <c r="Z12" i="6"/>
  <c r="S37" i="20"/>
  <c r="Z18" i="6"/>
  <c r="S30" i="20"/>
  <c r="Z11" i="6"/>
  <c r="S36" i="20"/>
  <c r="Z17" i="6"/>
  <c r="L36" i="11"/>
  <c r="V35"/>
  <c r="Z13" i="6"/>
  <c r="S32" i="20"/>
  <c r="T32" i="9"/>
  <c r="N54"/>
  <c r="U55" i="20" s="1"/>
  <c r="Y31" i="9"/>
  <c r="O53"/>
  <c r="T56" i="20" s="1"/>
  <c r="S29"/>
  <c r="Z10" i="6"/>
  <c r="T52" i="9"/>
  <c r="S61" i="20" s="1"/>
  <c r="AX30" i="9"/>
  <c r="Z21" i="6"/>
  <c r="AA4"/>
  <c r="S34" i="20"/>
  <c r="Z15" i="6"/>
  <c r="M53" i="9"/>
  <c r="T54" i="20" s="1"/>
  <c r="O31" i="9"/>
  <c r="BC31"/>
  <c r="U53"/>
  <c r="T62" i="20" s="1"/>
  <c r="Q53" i="9"/>
  <c r="T58" i="20" s="1"/>
  <c r="AI31" i="9"/>
  <c r="S35" i="20"/>
  <c r="Z16" i="6"/>
  <c r="P52" i="9"/>
  <c r="S57" i="20" s="1"/>
  <c r="AD30" i="9"/>
  <c r="S28" i="20"/>
  <c r="Z9" i="6"/>
  <c r="Y7"/>
  <c r="S33" i="20"/>
  <c r="Z14" i="6"/>
  <c r="F35" i="9"/>
  <c r="E36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H16" i="20"/>
  <c r="P16" l="1"/>
  <c r="F17"/>
  <c r="G17"/>
  <c r="S64"/>
  <c r="J30" i="9"/>
  <c r="S38" i="20"/>
  <c r="C18" s="1"/>
  <c r="AN31" i="9"/>
  <c r="R53"/>
  <c r="T59" i="20" s="1"/>
  <c r="BH31" i="9"/>
  <c r="V53"/>
  <c r="T63" i="20" s="1"/>
  <c r="S54" i="9"/>
  <c r="U60" i="20" s="1"/>
  <c r="AS32" i="9"/>
  <c r="T28" i="20"/>
  <c r="AA9" i="6"/>
  <c r="Z7"/>
  <c r="P53" i="9"/>
  <c r="T57" i="20" s="1"/>
  <c r="AD31" i="9"/>
  <c r="BC32"/>
  <c r="U54"/>
  <c r="U62" i="20" s="1"/>
  <c r="O32" i="9"/>
  <c r="M54"/>
  <c r="U54" i="20" s="1"/>
  <c r="T34"/>
  <c r="AA15" i="6"/>
  <c r="T29" i="20"/>
  <c r="AA10" i="6"/>
  <c r="T32" i="20"/>
  <c r="AA13" i="6"/>
  <c r="L37" i="11"/>
  <c r="V36"/>
  <c r="T36" i="20"/>
  <c r="AA17" i="6"/>
  <c r="T30" i="20"/>
  <c r="AA11" i="6"/>
  <c r="T37" i="20"/>
  <c r="AA18" i="6"/>
  <c r="AA12"/>
  <c r="T31" i="20"/>
  <c r="T33"/>
  <c r="AA14" i="6"/>
  <c r="T35" i="20"/>
  <c r="AA16" i="6"/>
  <c r="AI32" i="9"/>
  <c r="Q54"/>
  <c r="U58" i="20" s="1"/>
  <c r="AA21" i="6"/>
  <c r="AB4"/>
  <c r="T53" i="9"/>
  <c r="T61" i="20" s="1"/>
  <c r="AX31" i="9"/>
  <c r="Y32"/>
  <c r="O54"/>
  <c r="U56" i="20" s="1"/>
  <c r="T33" i="9"/>
  <c r="N55"/>
  <c r="V55" i="20" s="1"/>
  <c r="I4"/>
  <c r="K4" s="1"/>
  <c r="G35" i="9"/>
  <c r="H35" s="1"/>
  <c r="F36"/>
  <c r="H17" i="20"/>
  <c r="P17" l="1"/>
  <c r="F18"/>
  <c r="G18"/>
  <c r="T64"/>
  <c r="T38"/>
  <c r="C19" s="1"/>
  <c r="R54" i="9"/>
  <c r="U59" i="20" s="1"/>
  <c r="AN32" i="9"/>
  <c r="V54"/>
  <c r="U63" i="20" s="1"/>
  <c r="BH32" i="9"/>
  <c r="AS33"/>
  <c r="S55"/>
  <c r="V60" i="20" s="1"/>
  <c r="T34" i="9"/>
  <c r="N57" s="1"/>
  <c r="X55" i="20" s="1"/>
  <c r="N56" i="9"/>
  <c r="W55" i="20" s="1"/>
  <c r="AI33" i="9"/>
  <c r="Q55"/>
  <c r="V58" i="20" s="1"/>
  <c r="U33"/>
  <c r="AB14" i="6"/>
  <c r="AX32" i="9"/>
  <c r="T54"/>
  <c r="U61" i="20" s="1"/>
  <c r="AB21" i="6"/>
  <c r="AC4"/>
  <c r="AB16"/>
  <c r="U35" i="20"/>
  <c r="AB11" i="6"/>
  <c r="U30" i="20"/>
  <c r="U32"/>
  <c r="AB13" i="6"/>
  <c r="U34" i="20"/>
  <c r="AB15" i="6"/>
  <c r="AD32" i="9"/>
  <c r="P54"/>
  <c r="U57" i="20" s="1"/>
  <c r="U28"/>
  <c r="AA7" i="6"/>
  <c r="AB9"/>
  <c r="Y33" i="9"/>
  <c r="O55"/>
  <c r="V56" i="20" s="1"/>
  <c r="U31"/>
  <c r="AB12" i="6"/>
  <c r="U37" i="20"/>
  <c r="AB18" i="6"/>
  <c r="U36" i="20"/>
  <c r="AB17" i="6"/>
  <c r="V37" i="11"/>
  <c r="L38"/>
  <c r="U29" i="20"/>
  <c r="AB10" i="6"/>
  <c r="O33" i="9"/>
  <c r="M55"/>
  <c r="V54" i="20" s="1"/>
  <c r="BC33" i="9"/>
  <c r="U55"/>
  <c r="V62" i="20" s="1"/>
  <c r="J31" i="9"/>
  <c r="D7" i="20"/>
  <c r="D11"/>
  <c r="D15"/>
  <c r="D6"/>
  <c r="D10"/>
  <c r="D14"/>
  <c r="D18"/>
  <c r="D5"/>
  <c r="D9"/>
  <c r="D13"/>
  <c r="D17"/>
  <c r="Q5"/>
  <c r="L4"/>
  <c r="D8"/>
  <c r="D12"/>
  <c r="D16"/>
  <c r="F37" i="9"/>
  <c r="G36"/>
  <c r="H36" s="1"/>
  <c r="H18" i="20"/>
  <c r="P18" l="1"/>
  <c r="F19"/>
  <c r="G19"/>
  <c r="D19"/>
  <c r="U64"/>
  <c r="U38"/>
  <c r="J32" i="9"/>
  <c r="R55"/>
  <c r="V59" i="20" s="1"/>
  <c r="AN33" i="9"/>
  <c r="BH33"/>
  <c r="V55"/>
  <c r="V63" i="20" s="1"/>
  <c r="S56" i="9"/>
  <c r="W60" i="20" s="1"/>
  <c r="AS34" i="9"/>
  <c r="S57" s="1"/>
  <c r="X60" i="20" s="1"/>
  <c r="U56" i="9"/>
  <c r="W62" i="20" s="1"/>
  <c r="BC34" i="9"/>
  <c r="U57" s="1"/>
  <c r="X62" i="20" s="1"/>
  <c r="AC10" i="6"/>
  <c r="V29" i="20"/>
  <c r="AC17" i="6"/>
  <c r="V36" i="20"/>
  <c r="V34"/>
  <c r="AC15" i="6"/>
  <c r="AC11"/>
  <c r="V30" i="20"/>
  <c r="AC21" i="6"/>
  <c r="AD4"/>
  <c r="V33" i="20"/>
  <c r="AC14" i="6"/>
  <c r="AI34" i="9"/>
  <c r="Q57" s="1"/>
  <c r="X58" i="20" s="1"/>
  <c r="Q56" i="9"/>
  <c r="W58" i="20" s="1"/>
  <c r="O34" i="9"/>
  <c r="M56"/>
  <c r="W54" i="20" s="1"/>
  <c r="V38" i="11"/>
  <c r="L39"/>
  <c r="AC18" i="6"/>
  <c r="V37" i="20"/>
  <c r="V31"/>
  <c r="AC12" i="6"/>
  <c r="O56" i="9"/>
  <c r="W56" i="20" s="1"/>
  <c r="Y34" i="9"/>
  <c r="O57" s="1"/>
  <c r="X56" i="20" s="1"/>
  <c r="V28"/>
  <c r="AB7" i="6"/>
  <c r="AC9"/>
  <c r="AD33" i="9"/>
  <c r="P55"/>
  <c r="V57" i="20" s="1"/>
  <c r="V32"/>
  <c r="AC13" i="6"/>
  <c r="AC16"/>
  <c r="V35" i="20"/>
  <c r="AX33" i="9"/>
  <c r="T55"/>
  <c r="V61" i="20" s="1"/>
  <c r="R5"/>
  <c r="N4"/>
  <c r="M5" s="1"/>
  <c r="F38" i="9"/>
  <c r="G37"/>
  <c r="H37" s="1"/>
  <c r="T5" i="20"/>
  <c r="H19"/>
  <c r="P19" l="1"/>
  <c r="F20"/>
  <c r="G20"/>
  <c r="O5"/>
  <c r="I5" s="1"/>
  <c r="K5" s="1"/>
  <c r="C20"/>
  <c r="V64"/>
  <c r="V38"/>
  <c r="AN34" i="9"/>
  <c r="R57" s="1"/>
  <c r="X59" i="20" s="1"/>
  <c r="R56" i="9"/>
  <c r="W59" i="20" s="1"/>
  <c r="V56" i="9"/>
  <c r="W63" i="20" s="1"/>
  <c r="BH34" i="9"/>
  <c r="V57" s="1"/>
  <c r="X63" i="20" s="1"/>
  <c r="J33" i="9"/>
  <c r="W35" i="20"/>
  <c r="AD16" i="6"/>
  <c r="W32" i="20"/>
  <c r="AD13" i="6"/>
  <c r="W28" i="20"/>
  <c r="AD9" i="6"/>
  <c r="AC7"/>
  <c r="V39" i="11"/>
  <c r="L40"/>
  <c r="M57" i="9"/>
  <c r="X54" i="20" s="1"/>
  <c r="W33"/>
  <c r="AD14" i="6"/>
  <c r="AD21"/>
  <c r="AE37"/>
  <c r="W30" i="20"/>
  <c r="AD11" i="6"/>
  <c r="AD15"/>
  <c r="W34" i="20"/>
  <c r="W36"/>
  <c r="AD17" i="6"/>
  <c r="AX34" i="9"/>
  <c r="T57" s="1"/>
  <c r="X61" i="20" s="1"/>
  <c r="T56" i="9"/>
  <c r="W61" i="20" s="1"/>
  <c r="AD34" i="9"/>
  <c r="P57" s="1"/>
  <c r="X57" i="20" s="1"/>
  <c r="P56" i="9"/>
  <c r="W57" i="20" s="1"/>
  <c r="W31"/>
  <c r="AD12" i="6"/>
  <c r="AD18"/>
  <c r="W37" i="20"/>
  <c r="W29"/>
  <c r="AD10" i="6"/>
  <c r="F39" i="9"/>
  <c r="G38"/>
  <c r="H38" s="1"/>
  <c r="H20" i="20"/>
  <c r="P20" l="1"/>
  <c r="F21"/>
  <c r="G21"/>
  <c r="Q6"/>
  <c r="L5"/>
  <c r="R6" s="1"/>
  <c r="C21"/>
  <c r="D20"/>
  <c r="W64"/>
  <c r="X64"/>
  <c r="W38"/>
  <c r="C22" s="1"/>
  <c r="X29"/>
  <c r="X31"/>
  <c r="X34"/>
  <c r="X33"/>
  <c r="X28"/>
  <c r="AD7" i="6"/>
  <c r="X35" i="20"/>
  <c r="X37"/>
  <c r="X36"/>
  <c r="X30"/>
  <c r="V40" i="11"/>
  <c r="L41"/>
  <c r="X32" i="20"/>
  <c r="J34" i="9"/>
  <c r="G39"/>
  <c r="H39" s="1"/>
  <c r="F40"/>
  <c r="T6" i="20"/>
  <c r="H21"/>
  <c r="P21" l="1"/>
  <c r="F22"/>
  <c r="G22"/>
  <c r="F23"/>
  <c r="G23"/>
  <c r="N5"/>
  <c r="M6" s="1"/>
  <c r="O6"/>
  <c r="I6" s="1"/>
  <c r="K6" s="1"/>
  <c r="D22"/>
  <c r="D21"/>
  <c r="X38"/>
  <c r="C23" s="1"/>
  <c r="V41" i="11"/>
  <c r="L42"/>
  <c r="F41" i="9"/>
  <c r="G40"/>
  <c r="H40" s="1"/>
  <c r="H22" i="20"/>
  <c r="H23"/>
  <c r="P23" l="1"/>
  <c r="P22"/>
  <c r="Q7"/>
  <c r="L6"/>
  <c r="N6" s="1"/>
  <c r="M7" s="1"/>
  <c r="D23"/>
  <c r="V42" i="11"/>
  <c r="L43"/>
  <c r="F42" i="9"/>
  <c r="G41"/>
  <c r="H41" s="1"/>
  <c r="R7" i="20" l="1"/>
  <c r="V43" i="11"/>
  <c r="L44"/>
  <c r="F43" i="9"/>
  <c r="G42"/>
  <c r="H42" s="1"/>
  <c r="T7" i="20"/>
  <c r="O7" l="1"/>
  <c r="I7" s="1"/>
  <c r="V44" i="11"/>
  <c r="L45"/>
  <c r="G43" i="9"/>
  <c r="H43" s="1"/>
  <c r="F44"/>
  <c r="Q8" i="20" l="1"/>
  <c r="K7"/>
  <c r="L7" s="1"/>
  <c r="R8" s="1"/>
  <c r="V45" i="11"/>
  <c r="L46"/>
  <c r="F45" i="9"/>
  <c r="G44"/>
  <c r="H44" s="1"/>
  <c r="T8" i="20"/>
  <c r="O8" l="1"/>
  <c r="I8" s="1"/>
  <c r="N7"/>
  <c r="M8" s="1"/>
  <c r="V46" i="11"/>
  <c r="L47"/>
  <c r="F46" i="9"/>
  <c r="G45"/>
  <c r="H45" s="1"/>
  <c r="Q9" i="20" l="1"/>
  <c r="K8"/>
  <c r="L8" s="1"/>
  <c r="V47" i="11"/>
  <c r="L48"/>
  <c r="F47" i="9"/>
  <c r="G46"/>
  <c r="H46" s="1"/>
  <c r="N8" i="20" l="1"/>
  <c r="M9" s="1"/>
  <c r="R9"/>
  <c r="L49" i="11"/>
  <c r="V48"/>
  <c r="G47" i="9"/>
  <c r="H47" s="1"/>
  <c r="F48"/>
  <c r="T9" i="20"/>
  <c r="O9" l="1"/>
  <c r="I9" s="1"/>
  <c r="K9" s="1"/>
  <c r="L50" i="11"/>
  <c r="V49"/>
  <c r="F49" i="9"/>
  <c r="G48"/>
  <c r="H48" s="1"/>
  <c r="Q10" i="20" l="1"/>
  <c r="L9"/>
  <c r="L51" i="11"/>
  <c r="V50"/>
  <c r="G49" i="9"/>
  <c r="H49" s="1"/>
  <c r="F50"/>
  <c r="N9" i="20" l="1"/>
  <c r="M10" s="1"/>
  <c r="R10"/>
  <c r="L52" i="11"/>
  <c r="V51"/>
  <c r="F51" i="9"/>
  <c r="G50"/>
  <c r="H50" s="1"/>
  <c r="T10" i="20"/>
  <c r="O10" l="1"/>
  <c r="L53" i="11"/>
  <c r="V52"/>
  <c r="G51" i="9"/>
  <c r="H51" s="1"/>
  <c r="F52"/>
  <c r="I10" i="20" l="1"/>
  <c r="K10" s="1"/>
  <c r="L54" i="11"/>
  <c r="V54" s="1"/>
  <c r="V53"/>
  <c r="F53" i="9"/>
  <c r="G52"/>
  <c r="H52" s="1"/>
  <c r="L10" i="20" l="1"/>
  <c r="Q11"/>
  <c r="G53" i="9"/>
  <c r="H53" s="1"/>
  <c r="F54"/>
  <c r="R11" i="20" l="1"/>
  <c r="N10"/>
  <c r="M11" s="1"/>
  <c r="F55" i="9"/>
  <c r="G54"/>
  <c r="H54" s="1"/>
  <c r="T11" i="20"/>
  <c r="O11" l="1"/>
  <c r="G55" i="9"/>
  <c r="H55" s="1"/>
  <c r="F56"/>
  <c r="I11" i="20" l="1"/>
  <c r="K11" s="1"/>
  <c r="F57" i="9"/>
  <c r="G56"/>
  <c r="H56" s="1"/>
  <c r="L11" i="20" l="1"/>
  <c r="Q12"/>
  <c r="F58" i="9"/>
  <c r="G57"/>
  <c r="H57" s="1"/>
  <c r="R12" i="20" l="1"/>
  <c r="N11"/>
  <c r="M12" s="1"/>
  <c r="F59" i="9"/>
  <c r="G58"/>
  <c r="H58" s="1"/>
  <c r="T12" i="20"/>
  <c r="O12" l="1"/>
  <c r="G59" i="9"/>
  <c r="H59" s="1"/>
  <c r="F60"/>
  <c r="I12" i="20" l="1"/>
  <c r="K12" s="1"/>
  <c r="F61" i="9"/>
  <c r="G60"/>
  <c r="H60" s="1"/>
  <c r="Q13" i="20" l="1"/>
  <c r="L12"/>
  <c r="F62" i="9"/>
  <c r="G61"/>
  <c r="H61" s="1"/>
  <c r="R13" i="20" l="1"/>
  <c r="N12"/>
  <c r="M13" s="1"/>
  <c r="F63" i="9"/>
  <c r="G62"/>
  <c r="H62" s="1"/>
  <c r="T13" i="20"/>
  <c r="O13" l="1"/>
  <c r="G63" i="9"/>
  <c r="H63" s="1"/>
  <c r="F64"/>
  <c r="I13" i="20" l="1"/>
  <c r="K13" s="1"/>
  <c r="F65" i="9"/>
  <c r="G64"/>
  <c r="H64" s="1"/>
  <c r="Q14" i="20" l="1"/>
  <c r="L13"/>
  <c r="F66" i="9"/>
  <c r="G65"/>
  <c r="H65" s="1"/>
  <c r="R14" i="20" l="1"/>
  <c r="N13"/>
  <c r="M14" s="1"/>
  <c r="F67" i="9"/>
  <c r="G66"/>
  <c r="H66" s="1"/>
  <c r="T14" i="20"/>
  <c r="O14" l="1"/>
  <c r="G67" i="9"/>
  <c r="H67" s="1"/>
  <c r="F68"/>
  <c r="I14" i="20" l="1"/>
  <c r="K14" s="1"/>
  <c r="F69" i="9"/>
  <c r="G68"/>
  <c r="H68" s="1"/>
  <c r="L14" i="20" l="1"/>
  <c r="Q15"/>
  <c r="F70" i="9"/>
  <c r="G69"/>
  <c r="H69" s="1"/>
  <c r="R15" i="20" l="1"/>
  <c r="N14"/>
  <c r="M15" s="1"/>
  <c r="F71" i="9"/>
  <c r="G70"/>
  <c r="H70" s="1"/>
  <c r="T15" i="20"/>
  <c r="O15" l="1"/>
  <c r="G71" i="9"/>
  <c r="H71" s="1"/>
  <c r="F72"/>
  <c r="I15" i="20" l="1"/>
  <c r="K15" s="1"/>
  <c r="F73" i="9"/>
  <c r="G72"/>
  <c r="H72" s="1"/>
  <c r="L15" i="20" l="1"/>
  <c r="Q16"/>
  <c r="F74" i="9"/>
  <c r="G73"/>
  <c r="H73" s="1"/>
  <c r="R16" i="20" l="1"/>
  <c r="N15"/>
  <c r="M16" s="1"/>
  <c r="F75" i="9"/>
  <c r="G74"/>
  <c r="H74" s="1"/>
  <c r="T16" i="20"/>
  <c r="O16" l="1"/>
  <c r="G75" i="9"/>
  <c r="H75" s="1"/>
  <c r="F76"/>
  <c r="I16" i="20" l="1"/>
  <c r="K16" s="1"/>
  <c r="F77" i="9"/>
  <c r="G76"/>
  <c r="H76" s="1"/>
  <c r="L16" i="20" l="1"/>
  <c r="Q17"/>
  <c r="F78" i="9"/>
  <c r="G77"/>
  <c r="H77" s="1"/>
  <c r="R17" i="20" l="1"/>
  <c r="N16"/>
  <c r="M17" s="1"/>
  <c r="F79" i="9"/>
  <c r="G78"/>
  <c r="H78" s="1"/>
  <c r="T17" i="20"/>
  <c r="O17" l="1"/>
  <c r="G79" i="9"/>
  <c r="H79" s="1"/>
  <c r="F80"/>
  <c r="I17" i="20" l="1"/>
  <c r="K17" s="1"/>
  <c r="F81" i="9"/>
  <c r="G80"/>
  <c r="H80" s="1"/>
  <c r="L17" i="20" l="1"/>
  <c r="Q18"/>
  <c r="F82" i="9"/>
  <c r="G81"/>
  <c r="H81" s="1"/>
  <c r="R18" i="20" l="1"/>
  <c r="N17"/>
  <c r="M18" s="1"/>
  <c r="F83" i="9"/>
  <c r="G82"/>
  <c r="H82" s="1"/>
  <c r="T18" i="20"/>
  <c r="O18" l="1"/>
  <c r="I18" s="1"/>
  <c r="K18" s="1"/>
  <c r="G83" i="9"/>
  <c r="H83" s="1"/>
  <c r="F84"/>
  <c r="L18" i="20" l="1"/>
  <c r="Q19"/>
  <c r="F85" i="9"/>
  <c r="G84"/>
  <c r="H84" s="1"/>
  <c r="N18" i="20" l="1"/>
  <c r="M19" s="1"/>
  <c r="R19"/>
  <c r="F86" i="9"/>
  <c r="G85"/>
  <c r="H85" s="1"/>
  <c r="T19" i="20"/>
  <c r="O19" l="1"/>
  <c r="F87" i="9"/>
  <c r="G86"/>
  <c r="H86" s="1"/>
  <c r="I19" i="20" l="1"/>
  <c r="K19" s="1"/>
  <c r="G87" i="9"/>
  <c r="H87" s="1"/>
  <c r="F88"/>
  <c r="L19" i="20" l="1"/>
  <c r="Q20"/>
  <c r="F89" i="9"/>
  <c r="G88"/>
  <c r="H88" s="1"/>
  <c r="R20" i="20" l="1"/>
  <c r="N19"/>
  <c r="M20" s="1"/>
  <c r="F90" i="9"/>
  <c r="G89"/>
  <c r="H89" s="1"/>
  <c r="T20" i="20"/>
  <c r="O20" l="1"/>
  <c r="F91" i="9"/>
  <c r="G90"/>
  <c r="H90" s="1"/>
  <c r="I20" i="20" l="1"/>
  <c r="K20" s="1"/>
  <c r="G91" i="9"/>
  <c r="H91" s="1"/>
  <c r="F92"/>
  <c r="Q21" i="20" l="1"/>
  <c r="L20"/>
  <c r="F93" i="9"/>
  <c r="G92"/>
  <c r="H92" s="1"/>
  <c r="R21" i="20" l="1"/>
  <c r="N20"/>
  <c r="M21" s="1"/>
  <c r="F94" i="9"/>
  <c r="G93"/>
  <c r="H93" s="1"/>
  <c r="T21" i="20"/>
  <c r="O21" l="1"/>
  <c r="F95" i="9"/>
  <c r="G94"/>
  <c r="H94" s="1"/>
  <c r="I21" i="20" l="1"/>
  <c r="K21" s="1"/>
  <c r="G95" i="9"/>
  <c r="H95" s="1"/>
  <c r="F96"/>
  <c r="L21" i="20" l="1"/>
  <c r="Q22"/>
  <c r="F97" i="9"/>
  <c r="G96"/>
  <c r="H96" s="1"/>
  <c r="R22" i="20" l="1"/>
  <c r="N21"/>
  <c r="M22" s="1"/>
  <c r="F98" i="9"/>
  <c r="G97"/>
  <c r="H97" s="1"/>
  <c r="T22" i="20"/>
  <c r="O22" l="1"/>
  <c r="F99" i="9"/>
  <c r="G98"/>
  <c r="H98" s="1"/>
  <c r="I22" i="20" l="1"/>
  <c r="K22" s="1"/>
  <c r="F100" i="9"/>
  <c r="G99"/>
  <c r="H99" s="1"/>
  <c r="Q23" i="20" l="1"/>
  <c r="L22"/>
  <c r="F101" i="9"/>
  <c r="G100"/>
  <c r="H100" s="1"/>
  <c r="R23" i="20" l="1"/>
  <c r="N22"/>
  <c r="M23" s="1"/>
  <c r="F102" i="9"/>
  <c r="G101"/>
  <c r="H101" s="1"/>
  <c r="T23" i="20"/>
  <c r="O23" l="1"/>
  <c r="T24"/>
  <c r="I19" i="16" s="1"/>
  <c r="F103" i="9"/>
  <c r="G102"/>
  <c r="H102" s="1"/>
  <c r="I23" i="20" l="1"/>
  <c r="F104" i="9"/>
  <c r="G103"/>
  <c r="H103" s="1"/>
  <c r="K23" i="20" l="1"/>
  <c r="L23" s="1"/>
  <c r="F105" i="9"/>
  <c r="G104"/>
  <c r="H104" s="1"/>
  <c r="L1" i="20" l="1"/>
  <c r="E14" i="16" s="1"/>
  <c r="G67" i="20"/>
  <c r="N23"/>
  <c r="I67"/>
  <c r="E67"/>
  <c r="F106" i="9"/>
  <c r="G105"/>
  <c r="H105" s="1"/>
  <c r="F19" i="16" l="1"/>
  <c r="E25"/>
  <c r="F107" i="9"/>
  <c r="G106"/>
  <c r="H106" s="1"/>
  <c r="F108" l="1"/>
  <c r="G107"/>
  <c r="H107" s="1"/>
  <c r="F109" l="1"/>
  <c r="G108"/>
  <c r="H108" s="1"/>
  <c r="F110" l="1"/>
  <c r="G109"/>
  <c r="H109" s="1"/>
  <c r="F111" l="1"/>
  <c r="G110"/>
  <c r="H110" s="1"/>
  <c r="F112" l="1"/>
  <c r="G111"/>
  <c r="H111" s="1"/>
  <c r="F113" l="1"/>
  <c r="G112"/>
  <c r="H112" s="1"/>
  <c r="F114" l="1"/>
  <c r="G113"/>
  <c r="H113" s="1"/>
  <c r="F115" l="1"/>
  <c r="G114"/>
  <c r="H114" s="1"/>
  <c r="F116" l="1"/>
  <c r="G115"/>
  <c r="H115" s="1"/>
  <c r="F117" l="1"/>
  <c r="G116"/>
  <c r="H116" s="1"/>
  <c r="F118" l="1"/>
  <c r="G117"/>
  <c r="H117" s="1"/>
  <c r="F119" l="1"/>
  <c r="G118"/>
  <c r="H118" s="1"/>
  <c r="F120" l="1"/>
  <c r="G119"/>
  <c r="H119" s="1"/>
  <c r="F121" l="1"/>
  <c r="G120"/>
  <c r="H120" s="1"/>
  <c r="F122" l="1"/>
  <c r="G121"/>
  <c r="H121" s="1"/>
  <c r="F123" l="1"/>
  <c r="G122"/>
  <c r="H122" s="1"/>
  <c r="F124" l="1"/>
  <c r="G123"/>
  <c r="H123" s="1"/>
  <c r="F125" l="1"/>
  <c r="G124"/>
  <c r="H124" s="1"/>
  <c r="F126" l="1"/>
  <c r="G125"/>
  <c r="H125" s="1"/>
  <c r="F127" l="1"/>
  <c r="G126"/>
  <c r="H126" s="1"/>
  <c r="F128" l="1"/>
  <c r="G127"/>
  <c r="H127" s="1"/>
  <c r="F129" l="1"/>
  <c r="G128"/>
  <c r="H128" s="1"/>
  <c r="F130" l="1"/>
  <c r="G129"/>
  <c r="H129" s="1"/>
  <c r="F131" l="1"/>
  <c r="G130"/>
  <c r="H130" s="1"/>
  <c r="F132" l="1"/>
  <c r="G131"/>
  <c r="H131" s="1"/>
  <c r="F133" l="1"/>
  <c r="G132"/>
  <c r="H132" s="1"/>
  <c r="F134" l="1"/>
  <c r="G133"/>
  <c r="H133" s="1"/>
  <c r="F135" l="1"/>
  <c r="G134"/>
  <c r="H134" s="1"/>
  <c r="F136" l="1"/>
  <c r="G135"/>
  <c r="H135" s="1"/>
  <c r="F137" l="1"/>
  <c r="G136"/>
  <c r="H136" s="1"/>
  <c r="F138" l="1"/>
  <c r="G137"/>
  <c r="H137" s="1"/>
  <c r="F139" l="1"/>
  <c r="G138"/>
  <c r="H138" s="1"/>
  <c r="F140" l="1"/>
  <c r="G139"/>
  <c r="H139" s="1"/>
  <c r="F141" l="1"/>
  <c r="G140"/>
  <c r="H140" s="1"/>
  <c r="F142" l="1"/>
  <c r="G141"/>
  <c r="H141" s="1"/>
  <c r="F143" l="1"/>
  <c r="G142"/>
  <c r="H142" s="1"/>
  <c r="F144" l="1"/>
  <c r="G143"/>
  <c r="H143" s="1"/>
  <c r="F145" l="1"/>
  <c r="G144"/>
  <c r="H144" s="1"/>
  <c r="F146" l="1"/>
  <c r="G145"/>
  <c r="H145" s="1"/>
  <c r="F147" l="1"/>
  <c r="G146"/>
  <c r="H146" s="1"/>
  <c r="F148" l="1"/>
  <c r="G147"/>
  <c r="H147" s="1"/>
  <c r="F149" l="1"/>
  <c r="G148"/>
  <c r="H148" s="1"/>
  <c r="F150" l="1"/>
  <c r="G149"/>
  <c r="H149" s="1"/>
  <c r="F151" l="1"/>
  <c r="G150"/>
  <c r="H150" s="1"/>
  <c r="F152" l="1"/>
  <c r="G151"/>
  <c r="H151" s="1"/>
  <c r="F153" l="1"/>
  <c r="G152"/>
  <c r="H152" s="1"/>
  <c r="F154" l="1"/>
  <c r="G153"/>
  <c r="H153" s="1"/>
  <c r="F155" l="1"/>
  <c r="G154"/>
  <c r="H154" s="1"/>
  <c r="G155" l="1"/>
  <c r="H155" s="1"/>
  <c r="F156"/>
  <c r="F157" l="1"/>
  <c r="G156"/>
  <c r="H156" s="1"/>
  <c r="F158" l="1"/>
  <c r="G157"/>
  <c r="H157" s="1"/>
  <c r="F159" l="1"/>
  <c r="G158"/>
  <c r="H158" s="1"/>
  <c r="F160" l="1"/>
  <c r="G159"/>
  <c r="H159" s="1"/>
  <c r="F161" l="1"/>
  <c r="G160"/>
  <c r="H160" s="1"/>
  <c r="F162" l="1"/>
  <c r="G161"/>
  <c r="H161" s="1"/>
  <c r="F163" l="1"/>
  <c r="G162"/>
  <c r="H162" s="1"/>
  <c r="F164" l="1"/>
  <c r="G163"/>
  <c r="H163" s="1"/>
  <c r="F165" l="1"/>
  <c r="G164"/>
  <c r="H164" s="1"/>
  <c r="G165" l="1"/>
  <c r="H165" s="1"/>
  <c r="F166"/>
  <c r="F167" l="1"/>
  <c r="G166"/>
  <c r="H166" s="1"/>
  <c r="F168" l="1"/>
  <c r="G167"/>
  <c r="H167" s="1"/>
  <c r="F169" l="1"/>
  <c r="G168"/>
  <c r="H168" s="1"/>
  <c r="F170" l="1"/>
  <c r="G169"/>
  <c r="H169" s="1"/>
  <c r="F171" l="1"/>
  <c r="G170"/>
  <c r="H170" s="1"/>
  <c r="F172" l="1"/>
  <c r="G171"/>
  <c r="H171" s="1"/>
  <c r="F173" l="1"/>
  <c r="G172"/>
  <c r="H172" s="1"/>
  <c r="F174" l="1"/>
  <c r="G173"/>
  <c r="H173" s="1"/>
  <c r="F175" l="1"/>
  <c r="G174"/>
  <c r="H174" s="1"/>
  <c r="F176" l="1"/>
  <c r="G175"/>
  <c r="H175" s="1"/>
  <c r="F177" l="1"/>
  <c r="G176"/>
  <c r="H176" s="1"/>
  <c r="F178" l="1"/>
  <c r="G177"/>
  <c r="H177" s="1"/>
  <c r="G178" l="1"/>
  <c r="H178" s="1"/>
  <c r="F179"/>
  <c r="G179" l="1"/>
  <c r="H179" s="1"/>
  <c r="F180"/>
  <c r="F181" l="1"/>
  <c r="G180"/>
  <c r="H180" s="1"/>
  <c r="G181" l="1"/>
  <c r="H181" s="1"/>
  <c r="F182"/>
  <c r="F183" l="1"/>
  <c r="G182"/>
  <c r="H182" s="1"/>
  <c r="G183" l="1"/>
  <c r="H183" s="1"/>
  <c r="F184"/>
  <c r="F185" l="1"/>
  <c r="G184"/>
  <c r="H184" s="1"/>
  <c r="G185" l="1"/>
  <c r="H185" s="1"/>
  <c r="F186"/>
  <c r="F187" l="1"/>
  <c r="G186"/>
  <c r="H186" s="1"/>
  <c r="F188" l="1"/>
  <c r="G187"/>
  <c r="H187" s="1"/>
  <c r="G188" l="1"/>
  <c r="H188" s="1"/>
  <c r="F189"/>
  <c r="F190" l="1"/>
  <c r="G189"/>
  <c r="H189" s="1"/>
  <c r="G190" l="1"/>
  <c r="H190" s="1"/>
  <c r="F191"/>
  <c r="F192" l="1"/>
  <c r="G191"/>
  <c r="H191" s="1"/>
  <c r="G192" l="1"/>
  <c r="H192" s="1"/>
  <c r="F193"/>
  <c r="F194" l="1"/>
  <c r="G193"/>
  <c r="H193" s="1"/>
  <c r="G194" l="1"/>
  <c r="H194" s="1"/>
  <c r="F195"/>
  <c r="F196" l="1"/>
  <c r="G195"/>
  <c r="H195" s="1"/>
  <c r="G196" l="1"/>
  <c r="H196" s="1"/>
  <c r="F197"/>
  <c r="F198" l="1"/>
  <c r="G197"/>
  <c r="H197" s="1"/>
  <c r="G198" l="1"/>
  <c r="H198" s="1"/>
  <c r="F199"/>
  <c r="F200" l="1"/>
  <c r="G199"/>
  <c r="H199" s="1"/>
  <c r="G200" l="1"/>
  <c r="H200" s="1"/>
  <c r="F201"/>
  <c r="F202" l="1"/>
  <c r="G201"/>
  <c r="H201" s="1"/>
  <c r="G202" l="1"/>
  <c r="H202" s="1"/>
  <c r="F203"/>
  <c r="F204" l="1"/>
  <c r="G203"/>
  <c r="H203" s="1"/>
  <c r="G204" l="1"/>
  <c r="H204" s="1"/>
  <c r="F205"/>
  <c r="F206" l="1"/>
  <c r="G205"/>
  <c r="H205" s="1"/>
  <c r="G206" l="1"/>
  <c r="H206" s="1"/>
  <c r="F207"/>
  <c r="F208" l="1"/>
  <c r="G207"/>
  <c r="H207" s="1"/>
  <c r="G208" l="1"/>
  <c r="H208" s="1"/>
  <c r="F209"/>
  <c r="F210" l="1"/>
  <c r="G209"/>
  <c r="H209" s="1"/>
  <c r="G210" l="1"/>
  <c r="H210" s="1"/>
  <c r="F211"/>
  <c r="F212" l="1"/>
  <c r="G211"/>
  <c r="H211" s="1"/>
  <c r="G212" l="1"/>
  <c r="H212" s="1"/>
  <c r="F213"/>
  <c r="F214" l="1"/>
  <c r="G213"/>
  <c r="H213" s="1"/>
  <c r="G214" l="1"/>
  <c r="H214" s="1"/>
  <c r="F215"/>
  <c r="F216" l="1"/>
  <c r="G215"/>
  <c r="H215" s="1"/>
  <c r="G216" l="1"/>
  <c r="H216" s="1"/>
  <c r="F217"/>
  <c r="F218" l="1"/>
  <c r="G217"/>
  <c r="H217" s="1"/>
  <c r="G218" l="1"/>
  <c r="H218" s="1"/>
  <c r="F219"/>
  <c r="F220" l="1"/>
  <c r="G219"/>
  <c r="H219" s="1"/>
  <c r="G220" l="1"/>
  <c r="H220" s="1"/>
  <c r="F221"/>
  <c r="F222" l="1"/>
  <c r="G221"/>
  <c r="H221" s="1"/>
  <c r="G222" l="1"/>
  <c r="H222" s="1"/>
  <c r="F223"/>
  <c r="F224" l="1"/>
  <c r="G223"/>
  <c r="H223" s="1"/>
  <c r="F225" l="1"/>
  <c r="G224"/>
  <c r="H224" s="1"/>
  <c r="F226" l="1"/>
  <c r="G225"/>
  <c r="H225" s="1"/>
  <c r="G226" l="1"/>
  <c r="H226" s="1"/>
  <c r="F227"/>
  <c r="F228" l="1"/>
  <c r="G227"/>
  <c r="H227" s="1"/>
  <c r="F229" l="1"/>
  <c r="G228"/>
  <c r="H228" s="1"/>
  <c r="F230" l="1"/>
  <c r="G229"/>
  <c r="H229" s="1"/>
  <c r="G230" l="1"/>
  <c r="H230" s="1"/>
  <c r="F231"/>
  <c r="F232" l="1"/>
  <c r="G231"/>
  <c r="H231" s="1"/>
  <c r="F233" l="1"/>
  <c r="G232"/>
  <c r="H232" s="1"/>
  <c r="F234" l="1"/>
  <c r="G233"/>
  <c r="H233" s="1"/>
  <c r="G234" l="1"/>
  <c r="H234" s="1"/>
  <c r="F235"/>
  <c r="F236" l="1"/>
  <c r="G235"/>
  <c r="H235" s="1"/>
  <c r="F237" l="1"/>
  <c r="G236"/>
  <c r="H236" s="1"/>
  <c r="F238" l="1"/>
  <c r="G237"/>
  <c r="H237" s="1"/>
  <c r="G238" l="1"/>
  <c r="H238" s="1"/>
  <c r="F239"/>
  <c r="F240" l="1"/>
  <c r="G239"/>
  <c r="H239" s="1"/>
  <c r="G240" l="1"/>
  <c r="H240" s="1"/>
  <c r="F241"/>
  <c r="F242" l="1"/>
  <c r="G241"/>
  <c r="H241" s="1"/>
  <c r="F243" l="1"/>
  <c r="G242"/>
  <c r="H242" s="1"/>
  <c r="F244" l="1"/>
  <c r="G243"/>
  <c r="H243" s="1"/>
  <c r="G244" l="1"/>
  <c r="H244" s="1"/>
  <c r="F245"/>
  <c r="F246" l="1"/>
  <c r="G245"/>
  <c r="H245" s="1"/>
  <c r="G246" l="1"/>
  <c r="H246" s="1"/>
  <c r="F247"/>
  <c r="F248" l="1"/>
  <c r="G247"/>
  <c r="H247" s="1"/>
  <c r="G248" l="1"/>
  <c r="H248" s="1"/>
  <c r="F249"/>
  <c r="F250" l="1"/>
  <c r="G249"/>
  <c r="H249" s="1"/>
  <c r="F251" l="1"/>
  <c r="G251" s="1"/>
  <c r="H251" s="1"/>
  <c r="G250"/>
  <c r="H250" s="1"/>
</calcChain>
</file>

<file path=xl/sharedStrings.xml><?xml version="1.0" encoding="utf-8"?>
<sst xmlns="http://schemas.openxmlformats.org/spreadsheetml/2006/main" count="443" uniqueCount="248">
  <si>
    <t>Residuals</t>
  </si>
  <si>
    <t>slope</t>
  </si>
  <si>
    <t>intercept</t>
  </si>
  <si>
    <t>Sales</t>
  </si>
  <si>
    <t>Stock price</t>
  </si>
  <si>
    <t>mm</t>
  </si>
  <si>
    <t>Price= Sales*(.1) -.5</t>
  </si>
  <si>
    <t>Paths</t>
  </si>
  <si>
    <t>Projections</t>
  </si>
  <si>
    <t>Mean</t>
  </si>
  <si>
    <t>expected mean</t>
  </si>
  <si>
    <t>STD</t>
  </si>
  <si>
    <t>Proj Y</t>
  </si>
  <si>
    <t>Avg</t>
  </si>
  <si>
    <t>Std</t>
  </si>
  <si>
    <t>Proj Residuals</t>
  </si>
  <si>
    <t>sum</t>
  </si>
  <si>
    <t>Past</t>
  </si>
  <si>
    <t>Future</t>
  </si>
  <si>
    <t>Year</t>
  </si>
  <si>
    <t>ARIMA 010</t>
  </si>
  <si>
    <t>NORMINV(RAND(),$G$3,$G$2)</t>
  </si>
  <si>
    <t>Residuals with Normal random</t>
  </si>
  <si>
    <t>Sales t-1</t>
  </si>
  <si>
    <t>ARIMA 0 1 0</t>
  </si>
  <si>
    <t>EV</t>
  </si>
  <si>
    <t>EV t-1</t>
  </si>
  <si>
    <t>Correlation between residuals</t>
  </si>
  <si>
    <t>EV Correlated Residuals of Sales</t>
  </si>
  <si>
    <t>Regression Analysis</t>
  </si>
  <si>
    <t>residuals corr</t>
  </si>
  <si>
    <t>residual*corr + residual (1-corr)</t>
  </si>
  <si>
    <t>Residuals random with SD*rand</t>
  </si>
  <si>
    <t>http://www.sitmo.com/article/generating-correlated-random-numbers/</t>
  </si>
  <si>
    <t>Adj TO TIE</t>
  </si>
  <si>
    <t>Tied OVRRIDE</t>
  </si>
  <si>
    <t>Deseasonlizing data</t>
  </si>
  <si>
    <t>Check</t>
  </si>
  <si>
    <t>Seas factor</t>
  </si>
  <si>
    <t>Sales t</t>
  </si>
  <si>
    <t>Final factors</t>
  </si>
  <si>
    <t>Jump Diffusion</t>
  </si>
  <si>
    <t>http://investexcel.net</t>
  </si>
  <si>
    <t>This Excel spreadsheet implements a basic model of jump diffusion.</t>
  </si>
  <si>
    <t>Both the drift and the jump value have a normal distribution</t>
  </si>
  <si>
    <t>The vertical lines in the plot indicate the position of the jumps</t>
  </si>
  <si>
    <t>Constant Drift</t>
  </si>
  <si>
    <t>α</t>
  </si>
  <si>
    <t>Std Dev Of Drift</t>
  </si>
  <si>
    <r>
      <t>σ</t>
    </r>
    <r>
      <rPr>
        <vertAlign val="subscript"/>
        <sz val="11"/>
        <color theme="1"/>
        <rFont val="Calibri"/>
        <family val="2"/>
        <scheme val="minor"/>
      </rPr>
      <t>ε</t>
    </r>
  </si>
  <si>
    <t>Jump Probability</t>
  </si>
  <si>
    <t>Jump Mean</t>
  </si>
  <si>
    <t>E[u]</t>
  </si>
  <si>
    <t>Jump Std Dev</t>
  </si>
  <si>
    <r>
      <t>σ</t>
    </r>
    <r>
      <rPr>
        <vertAlign val="subscript"/>
        <sz val="11"/>
        <color theme="1"/>
        <rFont val="Calibri"/>
        <family val="2"/>
        <scheme val="minor"/>
      </rPr>
      <t>u</t>
    </r>
  </si>
  <si>
    <t>Time Period t</t>
  </si>
  <si>
    <t>Diffusion ε</t>
  </si>
  <si>
    <t>Jump?</t>
  </si>
  <si>
    <t>Jump Value u</t>
  </si>
  <si>
    <t>log(Return)</t>
  </si>
  <si>
    <t>Price</t>
  </si>
  <si>
    <t>Jump</t>
  </si>
  <si>
    <t>Seasonality in 1+term to desesonalize</t>
  </si>
  <si>
    <t>EV/EBITDA</t>
  </si>
  <si>
    <t>Inputs</t>
  </si>
  <si>
    <t>Goal Seek</t>
  </si>
  <si>
    <t>Ratio</t>
  </si>
  <si>
    <t>l</t>
  </si>
  <si>
    <t>SD</t>
  </si>
  <si>
    <t>m</t>
  </si>
  <si>
    <t>s</t>
  </si>
  <si>
    <t>r(0)</t>
  </si>
  <si>
    <t>a</t>
  </si>
  <si>
    <t>q</t>
  </si>
  <si>
    <t>Path</t>
  </si>
  <si>
    <t>t</t>
  </si>
  <si>
    <t>e</t>
  </si>
  <si>
    <t>r</t>
  </si>
  <si>
    <t>AVG</t>
  </si>
  <si>
    <t>Qtr</t>
  </si>
  <si>
    <t>I locked</t>
  </si>
  <si>
    <t>last</t>
  </si>
  <si>
    <t>lamda calculated by gold seek</t>
  </si>
  <si>
    <t>Margin</t>
  </si>
  <si>
    <t>EV Multiple ---log(Price)</t>
  </si>
  <si>
    <t>beta</t>
  </si>
  <si>
    <t>Mean reversion</t>
  </si>
  <si>
    <t>Jumps Diffusion</t>
  </si>
  <si>
    <t>Company</t>
  </si>
  <si>
    <t>Adding seasonality</t>
  </si>
  <si>
    <t>Data table to pick from override and assumption</t>
  </si>
  <si>
    <t>Data table for paths like risk bridge (enabling and disabling things)</t>
  </si>
  <si>
    <t>Shares Price</t>
  </si>
  <si>
    <t xml:space="preserve">Repo / would decrease shares </t>
  </si>
  <si>
    <t>No of Sh</t>
  </si>
  <si>
    <t>repo</t>
  </si>
  <si>
    <t>Amount repo</t>
  </si>
  <si>
    <t>year</t>
  </si>
  <si>
    <t>qtr</t>
  </si>
  <si>
    <t>Repo</t>
  </si>
  <si>
    <t>input</t>
  </si>
  <si>
    <t>avg 10 path</t>
  </si>
  <si>
    <t>Path / Qtr</t>
  </si>
  <si>
    <t>policy</t>
  </si>
  <si>
    <t>repo switch</t>
  </si>
  <si>
    <t>Return SP</t>
  </si>
  <si>
    <t>% of EBTIDA</t>
  </si>
  <si>
    <t>Multiple Fall</t>
  </si>
  <si>
    <t>Price Falls</t>
  </si>
  <si>
    <t>Amount</t>
  </si>
  <si>
    <t>Circual Ref</t>
  </si>
  <si>
    <t>S. No Proj</t>
  </si>
  <si>
    <t>Net Debt</t>
  </si>
  <si>
    <t>Net debt</t>
  </si>
  <si>
    <t>Regress multiple vs growth of sales</t>
  </si>
  <si>
    <t>Slope of Sales growth vs multiple</t>
  </si>
  <si>
    <t>Sales growth</t>
  </si>
  <si>
    <t>Intercept</t>
  </si>
  <si>
    <t>Function of sales growth</t>
  </si>
  <si>
    <t>EV/EBITDA change</t>
  </si>
  <si>
    <t>Make risk bridge</t>
  </si>
  <si>
    <t>Make waterfall of flows and request of funds</t>
  </si>
  <si>
    <t>avg</t>
  </si>
  <si>
    <t>stdev</t>
  </si>
  <si>
    <t>Return IRR</t>
  </si>
  <si>
    <t>Mutiple</t>
  </si>
  <si>
    <t>Change</t>
  </si>
  <si>
    <t>On</t>
  </si>
  <si>
    <t>Off</t>
  </si>
  <si>
    <t>Repo Policy</t>
  </si>
  <si>
    <t>`</t>
  </si>
  <si>
    <t>Repo Total</t>
  </si>
  <si>
    <t>Select On/Off</t>
  </si>
  <si>
    <t>Repo policy</t>
  </si>
  <si>
    <t xml:space="preserve">Select </t>
  </si>
  <si>
    <t>This model is build up my the resources provided on:</t>
  </si>
  <si>
    <t>Jump Diffusion, mean reversion and GBM engines are taken from investorexcel.com</t>
  </si>
  <si>
    <t>Data for the sales margin and multiple are from Yahoo.com</t>
  </si>
  <si>
    <t>Idea is based on the MATLAB stochastic toolbox</t>
  </si>
  <si>
    <t>Joining and dejoining things where we want big reference</t>
  </si>
  <si>
    <t>Histogram concept</t>
  </si>
  <si>
    <t>Data Pulling from Yahoo servers</t>
  </si>
  <si>
    <t>Projection!T24</t>
  </si>
  <si>
    <t>Projection!L1</t>
  </si>
  <si>
    <t>Changing three factors</t>
  </si>
  <si>
    <t>Multiple</t>
  </si>
  <si>
    <t>Path Number</t>
  </si>
  <si>
    <t>EXTRACTELEMENT</t>
  </si>
  <si>
    <t>MConcate</t>
  </si>
  <si>
    <t>$L$23</t>
  </si>
  <si>
    <t>STDEV</t>
  </si>
  <si>
    <t>Margins</t>
  </si>
  <si>
    <t>Histograms</t>
  </si>
  <si>
    <t>mean</t>
  </si>
  <si>
    <t>max</t>
  </si>
  <si>
    <t>min</t>
  </si>
  <si>
    <t>bin</t>
  </si>
  <si>
    <t>Histograms where the things land, but this gives an idea about he volatility or at time the end of ending analysis.</t>
  </si>
  <si>
    <t xml:space="preserve">Log transform </t>
  </si>
  <si>
    <t>http://www.anthony-vba.kefra.com/excel/justexcel1-regression.htm</t>
  </si>
  <si>
    <t>LS t-1</t>
  </si>
  <si>
    <t>LS t</t>
  </si>
  <si>
    <t>Predicted</t>
  </si>
  <si>
    <t>Non trabsform</t>
  </si>
  <si>
    <t>Sum Errors</t>
  </si>
  <si>
    <t>Result</t>
  </si>
  <si>
    <t>does it work all the time?</t>
  </si>
  <si>
    <t>join split</t>
  </si>
  <si>
    <t>MC</t>
  </si>
  <si>
    <t>IQ_COMMON_DIV_CF</t>
  </si>
  <si>
    <t>AwABTAVMT0NBTAFI/////wFQAwEAAC1DSVEuVEFTRTpPUk1ULklRX0FOTlVBTElaRURfRElWSURFTkQuMy8xLzIwMDYBAAAAy2kNAAIAAAAIMC4yOTY3NTYA4NuRjyJ70QjA4JiPInvRCCJDSVEuVEFTRTpPUk1ULklRX0NPTU1PTl9ESVZfQ0YuNDczAQAAAMtpDQADAAAAAAAQJVKNInvRCJA4bo0ie9EIIkNJUS5UQVNFOk9STVQuSVFfRklMSU5HREFURV9CUy40ODgBAAAAy2kNAAUAAAAJMy8xNi8yMDEyABAlUo0ie9EIML9vjSJ70QgiQ0lRLlRBU0U6T1JNVC5JUV9FQklUREFfTUFSR0lOLjQ3NgEAAADLaQ0AAgAAAAczNS45NjgzAQgAAAAFAAAAATEBAAAACjEyOTUxNTE5ODADAAAAAzE2MAIAAAAENDA0NwQAAAABMAcAAAAJNy8zMS8yMDE0CAAAAAoxMi8zMS8yMDA3CQAAAAEwECVSjSJ70QjArW6NInvRCCJDSVEuVEFTRTpPUk1ULklRX0ZJTElOR0RBVEVfQlMuNDkxAQAAAMtpDQAFAAAACTUvMTMvMjAxMgAQJVKNInvRCCCYb40ie9EIIkNJUS5UQVNFOk9STVQuSVFfRklMSU5HREFURV9CUy40NzcBAAAAy2kNAAUAAAAJNS8xNC8yMDA5ABAlUo0ie9EIML9vjSJ70QgvQ0lRLlRBU0U6T1JNVC5JUV9BTk5VQUxJWkVEX0RJVklERU5ELjEwLzMwLzIwMDYBAAAAy2kNAAIAAAAIMC4yNzAxMTQA4NuRjyJ70QjA4JiPInvRCCJDSVEuVEFTRTpPUk1ULklRX0VCSVREQV9NQVJHSU4uNDk0AQAAAMtpDQACAAAABzM</t>
  </si>
  <si>
    <t>4LjMxMTEBCAAAAAUAAAABMQEAAAAKMTY4Mzg2MTM5MwMAAAADMTYwAgAAAAQ0MDQ3BAAAAAEwBwAAAAk3LzMxLzIwMTQIAAAACTYvMzAvMjAxMgkAAAABMBAlUo0ie9EIsIZujSJ70QgeQ0lRLlRBU0U6T1JNVC5JUV9UT1RBTF9SRVYuNDc1AQAAAMtpDQACAAAABjgyLjc4MgEIAAAABQAAAAExAQAAAAk3NzMyNjI0MjYDAAAAAzE2MAIAAAACMjgEAAAAATAHAAAACTcvMzEvMjAxNAgAAAAJOS8zMC8yMDA3CQAAAAEwECVSjSJ70QgASm+NInvRCCJDSVEuVEFTRTpPUk1ULklRX0NPTU1PTl9ESVZfQ0YuNDkzAQAAAMtpDQADAAAAAAAQJVKNInvRCJA4bo0ie9EIJkNJUS5UQVNFOk9STVQuSVFfVEVWX0VCSVREQS4uNy8zMC8yMDA2AQAAAMtpDQACAAAACTEwLjU5MjA5NgEHAAAABQAAAAExAQAAAAk0NTU0NjI3MTgDAAAAATACAAAABjEwMDAzMAQAAAABMAcAAAAJNy8yNy8yMDA2CAAAAAk3LzI3LzIwMDbg25GPInvRCLB1qZUie9EIJkNJUS5UQVNFOk9STVQuSVFfVEVWX0VCSVREQS4uNC8zMC8yMDA3AQAAAMtpDQACAAAACTE1LjIyNTEyMgEHAAAABQAAAAExAQAAAAk0NTE2OTQ0NDQDAAAAATACAAAABjEwMDAzMAQAAAABMAcAAAAJNC8zMC8yMDA3CAAAAAk0LzMwLzIwMDfg25GPInvRCLB1qZUie9EIGkNJUS5UQVNFOk9STVQuLi4xMC8zMC8yMDA2BQAAAAEAAAAIAAAAFihJbnZhbGlkIEZvcm11bGEgTmFtZS</t>
  </si>
  <si>
    <t>mg+6GVInvRCKD7oZUie9EILUNJUS5UQVNFOk9STVQuSVFfU0hBUkVTT1VUU1RBTkRJTkcuLjUvMTUvMjAxNAEAAADLaQ0AAgAAAAoxMTYuNDQwMjM1AODbkY8ie9EIwOCYjyJ70QgiQ0lRLlRBU0U6T1JNVC5JUV9DT01NT05fRElWX0NGLjQ3NwEAAADLaQ0AAwAAAAAAECVSjSJ70QiQOG6NInvRCB5DSVEuVEFTRTpPUk1ULklRX1RPVEFMX1JFVi40OTUBAAAAy2kNAAIAAAAHMTM2LjEzNwEIAAAABQAAAAExAQAAAAoxNjgzODUwNzc4AwAAAAMxNjACAAAAAjI4BAAAAAEwBwAAAAk3LzMxLzIwMTQIAAAACTkvMzAvMjAxMgkAAAABMBAlUo0ie9EI8CJvjSJ70QgiQ0lRLlRBU0U6T1JNVC5JUV9FQklUREFfTUFSR0lOLjQ4OQEAAADLaQ0AAgAAAAcyOS43NjA4AQgAAAAFAAAAATEBAAAACjE1ODM2MjgxNTkDAAAAAzE2MAIAAAAENDA0NwQAAAABMAcAAAAJNy8zMS8yMDE0CAAAAAkzLzMxLzIwMTEJAAAAATAQJVKNInvRCKBfbo0ie9EIIkNJUS5UQVNFOk9STVQuSVFfRUJJVERBX01BUkdJTi40NjYBAAAAy2kNAAIAAAAHNDIuMDM4OAEIAAAABQAAAAExAQAAAAk0NTU0NTg0ODEDAAAAAzE2MAIAAAAENDA0NwQAAAABMAcAAAAJNy8zMS8yMDE0CAAAAAk2LzMwLzIwMDUJAAAAATAQJVKNInvRCMCtbo0ie9EILkNJUS5UQVNFOk9STVQuSVFfQU5OVUFMSVpFRF9ESVZJREVORC4zLzE5LzIwMTEBAAAAy2kNAAIAAAAEM</t>
  </si>
  <si>
    <t>C4zMwDg25GPInvRCLC5mI8ie9EIIkNJUS5UQVNFOk9STVQuSVFfRklMSU5HREFURV9CUy40ODIBAAAAy2kNAAUAAAAIOC84LzIwMTAAECVSjSJ70Qgwv2+NInvRCBlDSVEuVEFTRTpPUk1ULi4uNC8zMC8yMDA2BQAAAAEAAAAIAAAAFihJbnZhbGlkIEZvcm11bGEgTmFtZSmg+6GVInvRCKD7oZUie9EIIkNJUS5UQVNFOk9STVQuSVFfRUJJVERBX01BUkdJTi40ODQBAAAAy2kNAAIAAAAGMjQuMTg0AQgAAAAFAAAAATEBAAAACjE0NzgwNzAzNzkDAAAAAzE2MAIAAAAENDA0NwQAAAABMAcAAAAJNy8zMS8yMDE0CAAAAAoxMi8zMS8yMDA5CQAAAAEwECVSjSJ70Qiwhm6NInvRCBhDSVEuVEFTRTpPUk1ULi4uOC83LzIwMDgFAAAAAQAAAAgAAAAWKEludmFsaWQgRm9ybXVsYSBOYW1lKaD7oZUie9EIoPuhlSJ70QgeQ0lRLlRBU0U6T1JNVC5JUV9UT1RBTF9SRVYuNDczAQAAAMtpDQACAAAABjY0LjQ0MQEIAAAABQAAAAExAQAAAAk4MDU0MjA4ODcDAAAAAzE2MAIAAAACMjgEAAAAATAHAAAACTcvMzEvMjAxNAgAAAAJMy8zMS8yMDA3CQAAAAEwECVSjSJ70QgQcW+NInvRCCJDSVEuVEFTRTpPUk1ULklRX0NPTU1PTl9ESVZfQ0YuNDk5AQAAAMtpDQACAAAABi01Ljk2NAEIAAAABQAAAAExAQAAAAoxNjczMjAxMzU1AwAAAAMxNjACAAAABDIwNzQEAAAAATAHAAAACTcvMzEvMjAxNAgAAAAKMTIvMzEvMjAxMwkAAAAB</t>
  </si>
  <si>
    <t>MBAlUo0ie9EIgBFujSJ70QgmQ0lRLlRBU0U6T1JNVC5JUV9URVZfRUJJVERBLi41LzI0LzIwMTABAAAAy2kNAAIAAAAJMTMuNDUzNTg4AQcAAAAFAAAAATEBAAAACjEzNzI5MTYzMTgDAAAAATACAAAABjEwMDAzMAQAAAABMAcAAAAJNS8yNC8yMDEwCAAAAAk1LzI0LzIwMTDwApKPInvRCMCcqZUie9EIIkNJUS5UQVNFOk9STVQuSVFfQ09NTU9OX0RJVl9DRi40ODkBAAAAy2kNAAMAAAAAABAlUo0ie9EIkDhujSJ70QguQ0lRLlRBU0U6T1JNVC5JUV9BTk5VQUxJWkVEX0RJVklERU5ELjUvMTUvMjAxNAEAAADLaQ0AAgAAAAQwLjM2AODbkY8ie9EIgESYjyJ70QgiQ0lRLlRBU0U6T1JNVC5JUV9DT01NT05fRElWX0NGLjQ2OAEAAADLaQ0AAgAAAAEwAQgAAAAFAAAAATEBAAAACTQ0ODE0MDcxOQMAAAADMTYwAgAAAAQyMDc0BAAAAAEwBwAAAAk3LzMxLzIwMTQIAAAACjEyLzMxLzIwMDUJAAAAATAQJVKNInvRCKBfbo0ie9EIIkNJUS5UQVNFOk9STVQuSVFfQ09NTU9OX0RJVl9DRi40NzEBAAAAy2kNAAMAAAAAABAlUo0ie9EIoF9ujSJ70QgiQ0lRLlRBU0U6T1JNVC5JUV9FQklUREFfTUFSR0lOLjQ5OQEAAADLaQ0AAgAAAAczNC44NTczAQgAAAAFAAAAATEBAAAACjE2NzMyMDEzNTUDAAAAAzE2MAIAAAAENDA0NwQAAAABMAcAAAAJNy8zMS8yMDE0CAAAAAoxMi8zMS8yMDEzCQAAAAEwECVSjSJ70Qiwhm6NInv</t>
  </si>
  <si>
    <t>RCC5DSVEuVEFTRTpPUk1ULklRX0FOTlVBTElaRURfRElWSURFTkQuNS8xNy8yMDA1AQAAAMtpDQACAAAABzAuMzMzMDEA4NuRjyJ70QjA4JiPInvRCCJDSVEuVEFTRTpPUk1ULklRX0VCSVREQV9NQVJHSU4uNDc0AQAAAMtpDQACAAAABzMyLjM1MDIBCAAAAAUAAAABMQEAAAAJODA1NDIwODg2AwAAAAMxNjACAAAABDQwNDcEAAAAATAHAAAACTcvMzEvMjAxNAgAAAAJNi8zMC8yMDA3CQAAAAEwECVSjSJ70QjArW6NInvRCBlDSVEuVEFTRTpPUk1ULi4uNy8zMC8yMDA2BQAAAAEAAAAIAAAAFihJbnZhbGlkIEZvcm11bGEgTmFtZSmg+6GVInvRCKD7oZUie9EIIkNJUS5UQVNFOk9STVQuSVFfRklMSU5HREFURV9CUy40OTIBAAAAy2kNAAUAAAAJMy8xMy8yMDEzABAlUo0ie9EIEHFvjSJ70QgiQ0lRLlRBU0U6T1JNVC5JUV9GSUxJTkdEQVRFX0JTLjQ3MQEAAADLaQ0ABQAAAAoxMS8xMS8yMDA3ABAlUo0ie9EIQOZvjSJ70QgiQ0lRLlRBU0U6T1JNVC5JUV9GSUxJTkdEQVRFX0JTLjQ4NAEAAADLaQ0ABQAAAAkzLzE5LzIwMTEAECVSjSJ70Qgwv2+NInvRCCJDSVEuVEFTRTpPUk1ULklRX0NPTU1PTl9ESVZfQ0YuNDk1AQAAAMtpDQADAAAAAAAQJVKNInvRCJA4bo0ie9EIGENJUS5UQVNFOk9STVQuLi4zLzEvMjAwNwUAAAABAAAACAAAABYoSW52YWxpZCBGb3JtdWxhIE5hbWUpoPuhlSJ70Qig+6GVInvRCCJDSV</t>
  </si>
  <si>
    <t>EuVEFTRTpPUk1ULklRX0ZJTElOR0RBVEVfQlMuNDkwAQAAAMtpDQAFAAAACTUvMTMvMjAxMgAQJVKNInvRCDC/b40ie9EIJkNJUS5UQVNFOk9STVQuSVFfVEVWX0VCSVREQS4uMy8xMy8yMDEzAQAAAMtpDQACAAAACDkuOTM2NjA0AQcAAAAFAAAAATEBAAAACjE2NTg0Mzk5MjQDAAAAATACAAAABjEwMDAzMAQAAAABMAcAAAAJMy8xMy8yMDEzCAAAAAkzLzEzLzIwMTPwApKPInvRCMCcqZUie9EIIkNJUS5UQVNFOk9STVQuSVFfRklMSU5HREFURV9CUy40NzUBAAAAy2kNAAUAAAAKMTEvMTMvMjAwOAAQJVKNInvRCEDmb40ie9EIIkNJUS5UQVNFOk9STVQuSVFfRUJJVERBX01BUkdJTi40NjQBAAAAy2kNAAIAAAAGNDUuNDE4AQgAAAAFAAAAATEBAAAACTQ1NTQ2MjQ2OAMAAAADMTYwAgAAAAQ0MDQ3BAAAAAEwBwAAAAk3LzMxLzIwMTQIAAAACjEyLzMxLzIwMDQJAAAAATAQJVKNInvRCNDUbo0ie9EIL0NJUS5UQVNFOk9STVQuSVFfQU5OVUFMSVpFRF9ESVZJREVORC4xMS8xMS8yMDA3AQAAAMtpDQACAAAABjAuNzg2OQDg25GPInvRCLC5mI8ie9EIIkNJUS5UQVNFOk9STVQuSVFfQ09NTU9OX0RJVl9DRi40OTEBAAAAy2kNAAMAAAAAABAlUo0ie9EIgBFujSJ70QgeQ0lRLlRBU0U6T1JNVC5JUV9UT1RBTF9SRVYuNDk4AQAAAMtpDQACAAAABzEzMC43NDkBCAAAAAUAAAABMQEAAAAKMTY4Mzg1MDI3MwMAAAADM</t>
  </si>
  <si>
    <t>TYwAgAAAAIyOAQAAAABMAcAAAAJNy8zMS8yMDE0CAAAAAk5LzMwLzIwMTMJAAAAATAQJVKNInvRCPAib40ie9EIHkNJUS5UQVNFOk9STVQuSVFfVE9UQUxfUkVWLjQ3OAEAAADLaQ0AAgAAAAY4Mi41ODkBCAAAAAUAAAABMQEAAAAKMTI4NjAzMjE0NgMAAAADMTYwAgAAAAIyOAQAAAABMAcAAAAJNy8zMS8yMDE0CAAAAAk2LzMwLzIwMDgJAAAAATAQJVKNInvRCABKb40ie9EIIkNJUS5UQVNFOk9STVQuSVFfRklMSU5HREFURV9CUy40OTQBAAAAy2kNAAUAAAAKMTEvMTMvMjAxMwAQJVKNInvRCCCYb40ie9EIIkNJUS5UQVNFOk9STVQuSVFfRUJJVERBX01BUkdJTi40NzABAAAAy2kNAAIAAAAHNDQuNTgyMgEIAAAABQAAAAExAQAAAAk0NTE2NzEzOTEDAAAAAzE2MAIAAAAENDA0NwQAAAABMAcAAAAJNy8zMS8yMDE0CAAAAAk2LzMwLzIwMDYJAAAAATAQJVKNInvRCMCtbo0ie9EILkNJUS5UQVNFOk9STVQuSVFfQU5OVUFMSVpFRF9ESVZJREVORC41LzE0LzIwMDkBAAAAy2kNAAIAAAAIMC4xOTU3ODYA4NuRjyJ70QiwuZiPInvRCCVDSVEuVEFTRTpPUk1ULklRX1RFVl9FQklUREEuLjgvOS8yMDA5AQAAAMtpDQACAAAACTEyLjg5MDc4NwEHAAAABQAAAAExAQAAAAoxMjg2MDQ3NTYyAwAAAAEwAgAAAAYxMDAwMzAEAAAAATAHAAAACDgvOS8yMDA5CAAAAAg4LzkvMjAwOeDbkY8ie9EIsHWplSJ70QgiQ0lRLlRB</t>
  </si>
  <si>
    <t>U0U6T1JNVC5JUV9FQklUREFfTUFSR0lOLjQ3MgEAAADLaQ0AAgAAAAcyMS44NzcxAQgAAAAFAAAAATEBAAAACTc4NDUxMzkzNwMAAAADMTYwAgAAAAQ0MDQ3BAAAAAEwBwAAAAk3LzMxLzIwMTQIAAAACjEyLzMxLzIwMDYJAAAAATAQJVKNInvRCMCtbo0ie9EIIkNJUS5UQVNFOk9STVQuSVFfRklMSU5HREFURV9CUy40NzMBAAAAy2kNAAUAAAAJNS8xOC8yMDA4ABAlUo0ie9EIML9vjSJ70QgmQ0lRLlRBU0U6T1JNVC5JUV9URVZfRUJJVERBLi4zLzE1LzIwMTABAAAAy2kNAAIAAAAJMTMuMDQwNTkyAQcAAAAFAAAAATEBAAAACjE0NzcwOTMzMjUDAAAAATACAAAABjEwMDAzMAQAAAABMAcAAAAJMy8xNS8yMDEwCAAAAAkzLzE1LzIwMTDwApKPInvRCLB1qZUie9EIIkNJUS5UQVNFOk9STVQuSVFfRUJJVERBX01BUkdJTi40OTUBAAAAy2kNAAIAAAAHMzUuMDY0NgEIAAAABQAAAAExAQAAAAoxNjgzODUwNzc4AwAAAAMxNjACAAAABDQwNDcEAAAAATAHAAAACTcvMzEvMjAxNAgAAAAJOS8zMC8yMDEyCQAAAAEwECVSjSJ70QigX26NInvRCCJDSVEuVEFTRTpPUk1ULklRX0NPTU1PTl9ESVZfQ0YuNDk3AQAAAMtpDQADAAAAAAAQJVKNInvRCIARbo0ie9EIIkNJUS5UQVNFOk9STVQuSVFfRUJJVERBX01BUkdJTi40NzgBAAAAy2kNAAIAAAAHMzQuMjIxMgEIAAAABQAAAAExAQAAAAoxMjg2MDMyMTQ2AwAAAAMxNjA</t>
  </si>
  <si>
    <t>CAAAABDQwNDcEAAAAATAHAAAACTcvMzEvMjAxNAgAAAAJNi8zMC8yMDA4CQAAAAEwECVSjSJ70Qiwhm6NInvRCBlDSVEuVEFTRTpPUk1ULi4uMy8yNy8yMDA4BQAAAAEAAAAIAAAAFihJbnZhbGlkIEZvcm11bGEgTmFtZSmg+6GVInvRCKD7oZUie9EIJkNJUS5UQVNFOk9STVQuSVFfVEVWX0VCSVREQS4uNS8xOC8yMDA4AQAAAMtpDQACAAAACTE2LjExMDE1NAEHAAAABQAAAAExAQAAAAk4MDU0Mzc2NTkDAAAAATACAAAABjEwMDAzMAQAAAABMAcAAAAJNS8xNS8yMDA4CAAAAAk1LzE1LzIwMDjg25GPInvRCLB1qZUie9EIIkNJUS5UQVNFOk9STVQuSVFfQ09NTU9OX0RJVl9DRi40NzABAAAAy2kNAAIAAAAGLTcuMDY0AQgAAAAFAAAAATEBAAAACTQ1MTY3MTM5MQMAAAADMTYwAgAAAAQyMDc0BAAAAAEwBwAAAAk3LzMxLzIwMTQIAAAACTYvMzAvMjAwNgkAAAABMBAlUo0ie9EIoF9ujSJ70QgiQ0lRLlRBU0U6T1JNVC5JUV9FQklUREFfTUFSR0lOLjQ2MgEAAADLaQ0AAgAAAAc0Ni4zODQ2AQgAAAAFAAAAATEBAAAACTQ2MjEwOTkwNgMAAAACNzECAAAABDQwNDcEAAAAATAHAAAACTcvMzEvMjAxNAgAAAAJNi8zMC8yMDA0CQAAAAEwECVSjSJ70QjQ1G6NInvRCBlDSVEuVEFTRTpPUk1ULi4uNS8yNC8yMDEwBQAAAAEAAAAIAAAAFihJbnZhbGlkIEZvcm11bGEgTmFtZSmg+6GVInvRCKD7oZUie9EIGUNJUS5UQV</t>
  </si>
  <si>
    <t>NFOk9STVQuLi4xMS84LzIwMDkFAAAAAQAAAAgAAAAWKEludmFsaWQgRm9ybXVsYSBOYW1lKaD7oZUie9EIoPuhlSJ70QgiQ0lRLlRBU0U6T1JNVC5JUV9GSUxJTkdEQVRFX0JTLjQ4NgEAAADLaQ0ABQAAAAg4LzgvMjAxMQAQJVKNInvRCCCYb40ie9EIIkNJUS5UQVNFOk9STVQuSVFfRUJJVERBX01BUkdJTi40OTEBAAAAy2kNAAIAAAAHNDYuMDU0MgEIAAAABQAAAAExAQAAAAoxNTgzNjU3NzU3AwAAAAMxNjACAAAABDQwNDcEAAAAATAHAAAACTcvMzEvMjAxNAgAAAAJOS8zMC8yMDExCQAAAAEwECVSjSJ70Qiwhm6NInvRCBlDSVEuVEFTRTpPUk1ULi4uNC8zMC8yMDA3BQAAAAEAAAAIAAAAFihJbnZhbGlkIEZvcm11bGEgTmFtZSmg+6GVInvRCKD7oZUie9EIIkNJUS5UQVNFOk9STVQuSVFfRklMSU5HREFURV9CUy40NjQBAAAAy2kNAAUAAAAIMy8xLzIwMDYAECVSjSJ70QhQDXCNInvRCB5DSVEuVEFTRTpPUk1ULklRX1RPVEFMX1JFVi40ODABAAAAy2kNAAIAAAAGOTcuODAzAQgAAAAFAAAAATEBAAAACjE0NzcwOTQ0NTkDAAAAAzE2MAIAAAACMjgEAAAAATAHAAAACTcvMzEvMjAxNAgAAAAKMTIvMzEvMjAwOAkAAAABMBAlUo0ie9EIAEpvjSJ70QgiQ0lRLlRBU0U6T1JNVC5JUV9GSUxJTkdEQVRFX0JTLjQ5NgEAAADLaQ0ABQAAAAkzLzEzLzIwMTQAECVSjSJ70QggmG+NInvRCB5DSVEuVEFTRTpPUk1UL</t>
  </si>
  <si>
    <t>klRX1RPVEFMX1JFVi40NzABAAAAy2kNAAIAAAAGNjkuMzM3AQgAAAAFAAAAATEBAAAACTQ1MTY3MTM5MQMAAAADMTYwAgAAAAIyOAQAAAABMAcAAAAJNy8zMS8yMDE0CAAAAAk2LzMwLzIwMDYJAAAAATAQJVKNInvRCABKb40ie9EIIkNJUS5UQVNFOk9STVQuSVFfRUJJVERBX01BUkdJTi40OTcBAAAAy2kNAAIAAAAHMzUuMjQ1MgEIAAAABQAAAAExAQAAAAoxNjg2NTQ5NzMxAwAAAAMxNjACAAAABDQwNDcEAAAAATAHAAAACTcvMzEvMjAxNAgAAAAJMy8zMS8yMDEzCQAAAAEwECVSjSJ70QigX26NInvRCCVDSVEuVEFTRTpPUk1ULklRX1RFVl9FQklUREEuLjMvOS8yMDA5AQAAAMtpDQACAAAACTExLjU3NTM4MgEHAAAABQAAAAExAQAAAAoxMjk1MTUxNzE0AwAAAAEwAgAAAAYxMDAwMzAEAAAAATAHAAAACDMvOS8yMDA5CAAAAAgzLzkvMjAwOeDbkY8ie9EIsHWplSJ70QgaQ0lRLlRBU0U6T1JNVC4uLjExLzEzLzIwMTMFAAAAAQAAAAgAAAAWKEludmFsaWQgRm9ybXVsYSBOYW1lKaD7oZUie9EIoPuhlSJ70QgiQ0lRLlRBU0U6T1JNVC5JUV9DT01NT05fRElWX0NGLjQ4MAEAAADLaQ0AAgAAAAEwAQgAAAAFAAAAATEBAAAACjE0NzcwOTQ0NTkDAAAAAzE2MAIAAAAEMjA3NAQAAAABMAcAAAAJNy8zMS8yMDE0CAAAAAoxMi8zMS8yMDA4CQAAAAEwECVSjSJ70QiQOG6NInvRCCJDSVEuVEFTRTpPUk1ULklRX0ZJ</t>
  </si>
  <si>
    <t>TElOR0RBVEVfQlMuNDc0AQAAAMtpDQAFAAAACDgvNy8yMDA4ABAlUo0ie9EIML9vjSJ70QgiQ0lRLlRBU0U6T1JNVC5JUV9FQklUREFfTUFSR0lOLjQ5MAEAAADLaQ0AAgAAAAc0NC44MTI1AQgAAAAFAAAAATEBAAAACjE1ODM2NTc3NTIDAAAAAzE2MAIAAAAENDA0NwQAAAABMAcAAAAJNy8zMS8yMDE0CAAAAAk2LzMwLzIwMTEJAAAAATAQJVKNInvRCKBfbo0ie9EIIkNJUS5UQVNFOk9STVQuSVFfQ09NTU9OX0RJVl9DRi40NjcBAAAAy2kNAAMAAAAAABAlUo0ie9EIoF9ujSJ70QgiQ0lRLlRBU0U6T1JNVC5JUV9FQklUREFfTUFSR0lOLjQ5MwEAAADLaQ0AAgAAAAczOC41ODE5AQgAAAAFAAAAATEBAAAACjE1ODM2MjgzNjIDAAAAAzE2MAIAAAAENDA0NwQAAAABMAcAAAAJNy8zMS8yMDE0CAAAAAkzLzMxLzIwMTIJAAAAATAQJVKNInvRCLCGbo0ie9EIIkNJUS5UQVNFOk9STVQuSVFfRklMSU5HREFURV9CUy40NjIBAAAAy2kNAAUAAAAJMS8yOS8yMDA2ABAlUo0ie9EIQOZvjSJ70QgZQ0lRLlRBU0U6T1JNVC4uLjEvMjkvMjAwNgUAAAABAAAACAAAABYoSW52YWxpZCBGb3JtdWxhIE5hbWUpoPuhlSJ70Qig+6GVInvRCCZDSVEuVEFTRTpPUk1ULklRX1RFVl9FQklUREEuLjMvMTkvMjAxMQEAAADLaQ0AAgAAAAkxNS41NDM0NjEBBwAAAAUAAAABMQEAAAAKMTQ3ODA3MDQ0MAMAAAABMAIAAAAGMTAwMDMwBAA</t>
  </si>
  <si>
    <t>AAAEwBwAAAAkzLzE3LzIwMTEIAAAACTMvMTcvMjAxMfACko8ie9EIwJyplSJ70QgeQ0lRLlRBU0U6T1JNVC5JUV9UT1RBTF9SRVYuNDY5AQAAAMtpDQACAAAABjY1LjY2NQEIAAAABQAAAAExAQAAAAk0NTE2NzI5ODADAAAAAzE2MAIAAAACMjgEAAAAATAHAAAACTcvMzEvMjAxNAgAAAAJMy8zMS8yMDA2CQAAAAEwECVSjSJ70QgASm+NInvRCBhDSVEuVEFTRTpPUk1ULi4uOC84LzIwMTAFAAAAAQAAAAgAAAAWKEludmFsaWQgRm9ybXVsYSBOYW1lKaD7oZUie9EIoPuhlSJ70QgZQ0lRLlRBU0U6T1JNVC4uLjMvMTYvMjAxMgUAAAABAAAACAAAABYoSW52YWxpZCBGb3JtdWxhIE5hbWUpoPuhlSJ70Qig+6GVInvRCCZDSVEuVEFTRTpPUk1ULklRX0NMT1NFUFJJQ0UuLjUvMTUvMjAxNAEAAADLaQ0AAgAAAAUyNS41MQDg25GPInvRCMDgmI8ie9EIIkNJUS5UQVNFOk9STVQuSVFfRklMSU5HREFURV9CUy41MDABAAAAy2kNAAUAAAAJNS8xNS8yMDE0ABAlUo0ie9EIIJhvjSJ70QgvQ0lRLlRBU0U6T1JNVC5JUV9BTk5VQUxJWkVEX0RJVklERU5ELjExLzEzLzIwMDgBAAAAy2kNAAIAAAAEMC43MgDg25GPInvRCLC5mI8ie9EILUNJUS5UQVNFOk9STVQuSVFfQU5OVUFMSVpFRF9ESVZJREVORC4zLzkvMjAwOQEAAADLaQ0AAgAAAAgwLjIyNDM4MQDg25GPInvRCLC5mI8ie9EIIkNJUS5UQVNFOk9STVQuSVFfRklMSU</t>
  </si>
  <si>
    <t>5HREFURV9CUy40OTkBAAAAy2kNAAUAAAAJMy8xMy8yMDE0ABAlUo0ie9EIIJhvjSJ70QgeQ0lRLlRBU0U6T1JNVC5JUV9UT1RBTF9SRVYuNDgxAQAAAMtpDQACAAAABzEwMi4zMTgBCAAAAAUAAAABMQEAAAAKMTM3MjkwNDg0NgMAAAADMTYwAgAAAAIyOAQAAAABMAcAAAAJNy8zMS8yMDE0CAAAAAkzLzMxLzIwMDkJAAAAATAQJVKNInvRCPAib40ie9EIGUNJUS5UQVNFOk9STVQuLi4zLzE5LzIwMTEFAAAAAQAAAAgAAAAWKEludmFsaWQgRm9ybXVsYSBOYW1lKaD7oZUie9EIoPuhlSJ70QgiQ0lRLlRBU0U6T1JNVC5JUV9GSUxJTkdEQVRFX0JTLjQ2NgEAAADLaQ0ABQAAAAk3LzMwLzIwMDYAECVSjSJ70QhA5m+NInvRCCJDSVEuVEFTRTpPUk1ULklRX0VCSVREQV9NQVJHSU4uNDczAQAAAMtpDQACAAAABzI2LjMyMDEBCAAAAAUAAAABMQEAAAAJODA1NDIwODg3AwAAAAMxNjACAAAABDQwNDcEAAAAATAHAAAACTcvMzEvMjAxNAgAAAAJMy8zMS8yMDA3CQAAAAEwECVSjSJ70QjArW6NInvRCCJDSVEuVEFTRTpPUk1ULklRX0ZJTElOR0RBVEVfQlMuNDcyAQAAAMtpDQAFAAAACTMvMjcvMjAwOAAQJVKNInvRCEDmb40ie9EIIkNJUS5UQVNFOk9STVQuSVFfQ09NTU9OX0RJVl9DRi40NjEBAAAAy2kNAAMAAAAAABAlUo0ie9EIoF9ujSJ70QgZQ0lRLlRBU0U6T1JNVC4uLjUvMTUvMjAxNAUAAAABAAAACAAAABYoS</t>
  </si>
  <si>
    <t>W52YWxpZCBGb3JtdWxhIE5hbWUpoPuhlSJ70Qig+6GVInvRCCJDSVEuVEFTRTpPUk1ULklRX0ZJTElOR0RBVEVfQlMuNDY4AQAAAMtpDQAFAAAACDMvMS8yMDA3ABAlUo0ie9EIML9vjSJ70QgaQ0lRLlRBU0U6T1JNVC4uLjExLzEzLzIwMTEFAAAAAQAAAAgAAAAWKEludmFsaWQgRm9ybXVsYSBOYW1lKaD7oZUie9EIoPuhlSJ70QgiQ0lRLlRBU0U6T1JNVC5JUV9FQklUREFfTUFSR0lOLjQ2OQEAAADLaQ0AAgAAAAc0NS42NzU3AQgAAAAFAAAAATEBAAAACTQ1MTY3Mjk4MAMAAAADMTYwAgAAAAQ0MDQ3BAAAAAEwBwAAAAk3LzMxLzIwMTQIAAAACTMvMzEvMjAwNgkAAAABMBAlUo0ie9EIwK1ujSJ70QgeQ0lRLlRBU0U6T1JNVC5JUV9UT1RBTF9SRVYuNDY3AQAAAMtpDQACAAAABjc1LjQwOQEIAAAABQAAAAExAQAAAAk0NTE2NzEwMjMDAAAAAzE2MAIAAAACMjgEAAAAATAHAAAACTcvMzEvMjAxNAgAAAAJOS8zMC8yMDA1CQAAAAEwECVSjSJ70QggmG+NInvRCBhDSVEuVEFTRTpPUk1ULi4uOC84LzIwMTEFAAAAAQAAAAgAAAAWKEludmFsaWQgRm9ybXVsYSBOYW1lKaD7oZUie9EIoPuhlSJ70QgtQ0lRLlRBU0U6T1JNVC5JUV9BTk5VQUxJWkVEX0RJVklERU5ELjMvMS8yMDA3AQAAAMtpDQACAAAACDEuMTgxMTI0AODbkY8ie9EIwOCYjyJ70QgiQ0lRLlRBU0U6T1JNVC5JUV9GSUxJTkdEQVRFX0JTLjQ4OQEA</t>
  </si>
  <si>
    <t>AADLaQ0ABQAAAAk1LzEzLzIwMTIAECVSjSJ70Qgwv2+NInvRCCJDSVEuVEFTRTpPUk1ULklRX0VCSVREQV9NQVJHSU4uNTAwAQAAAMtpDQACAAAABzQ1Ljg4MzcBCAAAAAUAAAABMQEAAAAKMTY4NjU0ODUxNQMAAAADMTYwAgAAAAQ0MDQ3BAAAAAEwBwAAAAk3LzMxLzIwMTQIAAAACTMvMzEvMjAxNAkAAAABMBAlUo0ie9EIsIZujSJ70QgiQ0lRLlRBU0U6T1JNVC5JUV9FQklUREFfTUFSR0lOLjQ3NwEAAADLaQ0AAgAAAAczOC42NTI1AQgAAAAFAAAAATEBAAAACjEzNjQ4NjU5NzgDAAAAAzE2MAIAAAAENDA0NwQAAAABMAcAAAAJNy8zMS8yMDE0CAAAAAkzLzMxLzIwMDgJAAAAATAQJVKNInvRCLCGbo0ie9EILkNJUS5UQVNFOk9STVQuSVFfQU5OVUFMSVpFRF9ESVZJREVORC41LzI0LzIwMTABAAAAy2kNAAIAAAAIMC4zNDA3OTQA4NuRjyJ70QiwuZiPInvRCCJDSVEuVEFTRTpPUk1ULklRX0ZJTElOR0RBVEVfQlMuNDc2AQAAAMtpDQAFAAAACDMvOS8yMDA5ABAlUo0ie9EIML9vjSJ70QgiQ0lRLlRBU0U6T1JNVC5JUV9DT01NT05fRElWX0NGLjQ2NQEAAADLaQ0AAwAAAAAAECVSjSJ70QigX26NInvRCBpDSVEuVEFTRTpPUk1ULi4uMTEvMTMvMjAwOAUAAAABAAAACAAAABYoSW52YWxpZCBGb3JtdWxhIE5hbWUpoPuhlSJ70Qig+6GVInvRCCJDSVEuVEFTRTpPUk1ULklRX0ZJTElOR0RBVEVfQlMuNDg3AQA</t>
  </si>
  <si>
    <t>AAMtpDQAFAAAACjExLzEzLzIwMTEAECVSjSJ70Qgwv2+NInvRCC9DSVEuVEFTRTpPUk1ULklRX0FOTlVBTElaRURfRElWSURFTkQuMTEvMTMvMjAxMQEAAADLaQ0AAgAAAAQwLjMzAODbkY8ie9EIgESYjyJ70QgZQ0lRLlRBU0U6T1JNVC4uLjUvMTQvMjAwOQUAAAABAAAACAAAABYoSW52YWxpZCBGb3JtdWxhIE5hbWUpoPuhlSJ70Qig+6GVInvRCCJDSVEuVEFTRTpPUk1ULklRX0VCSVREQV9NQVJHSU4uNDg4AQAAAMtpDQACAAAABzI4LjM1NDEBCAAAAAUAAAABMQEAAAAKMTU4MzAwMjIyNQMAAAADMTYwAgAAAAQ0MDQ3BAAAAAEwBwAAAAk3LzMxLzIwMTQIAAAACjEyLzMxLzIwMTAJAAAAATAQJVKNInvRCLCGbo0ie9EIHkNJUS5UQVNFOk9STVQuSVFfVE9UQUxfUkVWLjQ4NwEAAADLaQ0AAgAAAAcxMDIuMzE2AQgAAAAFAAAAATEBAAAACjE1NDU1NTEwMjcDAAAAAzE2MAIAAAACMjgEAAAAATAHAAAACTcvMzEvMjAxNAgAAAAJOS8zMC8yMDEwCQAAAAEwECVSjSJ70QjwIm+NInvRCCJDSVEuVEFTRTpPUk1ULklRX0ZJTElOR0RBVEVfQlMuNDgzAQAAAMtpDQAFAAAACTExLzQvMjAxMAAQJVKNInvRCDC/b40ie9EIKENJUS5UQVNFOk9STVQuSVFfVE9UQUxfREVCVF9FWENMX0ZJTi41MDABAAAAy2kNAAIAAAAIMTAxOC4xMDIBCAAAAAUAAAABMQEAAAAKMTY4NjU0ODUxNQMAAAADMTYwAgAAAAUyMTg2MAQAAA</t>
  </si>
  <si>
    <t>ABMAcAAAAJNy8zMS8yMDE0CAAAAAkzLzMxLzIwMTQJAAAAATAQJVKNInvRCKBfbo0ie9EIIkNJUS5UQVNFOk9STVQuSVFfRUJJVERBX01BUkdJTi40NzEBAAAAy2kNAAIAAAAHNDkuNjU0MwEIAAAABQAAAAExAQAAAAoxMjg1MDc0OTc0AwAAAAMxNjACAAAABDQwNDcEAAAAATAHAAAACTcvMzEvMjAxNAgAAAAJOS8zMC8yMDA2CQAAAAEwECVSjSJ70Qiwhm6NInvRCCJDSVEuVEFTRTpPUk1ULklRX0NPTU1PTl9ESVZfQ0YuNDg4AQAAAMtpDQACAAAAATABCAAAAAUAAAABMQEAAAAKMTU4MzAwMjIyNQMAAAADMTYwAgAAAAQyMDc0BAAAAAEwBwAAAAk3LzMxLzIwMTQIAAAACjEyLzMxLzIwMTAJAAAAATAQJVKNInvRCJA4bo0ie9EIHkNJUS5UQVNFOk9STVQuSVFfVE9UQUxfUkVWLjQ2MQEAAADLaQ0AAgAAAAcyMjEuMTE3AQgAAAAFAAAAATEBAAAACTQ1OTE0NDUwNQMAAAACNzECAAAAAjI4BAAAAAEwBwAAAAk3LzMxLzIwMTQIAAAACTMvMzEvMjAwNAkAAAABMBAlUo0ie9EIIJhvjSJ70QgeQ0lRLlRBU0U6T1JNVC5JUV9UT1RBTF9SRVYuNDgzAQAAAMtpDQACAAAABzEyOC44OTMBCAAAAAUAAAABMQEAAAAKMTQ3NjcyMjI4OQMAAAADMTYwAgAAAAIyOAQAAAABMAcAAAAJNy8zMS8yMDE0CAAAAAk5LzMwLzIwMDkJAAAAATAQJVKNInvRCABKb40ie9EILkNJUS5UQVNFOk9STVQuSVFfQU5OVUFMSVpFRF9ESVZJR</t>
  </si>
  <si>
    <t>EVORC41LzE5LzIwMTEBAAAAy2kNAAIAAAAEMC4zMwDg25GPInvRCLC5mI8ie9EIIkNJUS5UQVNFOk9STVQuSVFfRUJJVERBX01BUkdJTi40NzUBAAAAy2kNAAIAAAAHNDIuMDcxOQEIAAAABQAAAAExAQAAAAk3NzMyNjI0MjYDAAAAAzE2MAIAAAAENDA0NwQAAAABMAcAAAAJNy8zMS8yMDE0CAAAAAk5LzMwLzIwMDcJAAAAATAQJVKNInvRCMCtbo0ie9EIIkNJUS5UQVNFOk9STVQuSVFfQ09NTU9OX0RJVl9DRi40NjMBAAAAy2kNAAMAAAAAABAlUo0ie9EIoF9ujSJ70QgeQ0lRLlRBU0U6T1JNVC5JUV9UT1RBTF9SRVYuNDg5AQAAAMtpDQACAAAABjk5LjA2MwEIAAAABQAAAAExAQAAAAoxNTgzNjI4MTU5AwAAAAMxNjACAAAAAjI4BAAAAAEwBwAAAAk3LzMxLzIwMTQIAAAACTMvMzEvMjAxMQkAAAABMBAlUo0ie9EI8CJvjSJ70QgiQ0lRLlRBU0U6T1JNVC5JUV9GSUxJTkdEQVRFX0JTLjQ4NQEAAADLaQ0ABQAAAAk1LzE5LzIwMTEAECVSjSJ70QggmG+NInvRCBlDSVEuVEFTRTpPUk1ULi4uNS8xOC8yMDA4BQAAAAEAAAAIAAAAFihJbnZhbGlkIEZvcm11bGEgTmFtZSmg+6GVInvRCKD7oZUie9EIL0NJUS5UQVNFOk9STVQuSVFfQU5OVUFMSVpFRF9ESVZJREVORC4xMS8xMy8yMDEzAQAAAMtpDQACAAAABDIuODMA4NuRjyJ70QiARJiPInvRCB5DSVEuVEFTRTpPUk1ULklRX1RPVEFMX1JFVi40NjUBAAAAy2kN</t>
  </si>
  <si>
    <t>AAIAAAAGNTkuMzEyAQgAAAAFAAAAATEBAAAACTQ1MTY3MjEzOQMAAAADMTYwAgAAAAIyOAQAAAABMAcAAAAJNy8zMS8yMDE0CAAAAAkzLzMxLzIwMDUJAAAAATAQJVKNInvRCBBxb40ie9EIIkNJUS5UQVNFOk9STVQuSVFfQ09NTU9OX0RJVl9DRi40ODMBAAAAy2kNAAMAAAAAABAlUo0ie9EIkDhujSJ70QglQ0lRLlRBU0U6T1JNVC5JUV9URVZfRUJJVERBLi4zLzEvMjAwNgEAAADLaQ0AAgAAAAkxMC41NzQ1NDYBBwAAAAUAAAABMQEAAAAJNDU1NDYyNzE0AwAAAAEwAgAAAAYxMDAwMzAEAAAAATAHAAAACDMvMS8yMDA2CAAAAAgzLzEvMjAwNuDbkY8ie9EIsHWplSJ70QgeQ0lRLlRBU0U6T1JNVC5JUV9UT1RBTF9SRVYuNDg1AQAAAMtpDQACAAAABjg1LjE4NgEIAAAABQAAAAExAQAAAAoxNDc2NzgyMzQzAwAAAAMxNjACAAAAAjI4BAAAAAEwBwAAAAk3LzMxLzIwMTQIAAAACTMvMzEvMjAxMAkAAAABMBAlUo0ie9EIAEpvjSJ70QgiQ0lRLlRBU0U6T1JNVC5JUV9GSUxJTkdEQVRFX0JTLjQ4MQEAAADLaQ0ABQAAAAk1LzI0LzIwMTAAECVSjSJ70Qgwv2+NInvRCCJDSVEuVEFTRTpPUk1ULklRX0ZJTElOR0RBVEVfQlMuNDY3AQAAAMtpDQAFAAAACjEwLzMwLzIwMDYAECVSjSJ70QhA5m+NInvRCB5DSVEuVEFTRTpPUk1ULklRX1RPVEFMX1JFVi40OTkBAAAAy2kNAAIAAAAHMTMwLjkwNQEIAAAABQAAAAExAQA</t>
  </si>
  <si>
    <t>AAAoxNjczMjAxMzU1AwAAAAMxNjACAAAAAjI4BAAAAAEwBwAAAAk3LzMxLzIwMTQIAAAACjEyLzMxLzIwMTMJAAAAATAQJVKNInvRCNDUbo0ie9EIHkNJUS5UQVNFOk9STVQuSVFfVE9UQUxfUkVWLjQ3OQEAAADLaQ0AAgAAAAcxMDIuMjY0AQgAAAAFAAAAATEBAAAACjEyOTI4Nzk5MjUDAAAAAzE2MAIAAAACMjgEAAAAATAHAAAACTcvMzEvMjAxNAgAAAAJOS8zMC8yMDA4CQAAAAEwECVSjSJ70QgASm+NInvRCBlDSVEuVEFTRTpPUk1ULi4uMy8xMy8yMDEzBQAAAAEAAAAIAAAAFihJbnZhbGlkIEZvcm11bGEgTmFtZSmg+6GVInvRCKD7oZUie9EIJkNJUS5UQVNFOk9STVQuSVFfVEVWX0VCSVREQS4uNS8xNC8yMDA5AQAAAMtpDQACAAAACTEyLjE1MjE0NQEHAAAABQAAAAExAQAAAAoxMjk1OTM3NTM5AwAAAAEwAgAAAAYxMDAwMzAEAAAAATAHAAAACTUvMTQvMjAwOQgAAAAJNS8xNC8yMDA54NuRjyJ70QiwdamVInvRCCJDSVEuVEFTRTpPUk1ULklRX0ZJTElOR0RBVEVfQlMuNDc5AQAAAMtpDQAFAAAACTExLzgvMjAwOQAQJVKNInvRCDC/b40ie9EILkNJUS5UQVNFOk9STVQuSVFfQU5OVUFMSVpFRF9ESVZJREVORC4zLzEzLzIwMTMBAAAAy2kNAAIAAAAEMi44MwDg25GPInvRCIBEmI8ie9EIHkNJUS5UQVNFOk9STVQuSVFfVE9UQUxfUkVWLjQ2MwEAAADLaQ0AAgAAAAczMDcuMDA0AQgAAAAFAAAAATEBAA</t>
  </si>
  <si>
    <t>AACTQ1NTk5OTA2NwMAAAACNzECAAAAAjI4BAAAAAEwBwAAAAk3LzMxLzIwMTQIAAAACTkvMzAvMjAwNAkAAAABMBAlUo0ie9EIEHFvjSJ70QgnQ0lRLlRBU0U6T1JNVC5JUV9URVZfRUJJVERBLi4xMS8xMS8yMDA3AQAAAMtpDQACAAAACTIxLjA3NzcxMQEHAAAABQAAAAExAQAAAAoxMjg1MDkxMzQ5AwAAAAEwAgAAAAYxMDAwMzAEAAAAATAHAAAACTExLzgvMjAwNwgAAAAJMTEvOC8yMDA34NuRjyJ70QiwdamVInvRCCZDSVEuVEFTRTpPUk1ULklRX1RFVl9FQklUREEuLjUvMTMvMjAxMgEAAADLaQ0AAgAAAAg5LjUzNDU3OAEHAAAABQAAAAExAQAAAAoxNTgzNjM1MjYxAwAAAAEwAgAAAAYxMDAwMzAEAAAAATAHAAAACTUvMTMvMjAxMggAAAAJNS8xMy8yMDEy8AKSjyJ70QjQw6mVInvRCCZDSVEuVEFTRTpPUk1ULklRX1RFVl9FQklUREEuLjMvMTMvMjAxNAEAAADLaQ0AAgAAAAkxMC41OTE2MjgBBwAAAAUAAAABMQEAAAAKMTY3MzIwMjE4MwMAAAABMAIAAAAGMTAwMDMwBAAAAAEwBwAAAAkzLzEzLzIwMTQIAAAACTMvMTMvMjAxNPACko8ie9EI0MOplSJ70QgiQ0lRLlRBU0U6T1JNVC5JUV9DT01NT05fRElWX0NGLjQ3OAEAAADLaQ0AAgAAAAYtNi4wMzgBCAAAAAUAAAABMQEAAAAKMTI4NjAzMjE0NgMAAAADMTYwAgAAAAQyMDc0BAAAAAEwBwAAAAk3LzMxLzIwMTQIAAAACTYvMzAvMjAwOAkAAAABMBAlU</t>
  </si>
  <si>
    <t>o0ie9EIkDhujSJ70QgiQ0lRLlRBU0U6T1JNVC5JUV9FQklUREFfTUFSR0lOLjQ3OQEAAADLaQ0AAgAAAAczNi42MTExAQgAAAAFAAAAATEBAAAACjEyOTI4Nzk5MjUDAAAAAzE2MAIAAAAENDA0NwQAAAABMAcAAAAJNy8zMS8yMDE0CAAAAAk5LzMwLzIwMDgJAAAAATAQJVKNInvRCMCtbo0ie9EIIkNJUS5UQVNFOk9STVQuSVFfRUJJVERBX01BUkdJTi40ODMBAAAAy2kNAAIAAAAHMzguNjQ5MQEIAAAABQAAAAExAQAAAAoxNDc2NzIyMjg5AwAAAAMxNjACAAAABDQwNDcEAAAAATAHAAAACTcvMzEvMjAxNAgAAAAJOS8zMC8yMDA5CQAAAAEwECVSjSJ70Qiwhm6NInvRCCJDSVEuVEFTRTpPUk1ULklRX0NPTU1PTl9ESVZfQ0YuNDg1AQAAAMtpDQADAAAAAAAQJVKNInvRCIARbo0ie9EIIkNJUS5UQVNFOk9STVQuSVFfQ09NTU9OX0RJVl9DRi41MDABAAAAy2kNAAMAAAAAABAlUo0ie9EIgBFujSJ70QgeQ0lRLlRBU0U6T1JNVC5JUV9UT1RBTF9SRVYuNDkyAQAAAMtpDQACAAAABzEyMy43MzYBCAAAAAUAAAABMQEAAAAKMTY1ODQ0MDE0NQMAAAADMTYwAgAAAAIyOAQAAAABMAcAAAAJNy8zMS8yMDE0CAAAAAoxMi8zMS8yMDExCQAAAAEwECVSjSJ70QgASm+NInvRCB5DSVEuVEFTRTpPUk1ULklRX1RPVEFMX1JFVi40ODYBAAAAy2kNAAIAAAAGOTguNjM4AQgAAAAFAAAAATEBAAAACjE0NzY3MjE2MjkDAAAAAzE2</t>
  </si>
  <si>
    <t>MAIAAAACMjgEAAAAATAHAAAACTcvMzEvMjAxNAgAAAAJNi8zMC8yMDEwCQAAAAEwECVSjSJ70QgASm+NInvRCCJDSVEuVEFTRTpPUk1ULklRX0ZJTElOR0RBVEVfQlMuNDYxAQAAAMtpDQAFAAAACTUvMTcvMjAwNQAQJVKNInvRCEDmb40ie9EIIkNJUS5UQVNFOk9STVQuSVFfQ09NTU9OX0RJVl9DRi40NzIBAAAAy2kNAAIAAAABMAEIAAAABQAAAAExAQAAAAk3ODQ1MTM5MzcDAAAAAzE2MAIAAAAEMjA3NAQAAAABMAcAAAAJNy8zMS8yMDE0CAAAAAoxMi8zMS8yMDA2CQAAAAEwECVSjSJ70QiQOG6NInvRCCZDSVEuVEFTRTpPUk1ULklRX1RFVl9FQklUREEuLjUvMTUvMjAxNAEAAADLaQ0AAgAAAAg5LjIyOTUyMgEHAAAABQAAAAExAQAAAAoxNjg2NTYxMDg4AwAAAAEwAgAAAAYxMDAwMzAEAAAAATAHAAAACTUvMTUvMjAxNAgAAAAJNS8xNS8yMDE08AKSjyJ70QjQw6mVInvRCCJDSVEuVEFTRTpPUk1ULklRX0NPTU1PTl9ESVZfQ0YuNDgxAQAAAMtpDQACAAAABi01LjUwMgEIAAAABQAAAAExAQAAAAoxMzcyOTA0ODQ2AwAAAAMxNjACAAAABDIwNzQEAAAAATAHAAAACTcvMzEvMjAxNAgAAAAJMy8zMS8yMDA5CQAAAAEwECVSjSJ70QiQOG6NInvRCC5DSVEuVEFTRTpPUk1ULklRX0FOTlVBTElaRURfRElWSURFTkQuMTEvOC8yMDA5AQAAAMtpDQACAAAACDAuMTk5NTM2AODbkY8ie9EIsLmYjyJ70QgeQ0lRLlR</t>
  </si>
  <si>
    <t>BU0U6T1JNVC5JUV9UT1RBTF9SRVYuNDc0AQAAAMtpDQACAAAABjg2Ljg2OAEIAAAABQAAAAExAQAAAAk4MDU0MjA4ODYDAAAAAzE2MAIAAAACMjgEAAAAATAHAAAACTcvMzEvMjAxNAgAAAAJNi8zMC8yMDA3CQAAAAEwECVSjSJ70QgQcW+NInvRCC5DSVEuVEFTRTpPUk1ULklRX0FOTlVBTElaRURfRElWSURFTkQuMy8xMy8yMDE0AQAAAMtpDQACAAAABDAuMzYA4NuRjyJ70QiARJiPInvRCCJDSVEuVEFTRTpPUk1ULklRX0ZJTElOR0RBVEVfQlMuNDgwAQAAAMtpDQAFAAAACTMvMTUvMjAxMAAQJVKNInvRCCCYb40ie9EIHkNJUS5UQVNFOk9STVQuSVFfVE9UQUxfUkVWLjQ4MgEAAADLaQ0AAgAAAAcxMDIuNTMzAQgAAAAFAAAAATEBAAAACjE0NzY3MjE4MDMDAAAAAzE2MAIAAAACMjgEAAAAATAHAAAACTcvMzEvMjAxNAgAAAAJNi8zMC8yMDA5CQAAAAEwECVSjSJ70QjwIm+NInvRCCJDSVEuVEFTRTpPUk1ULklRX0ZJTElOR0RBVEVfQlMuNDY1AQAAAMtpDQAFAAAACTQvMzAvMjAwNgAQJVKNInvRCFANcI0ie9EIIkNJUS5UQVNFOk9STVQuSVFfQ09NTU9OX0RJVl9DRi40NzYBAAAAy2kNAAIAAAABMAEIAAAABQAAAAExAQAAAAoxMjk1MTUxOTgwAwAAAAMxNjACAAAABDIwNzQEAAAAATAHAAAACTcvMzEvMjAxNAgAAAAKMTIvMzEvMjAwNwkAAAABMBAlUo0ie9EIkDhujSJ70QgeQ0lRLlRBU0U6T1JNVC5JUV</t>
  </si>
  <si>
    <t>9UT1RBTF9SRVYuNDk0AQAAAMtpDQACAAAABzEyOS44MzcBCAAAAAUAAAABMQEAAAAKMTY4Mzg2MTM5MwMAAAADMTYwAgAAAAIyOAQAAAABMAcAAAAJNy8zMS8yMDE0CAAAAAk2LzMwLzIwMTIJAAAAATAQJVKNInvRCNDUbo0ie9EIIkNJUS5UQVNFOk9STVQuSVFfQ09NTU9OX0RJVl9DRi40NjIBAAAAy2kNAAIAAAAHLTEzLjc4MgEIAAAABQAAAAExAQAAAAk0NjIxMDk5MDYDAAAAAjcxAgAAAAQyMDc0BAAAAAEwBwAAAAk3LzMxLzIwMTQIAAAACTYvMzAvMjAwNAkAAAABMBAlUo0ie9EIoF9ujSJ70QgeQ0lRLlRBU0U6T1JNVC5JUV9UT1RBTF9SRVYuNDg4AQAAAMtpDQACAAAABjkyLjgzMwEIAAAABQAAAAExAQAAAAoxNTgzMDAyMjI1AwAAAAMxNjACAAAAAjI4BAAAAAEwBwAAAAk3LzMxLzIwMTQIAAAACjEyLzMxLzIwMTAJAAAAATAQJVKNInvRCPAib40ie9EIJkNJUS5UQVNFOk9STVQuSVFfVEVWX0VCSVREQS4uMy8yNy8yMDA4AQAAAMtpDQACAAAACTE1Ljk5ODQ4NgEHAAAABQAAAAExAQAAAAk3ODQ1MTM1MjkDAAAAATACAAAABjEwMDAzMAQAAAABMAcAAAAJMy8yNy8yMDA4CAAAAAkzLzI3LzIwMDjg25GPInvRCLB1qZUie9EIHkNJUS5UQVNFOk9STVQuSVFfVE9UQUxfUkVWLjUwMAEAAADLaQ0AAgAAAAcxNDIuNDM2AQgAAAAFAAAAATEBAAAACjE2ODY1NDg1MTUDAAAAAzE2MAIAAAACMjgEAAAAATAHA</t>
  </si>
  <si>
    <t>AAACTcvMzEvMjAxNAgAAAAJMy8zMS8yMDE0CQAAAAEwECVSjSJ70QjQ1G6NInvRCCdDSVEuVEFTRTpPUk1ULklRX1RFVl9FQklUREEuLjEwLzMwLzIwMDYBAAAAy2kNAAIAAAAJMTEuMjc4MjkyAQcAAAAFAAAAATEBAAAACTQ1MTY5NDAyMQMAAAABMAIAAAAGMTAwMDMwBAAAAAEwBwAAAAoxMC8zMC8yMDA2CAAAAAoxMC8zMC8yMDA24NuRjyJ70QiwdamVInvRCCJDSVEuVEFTRTpPUk1ULklRX0VCSVREQV9NQVJHSU4uNDg1AQAAAMtpDQACAAAABzI4LjM4MTQBCAAAAAUAAAABMQEAAAAKMTQ3Njc4MjM0MwMAAAADMTYwAgAAAAQ0MDQ3BAAAAAEwBwAAAAk3LzMxLzIwMTQIAAAACTMvMzEvMjAxMAkAAAABMBAlUo0ie9EIsIZujSJ70QgeQ0lRLlRBU0U6T1JNVC5JUV9UT1RBTF9SRVYuNDY0AQAAAMtpDQACAAAACTU0LjY0NjAxNAEIAAAABQAAAAExAQAAAAk0NTU0NjI0NjgDAAAAAzE2MAIAAAACMjgEAAAAATAHAAAACTcvMzEvMjAxNAgAAAAKMTIvMzEvMjAwNAkAAAABMBAlUo0ie9EIEHFvjSJ70QgiQ0lRLlRBU0U6T1JNVC5JUV9DT01NT05fRElWX0NGLjQ4NwEAAADLaQ0AAwAAAAAAECVSjSJ70QiQOG6NInvRCB5DSVEuVEFTRTpPUk1ULklRX1RPVEFMX1JFVi40NzIBAAAAy2kNAAIAAAAGNzIuMDY2AQgAAAAFAAAAATEBAAAACTc4NDUxMzkzNwMAAAADMTYwAgAAAAIyOAQAAAABMAcAAAAJNy8zMS8yMDE0</t>
  </si>
  <si>
    <t>CAAAAAoxMi8zMS8yMDA2CQAAAAEwECVSjSJ70QgQcW+NInvRCCdDSVEuVEFTRTpPUk1ULklRX1RFVl9FQklUREEuLjExLzEzLzIwMDgBAAAAy2kNAAIAAAAIMTIuNjcxMzMBBwAAAAUAAAABMQEAAAAJNzczMjgxMTgxAwAAAAEwAgAAAAYxMDAwMzAEAAAAATAHAAAACjExLzEzLzIwMDgIAAAACjExLzEzLzIwMDjg25GPInvRCLB1qZUie9EILkNJUS5UQVNFOk9STVQuSVFfQU5OVUFMSVpFRF9ESVZJREVORC4zLzI3LzIwMDgBAAAAy2kNAAIAAAAEMC43MgDg25GPInvRCMDgmI8ie9EIJkNJUS5UQVNFOk9STVQuSVFfVEVWX0VCSVREQS4uNS8xNy8yMDA1AQAAAMtpDQACAAAABzcuMzU3MDQBBwAAAAUAAAABMQEAAAAJNDU5MTU1MDExAwAAAAEwAgAAAAYxMDAwMzAEAAAAATAHAAAACTUvMTcvMjAwNQgAAAAJNS8xNy8yMDA14NuRjyJ70QigTqmVInvRCCJDSVEuVEFTRTpPUk1ULklRX0NPTU1PTl9ESVZfQ0YuNDY2AQAAAMtpDQACAAAABi03LjI1MwEIAAAABQAAAAExAQAAAAk0NTU0NTg0ODEDAAAAAzE2MAIAAAAEMjA3NAQAAAABMAcAAAAJNy8zMS8yMDE0CAAAAAk2LzMwLzIwMDUJAAAAATAQJVKNInvRCJA4bo0ie9EIGUNJUS5UQVNFOk9STVQuLi41LzEzLzIwMTIFAAAAAQAAAAgAAAAWKEludmFsaWQgRm9ybXVsYSBOYW1lKaD7oZUie9EIoPuhlSJ70QgeQ0lRLlRBU0U6T1JNVC5JUV9UT1RBTF9SRVYuNDg</t>
  </si>
  <si>
    <t>0AQAAAMtpDQACAAAABjk3Ljc2NwEIAAAABQAAAAExAQAAAAoxNDc4MDcwMzc5AwAAAAMxNjACAAAAAjI4BAAAAAEwBwAAAAk3LzMxLzIwMTQIAAAACjEyLzMxLzIwMDkJAAAAATAQJVKNInvRCABKb40ie9EIIkNJUS5UQVNFOk9STVQuSVFfRklMSU5HREFURV9CUy40NjMBAAAAy2kNAAUAAAAJMS8yOS8yMDA2ABAlUo0ie9EIQOZvjSJ70QgaQ0lRLlRBU0U6T1JNVC4uLjExLzExLzIwMDcFAAAAAQAAAAgAAAAWKEludmFsaWQgRm9ybXVsYSBOYW1lKaD7oZUie9EIoPuhlSJ70QgiQ0lRLlRBU0U6T1JNVC5JUV9FQklUREFfTUFSR0lOLjQ4MQEAAADLaQ0AAgAAAAczNC4xMzQ3AQgAAAAFAAAAATEBAAAACjEzNzI5MDQ4NDYDAAAAAzE2MAIAAAAENDA0NwQAAAABMAcAAAAJNy8zMS8yMDE0CAAAAAkzLzMxLzIwMDkJAAAAATAQJVKNInvRCLCGbo0ie9EIHkNJUS5UQVNFOk9STVQuSVFfVE9UQUxfUkVWLjQ2OAEAAADLaQ0AAgAAAAY2NC4wNjgBCAAAAAUAAAABMQEAAAAJNDQ4MTQwNzE5AwAAAAMxNjACAAAAAjI4BAAAAAEwBwAAAAk3LzMxLzIwMTQIAAAACjEyLzMxLzIwMDUJAAAAATAQJVKNInvRCBBxb40ie9EIHkNJUS5UQVNFOk9STVQuSVFfVE9UQUxfUkVWLjQ3NgEAAADLaQ0AAgAAAAY3Mi45NTMBCAAAAAUAAAABMQEAAAAKMTI5NTE1MTk4MAMAAAADMTYwAgAAAAIyOAQAAAABMAcAAAAJNy8zMS8yMDE0CA</t>
  </si>
  <si>
    <t>AAAAoxMi8zMS8yMDA3CQAAAAEwECVSjSJ70QgASm+NInvRCC5DSVEuVEFTRTpPUk1ULklRX0FOTlVBTElaRURfRElWSURFTkQuMS8yOS8yMDA2AQAAAMtpDQACAAAACDAuMjkxNjA2AODbkY8ie9EIwOCYjyJ70QgiQ0lRLlRBU0U6T1JNVC5JUV9DT01NT05fRElWX0NGLjQ5NAEAAADLaQ0AAwAAAAAAECVSjSJ70QiQOG6NInvRCBhDSVEuVEFTRTpPUk1ULi4uMy8xLzIwMDYFAAAAAQAAAAgAAAAWKEludmFsaWQgRm9ybXVsYSBOYW1lKaD7oZUie9EIoPuhlSJ70QgeQ0lRLlRBU0U6T1JNVC5JUV9UT1RBTF9SRVYuNDYyAQAAAMtpDQACAAAABzI3Ny43ODgBCAAAAAUAAAABMQEAAAAJNDYyMTA5OTA2AwAAAAI3MQIAAAACMjgEAAAAATAHAAAACTcvMzEvMjAxNAgAAAAJNi8zMC8yMDA0CQAAAAEwECVSjSJ70QggmG+NInvRCCJDSVEuVEFTRTpPUk1ULklRX0ZJTElOR0RBVEVfQlMuNDk4AQAAAMtpDQAFAAAACjExLzEzLzIwMTMAECVSjSJ70QhA5m+NInvRCBlDSVEuVEFTRTpPUk1ULi4uNS8xNy8yMDA1BQAAAAEAAAAIAAAAFihJbnZhbGlkIEZvcm11bGEgTmFtZSmg+6GVInvRCKD7oZUie9EIIkNJUS5UQVNFOk9STVQuSVFfQ09NTU9OX0RJVl9DRi40NzQBAAAAy2kNAAIAAAAHLTE1Ljc1NAEIAAAABQAAAAExAQAAAAk4MDU0MjA4ODYDAAAAAzE2MAIAAAAEMjA3NAQAAAABMAcAAAAJNy8zMS8yMDE0CAAAAAk2L</t>
  </si>
  <si>
    <t>zMwLzIwMDcJAAAAATAQJVKNInvRCKBfbo0ie9EILkNJUS5UQVNFOk9STVQuSVFfQU5OVUFMSVpFRF9ESVZJREVORC41LzEzLzIwMTIBAAAAy2kNAAIAAAAEMi44MwDg25GPInvRCLC5mI8ie9EIJ0NJUS5UQVNFOk9STVQuSVFfVEVWX0VCSVREQS4uMTEvMTMvMjAxMQEAAADLaQ0AAgAAAAgxMS41NjExMgEHAAAABQAAAAExAQAAAAoxNTQ1NTcwMTY0AwAAAAEwAgAAAAYxMDAwMzAEAAAAATAHAAAACjExLzEzLzIwMTEIAAAACjExLzEzLzIwMTHwApKPInvRCMCcqZUie9EILkNJUS5UQVNFOk9STVQuSVFfQU5OVUFMSVpFRF9ESVZJREVORC43LzMwLzIwMDcBAAAAy2kNAAIAAAAEMi4yOADg25GPInvRCMDgmI8ie9EIIkNJUS5UQVNFOk9STVQuSVFfRklMSU5HREFURV9CUy40NjkBAAAAy2kNAAUAAAAJNC8zMC8yMDA3ABAlUo0ie9EIQOZvjSJ70QguQ0lRLlRBU0U6T1JNVC5JUV9BTk5VQUxJWkVEX0RJVklERU5ELjQvMzAvMjAwNgEAAADLaQ0AAgAAAAgwLjI4MzA5MwDg25GPInvRCMDgmI8ie9EIIkNJUS5UQVNFOk9STVQuSVFfRUJJVERBX01BUkdJTi40ODcBAAAAy2kNAAIAAAAHMzguMTQ2NQEIAAAABQAAAAExAQAAAAoxNTQ1NTUxMDI3AwAAAAMxNjACAAAABDQwNDcEAAAAATAHAAAACTcvMzEvMjAxNAgAAAAJOS8zMC8yMDEwCQAAAAEwECVSjSJ70Qiwhm6NInvRCCJDSVEuVEFTRTpPUk1ULklRX0VCSVRE</t>
  </si>
  <si>
    <t>QV9NQVJHSU4uNDY4AQAAAMtpDQACAAAABzQ2Ljk0MjMBCAAAAAUAAAABMQEAAAAJNDQ4MTQwNzE5AwAAAAMxNjACAAAABDQwNDcEAAAAATAHAAAACTcvMzEvMjAxNAgAAAAKMTIvMzEvMjAwNQkAAAABMBAlUo0ie9EI0NRujSJ70QgeQ0lRLlRBU0U6T1JNVC5JUV9UT1RBTF9SRVYuNDY2AQAAAMtpDQACAAAABjYyLjM3OAEIAAAABQAAAAExAQAAAAk0NTU0NTg0ODEDAAAAAzE2MAIAAAACMjgEAAAAATAHAAAACTcvMzEvMjAxNAgAAAAJNi8zMC8yMDA1CQAAAAEwECVSjSJ70QgQcW+NInvRCCJDSVEuVEFTRTpPUk1ULklRX0NPTU1PTl9ESVZfQ0YuNDg0AQAAAMtpDQACAAAAATABCAAAAAUAAAABMQEAAAAKMTQ3ODA3MDM3OQMAAAADMTYwAgAAAAQyMDc0BAAAAAEwBwAAAAk3LzMxLzIwMTQIAAAACjEyLzMxLzIwMDkJAAAAATAQJVKNInvRCIARbo0ie9EIJkNJUS5UQVNFOk9STVQuSVFfVEVWX0VCSVREQS4uMTEvNC8yMDEwAQAAAMtpDQACAAAACDE3LjMxODk5AQcAAAAFAAAAATEBAAAACjE0NzY3MzE3NTYDAAAAATACAAAABjEwMDAzMAQAAAABMAcAAAAJMTEvNC8yMDEwCAAAAAkxMS80LzIwMTDwApKPInvRCMCcqZUie9EIJkNJUS5UQVNFOk9STVQuSVFfVEVWX0VCSVREQS4uNS8xOS8yMDExAQAAAMtpDQACAAAACTE0LjM4MjcwNAEHAAAABQAAAAExAQAAAAoxNDc2Nzk5NjA4AwAAAAEwAgAAAAYxMDAwMzA</t>
  </si>
  <si>
    <t>EAAAAATAHAAAACTUvMTkvMjAxMQgAAAAJNS8xOS8yMDEx8AKSjyJ70QjAnKmVInvRCBhDSVEuVEFTRTpPUk1ULi4uOC85LzIwMDkFAAAAAQAAAAgAAAAWKEludmFsaWQgRm9ybXVsYSBOYW1lKaD7oZUie9EIoPuhlSJ70QglQ0lRLlRBU0U6T1JNVC5JUV9URVZfRUJJVERBLi44LzcvMjAwOAEAAADLaQ0AAgAAAAkxNC43MjE1MTEBBwAAAAUAAAABMQEAAAAJODA1NDM3Njc0AwAAAAEwAgAAAAYxMDAwMzAEAAAAATAHAAAACDgvNy8yMDA4CAAAAAg4LzcvMjAwOODbkY8ie9EIsHWplSJ70QgeQ0lRLlRBU0U6T1JNVC5JUV9UT1RBTF9SRVYuNDk2AQAAAMtpDQACAAAABzExNi4wODIBCAAAAAUAAAABMQEAAAAKMTY3MzIwMTU1OQMAAAADMTYwAgAAAAIyOAQAAAABMAcAAAAJNy8zMS8yMDE0CAAAAAoxMi8zMS8yMDEyCQAAAAEwECVSjSJ70QjwIm+NInvRCCJDSVEuVEFTRTpPUk1ULklRX0NPTU1PTl9ESVZfQ0YuNDY0AQAAAMtpDQADAAAAAAAQJVKNInvRCKBfbo0ie9EIHkNJUS5UQVNFOk9STVQuSVFfVE9UQUxfUkVWLjQ5MAEAAADLaQ0AAgAAAAcxMDYuMjg1AQgAAAAFAAAAATEBAAAACjE1ODM2NTc3NTIDAAAAAzE2MAIAAAACMjgEAAAAATAHAAAACTcvMzEvMjAxNAgAAAAJNi8zMC8yMDExCQAAAAEwECVSjSJ70QjwIm+NInvRCCJDSVEuVEFTRTpPUk1ULklRX0VCSVREQV9NQVJHSU4uNDgwAQAAAMtpDQACAA</t>
  </si>
  <si>
    <t>AABzE4LjE1NTgBCAAAAAUAAAABMQEAAAAKMTQ3NzA5NDQ1OQMAAAADMTYwAgAAAAQ0MDQ3BAAAAAEwBwAAAAk3LzMxLzIwMTQIAAAACjEyLzMxLzIwMDgJAAAAATAQJVKNInvRCMCtbo0ie9EILkNJUS5UQVNFOk9STVQuSVFfQU5OVUFMSVpFRF9ESVZJREVORC4xMS80LzIwMTABAAAAy2kNAAIAAAAEMC4zMwDg25GPInvRCLC5mI8ie9EIGUNJUS5UQVNFOk9STVQuLi4zLzEzLzIwMTQFAAAAAQAAAAgAAAAWKEludmFsaWQgRm9ybXVsYSBOYW1lKaD7oZUie9EIoPuhlSJ70QgiQ0lRLlRBU0U6T1JNVC5JUV9DT01NT05fRElWX0NGLjQ5NgEAAADLaQ0AAwAAAAAAECVSjSJ70QiAEW6NInvRCC1DSVEuVEFTRTpPUk1ULklRX0FOTlVBTElaRURfRElWSURFTkQuOC83LzIwMDgBAAAAy2kNAAIAAAAEMC43MgDg25GPInvRCMDgmI8ie9EIIkNJUS5UQVNFOk9STVQuSVFfQ09NTU9OX0RJVl9DRi40OTABAAAAy2kNAAIAAAAHLTExLjE4NQEIAAAABQAAAAExAQAAAAoxNTgzNjU3NzUyAwAAAAMxNjACAAAABDIwNzQEAAAAATAHAAAACTcvMzEvMjAxNAgAAAAJNi8zMC8yMDExCQAAAAEwECVSjSJ70QiAEW6NInvRCCZDSVEuVEFTRTpPUk1ULklRX1RFVl9FQklUREEuLjExLzgvMjAwOQEAAADLaQ0AAgAAAAkxMi42ODAyNDgBBwAAAAUAAAABMQEAAAAKMTI5Mjg5MjAwMQMAAAABMAIAAAAGMTAwMDMwBAAAAAEwBwAAAAkxM</t>
  </si>
  <si>
    <t>S84LzIwMDkIAAAACTExLzgvMjAwOeDbkY8ie9EIsHWplSJ70QgnQ0lRLlRBU0U6T1JNVC5JUV9URVZfRUJJVERBLi4xMS8xMy8yMDEzAQAAAMtpDQACAAAACDEwLjc5MDI1AQcAAAAFAAAAATEBAAAACjE2ODM4NTg3MjIDAAAAATACAAAABjEwMDAzMAQAAAABMAcAAAAKMTEvMTMvMjAxMwgAAAAKMTEvMTMvMjAxM/ACko8ie9EI0MOplSJ70QgiQ0lRLlRBU0U6T1JNVC5JUV9FQklUREFfTUFSR0lOLjQ2MwEAAADLaQ0AAgAAAAc0Mi4zNzE0AQgAAAAFAAAAATEBAAAACTQ1NTk5OTA2NwMAAAACNzECAAAABDQwNDcEAAAAATAHAAAACTcvMzEvMjAxNAgAAAAJOS8zMC8yMDA0CQAAAAEwECVSjSJ70QjQ1G6NInvRCCJDSVEuVEFTRTpPUk1ULklRX0NPTU1PTl9ESVZfQ0YuNDkyAQAAAMtpDQACAAAABy04Ny4xODgBCAAAAAUAAAABMQEAAAAKMTY1ODQ0MDE0NQMAAAADMTYwAgAAAAQyMDc0BAAAAAEwBwAAAAk3LzMxLzIwMTQIAAAACjEyLzMxLzIwMTEJAAAAATAQJVKNInvRCIARbo0ie9EIJkNJUS5UQVNFOk9STVQuSVFfVEVWX0VCSVREQS4uNy8zMC8yMDA3AQAAAMtpDQACAAAACTE2LjQzNzM0MwEHAAAABQAAAAExAQAAAAk0NTE2OTMzNzQDAAAAATACAAAABjEwMDAzMAQAAAABMAcAAAAJNy8zMC8yMDA3CAAAAAk3LzMwLzIwMDfg25GPInvRCLB1qZUie9EILUNJUS5UQVNFOk9STVQuSVFfQU5OVUFMSVpFRF9E</t>
  </si>
  <si>
    <t>SVZJREVORC44LzgvMjAxMQEAAADLaQ0AAgAAAAQwLjMzAODbkY8ie9EIsLmYjyJ70QgmQ0lRLlRBU0U6T1JNVC5JUV9URVZfRUJJVERBLi40LzMwLzIwMDYBAAAAy2kNAAIAAAAJMTEuMDA1MTI0AQcAAAAFAAAAATEBAAAACTQ1MTY5NDkzNgMAAAABMAIAAAAGMTAwMDMwBAAAAAEwBwAAAAk0LzI3LzIwMDYIAAAACTQvMjcvMjAwNuDbkY8ie9EIsHWplSJ70QgiQ0lRLlRBU0U6T1JNVC5JUV9DT01NT05fRElWX0NGLjQ4NgEAAADLaQ0AAgAAAActMTAuNDAyAQgAAAAFAAAAATEBAAAACjE0NzY3MjE2MjkDAAAAAzE2MAIAAAAEMjA3NAQAAAABMAcAAAAJNy8zMS8yMDE0CAAAAAk2LzMwLzIwMTAJAAAAATAQJVKNInvRCJA4bo0ie9EIGUNJUS5UQVNFOk9STVQuLi4xMS80LzIwMTAFAAAAAQAAAAgAAAAWKEludmFsaWQgRm9ybXVsYSBOYW1lKaD7oZUie9EIoPuhlSJ70QgmQ0lRLlRBU0U6T1JNVC5JUV9URVZfRUJJVERBLi4xLzI5LzIwMDYBAAAAy2kNAAIAAAAJMTAuMDc3NDkyAQcAAAAFAAAAATEBAAAACTQ1NjAyMjM1OQMAAAABMAIAAAAGMTAwMDMwBAAAAAEwBwAAAAkxLzI2LzIwMDYIAAAACTEvMjYvMjAwNuDbkY8ie9EIoE6plSJ70QgeQ0lRLlRBU0U6T1JNVC5JUV9UT1RBTF9SRVYuNDkxAQAAAMtpDQACAAAABzExMC44NDEBCAAAAAUAAAABMQEAAAAKMTU4MzY1Nzc1NwMAAAADMTYwAgAAAAIyOAQAAAA</t>
  </si>
  <si>
    <t>BMAcAAAAJNy8zMS8yMDE0CAAAAAk5LzMwLzIwMTEJAAAAATAQJVKNInvRCPAib40ie9EIIkNJUS5UQVNFOk9STVQuSVFfRUJJVERBX01BUkdJTi40NjcBAAAAy2kNAAIAAAAHNTIuOTY1OAEIAAAABQAAAAExAQAAAAk0NTE2NzEwMjMDAAAAAzE2MAIAAAAENDA0NwQAAAABMAcAAAAJNy8zMS8yMDE0CAAAAAk5LzMwLzIwMDUJAAAAATAQJVKNInvRCNDUbo0ie9EIIkNJUS5UQVNFOk9STVQuSVFfRklMSU5HREFURV9CUy40OTcBAAAAy2kNAAUAAAAJNS8xNS8yMDE0ABAlUo0ie9EIEHFvjSJ70QgiQ0lRLlRBU0U6T1JNVC5JUV9DT01NT05fRElWX0NGLjQ4MgEAAADLaQ0AAwAAAAAAECVSjSJ70QiQOG6NInvRCCVDSVEuVEFTRTpPUk1ULklRX1RFVl9FQklUREEuLjMvMS8yMDA3AQAAAMtpDQACAAAACTEyLjkwNjYyMgEHAAAABQAAAAExAQAAAAk0NDgxNDY1NzgDAAAAATACAAAABjEwMDAzMAQAAAABMAcAAAAIMy8xLzIwMDcIAAAACDMvMS8yMDA34NuRjyJ70QiwdamVInvRCBlDSVEuVEFTRTpPUk1ULi4uMy8xNS8yMDEwBQAAAAEAAAAIAAAAFihJbnZhbGlkIEZvcm11bGEgTmFtZSmg+6GVInvRCKD7oZUie9EIIkNJUS5UQVNFOk9STVQuSVFfRUJJVERBX01BUkdJTi40OTYBAAAAy2kNAAIAAAAHMjguNTUyMgEIAAAABQAAAAExAQAAAAoxNjczMjAxNTU5AwAAAAMxNjACAAAABDQwNDcEAAAAATAHAAAACTcvMz</t>
  </si>
  <si>
    <t>EvMjAxNAgAAAAKMTIvMzEvMjAxMgkAAAABMBAlUo0ie9EIoF9ujSJ70QglQ0lRLlRBU0U6T1JNVC5JUV9URVZfRUJJVERBLi44LzgvMjAxMQEAAADLaQ0AAgAAAAkxMS44MDYxNzUBBwAAAAUAAAABMQEAAAAKMTQ3NjczMjc2NQMAAAABMAIAAAAGMTAwMDMwBAAAAAEwBwAAAAg4LzgvMjAxMQgAAAAIOC84LzIwMTHwApKPInvRCMCcqZUie9EIHkNJUS5UQVNFOk9STVQuSVFfVE9UQUxfUkVWLjQ3NwEAAADLaQ0AAgAAAAY3MS43NjUBCAAAAAUAAAABMQEAAAAKMTM2NDg2NTk3OAMAAAADMTYwAgAAAAIyOAQAAAABMAcAAAAJNy8zMS8yMDE0CAAAAAkzLzMxLzIwMDgJAAAAATAQJVKNInvRCABKb40ie9EIIkNJUS5UQVNFOk9STVQuSVFfQ09NTU9OX0RJVl9DRi40OTgBAAAAy2kNAAMAAAAAABAlUo0ie9EIgBFujSJ70QgtQ0lRLlRBU0U6T1JNVC5JUV9BTk5VQUxJWkVEX0RJVklERU5ELjgvOS8yMDA5AQAAAMtpDQACAAAACDAuMTk5Mzc1AODbkY8ie9EIsLmYjyJ70QguQ0lRLlRBU0U6T1JNVC5JUV9BTk5VQUxJWkVEX0RJVklERU5ELjUvMTgvMjAwOAEAAADLaQ0AAgAAAAQwLjcyAODbkY8ie9EIwOCYjyJ70QgiQ0lRLlRBU0U6T1JNVC5JUV9DT01NT05fRElWX0NGLjQ2OQEAAADLaQ0AAwAAAAAAECVSjSJ70QigX26NInvRCCZDSVEuVEFTRTpPUk1ULklRX1RFVl9FQklUREEuLjMvMTYvMjAxMgEAAADLaQ0AA</t>
  </si>
  <si>
    <t>gAAAAkxMC4wNzQ5NzIBBwAAAAUAAAABMQEAAAAKMTU4MzAwMTkyNwMAAAABMAIAAAAGMTAwMDMwBAAAAAEwBwAAAAkzLzE1LzIwMTIIAAAACTMvMTUvMjAxMvACko8ie9EIwJyplSJ70QgiQ0lRLlRBU0U6T1JNVC5JUV9DT01NT05fRElWX0NGLjQ3NQEAAADLaQ0AAwAAAAAAECVSjSJ70QigX26NInvRCCJDSVEuVEFTRTpPUk1ULklRX0VCSVREQV9NQVJHSU4uNDk4AQAAAMtpDQACAAAABzQzLjgyMjEBCAAAAAUAAAABMQEAAAAKMTY4Mzg1MDI3MwMAAAADMTYwAgAAAAQ0MDQ3BAAAAAEwBwAAAAk3LzMxLzIwMTQIAAAACTkvMzAvMjAxMwkAAAABMBAlUo0ie9EIsIZujSJ70QgZQ0lRLlRBU0U6T1JNVC4uLjcvMzAvMjAwNwUAAAABAAAACAAAABYoSW52YWxpZCBGb3JtdWxhIE5hbWUpoPuhlSJ70Qig+6GVInvRCCJDSVEuVEFTRTpPUk1ULklRX0ZJTElOR0RBVEVfQlMuNDkzAQAAAMtpDQAFAAAACTUvMTMvMjAxMgAQJVKNInvRCCCYb40ie9EILkNJUS5UQVNFOk9STVQuSVFfQU5OVUFMSVpFRF9ESVZJREVORC43LzMwLzIwMDYBAAAAy2kNAAIAAAAIMC4yNzgxODIA4NuRjyJ70QjA4JiPInvRCCJDSVEuVEFTRTpPUk1ULklRX0VCSVREQV9NQVJHSU4uNDYxAQAAAMtpDQACAAAABjQ3LjcwNQEIAAAABQAAAAExAQAAAAk0NTkxNDQ1MDUDAAAAAjcxAgAAAAQ0MDQ3BAAAAAEwBwAAAAk3LzMxLzIwMTQIAAAACTMv</t>
  </si>
  <si>
    <t>MzEvMjAwNAkAAAABMBAlUo0ie9EI0NRujSJ70QguQ0lRLlRBU0U6T1JNVC5JUV9BTk5VQUxJWkVEX0RJVklERU5ELjQvMzAvMjAwNwEAAADLaQ0AAgAAAAQyLjI4AODbkY8ie9EIwOCYjyJ70QguQ0lRLlRBU0U6T1JNVC5JUV9BTk5VQUxJWkVEX0RJVklERU5ELjMvMTUvMjAxMAEAAADLaQ0AAgAAAAQwLjMzAODbkY8ie9EIsLmYjyJ70QgiQ0lRLlRBU0U6T1JNVC5JUV9FQklUREFfTUFSR0lOLjQ5MgEAAADLaQ0AAgAAAAczMS40NzU4AQgAAAAFAAAAATEBAAAACjE2NTg0NDAxNDUDAAAAAzE2MAIAAAAENDA0NwQAAAABMAcAAAAJNy8zMS8yMDE0CAAAAAoxMi8zMS8yMDExCQAAAAEwECVSjSJ70Qiwhm6NInvRCC5DSVEuVEFTRTpPUk1ULklRX0FOTlVBTElaRURfRElWSURFTkQuMy8xNi8yMDEyAQAAAMtpDQACAAAABDIuODMA4NuRjyJ70QiwuZiPInvRCBlDSVEuVEFTRTpPUk1ULi4uNS8xOS8yMDExBQAAAAEAAAAIAAAAFihJbnZhbGlkIEZvcm11bGEgTmFtZSmg+6GVInvRCKD7oZUie9EIIkNJUS5UQVNFOk9STVQuSVFfRklMSU5HREFURV9CUy40NzgBAAAAy2kNAAUAAAAIOC85LzIwMDkAECVSjSJ70QhA5m+NInvRCCJDSVEuVEFTRTpPUk1ULklRX0VCSVREQV9NQVJHSU4uNDg2AQAAAMtpDQACAAAABzI1LjM1NDMBCAAAAAUAAAABMQEAAAAKMTQ3NjcyMTYyOQMAAAADMTYwAgAAAAQ0MDQ3BAAAAAEwBwA</t>
  </si>
  <si>
    <t>AAAk3LzMxLzIwMTQIAAAACTYvMzAvMjAxMAkAAAABMBAlUo0ie9EIsIZujSJ70QglQ0lRLlRBU0U6T1JNVC5JUV9URVZfRUJJVERBLi44LzgvMjAxMAEAAADLaQ0AAgAAAAgxNS40ODQzNwEHAAAABQAAAAExAQAAAAoxNDc2NzMxNzM5AwAAAAEwAgAAAAYxMDAwMzAEAAAAATAHAAAACDgvOC8yMDEwCAAAAAg4LzgvMjAxMPACko8ie9EIwJyplSJ70QgiQ0lRLlRBU0U6T1JNVC5JUV9DT01NT05fRElWX0NGLjQ3OQEAAADLaQ0AAwAAAAAAECVSjSJ70QiQOG6NInvRCB5DSVEuVEFTRTpPUk1ULklRX1RPVEFMX1JFVi40OTcBAAAAy2kNAAIAAAAGMTIxLjcxAQgAAAAFAAAAATEBAAAACjE2ODY1NDk3MzEDAAAAAzE2MAIAAAACMjgEAAAAATAHAAAACTcvMzEvMjAxNAgAAAAJMy8zMS8yMDEzCQAAAAEwECVSjSJ70QjwIm+NInvRCBhDSVEuVEFTRTpPUk1ULi4uMy85LzIwMDkFAAAAAQAAAAgAAAAWKEludmFsaWQgRm9ybXVsYSBOYW1lKaD7oZUie9EIoPuhlSJ70QgiQ0lRLlRBU0U6T1JNVC5JUV9FQklUREFfTUFSR0lOLjQ2NQEAAADLaQ0AAgAAAAc0NS42MjQ4AQgAAAAFAAAAATEBAAAACTQ1MTY3MjEzOQMAAAADMTYwAgAAAAQ0MDQ3BAAAAAEwBwAAAAk3LzMxLzIwMTQIAAAACTMvMzEvMjAwNQkAAAABMBAlUo0ie9EIwK1ujSJ70QgtQ0lRLlRBU0U6T1JNVC5JUV9BTk5VQUxJWkVEX0RJVklERU5ELjgvOC8yMD</t>
  </si>
  <si>
    <t>EwAQAAAMtpDQACAAAABDAuMzMA4NuRjyJ70QiwuZiPInvRCCJDSVEuVEFTRTpPUk1ULklRX0ZJTElOR0RBVEVfQlMuNDk1AQAAAMtpDQAFAAAACjExLzEzLzIwMTMAECVSjSJ70QggmG+NInvRCCJDSVEuVEFTRTpPUk1ULklRX0VCSVREQV9NQVJHSU4uNDgyAQAAAMtpDQACAAAABzM1LjEzMjEBCAAAAAUAAAABMQEAAAAKMTQ3NjcyMTgwMwMAAAADMTYwAgAAAAQ0MDQ3BAAAAAEwBwAAAAk3LzMxLzIwMTQIAAAACTYvMzAvMjAwOQkAAAABMBAlUo0ie9EIsIZujSJ70QgiQ0lRLlRBU0U6T1JNVC5JUV9GSUxJTkdEQVRFX0JTLjQ3MAEAAADLaQ0ABQAAAAk3LzMwLzIwMDcAECVSjSJ70QhA5m+NInvRCB5DSVEuVEFTRTpPUk1ULklRX1RPVEFMX1JFVi40NzEBAAAAy2kNAAIAAAAGODMuNzY1AQgAAAAFAAAAATEBAAAACjEyODUwNzQ5NzQDAAAAAzE2MAIAAAACMjgEAAAAATAHAAAACTcvMzEvMjAxNAgAAAAJOS8zMC8yMDA2CQAAAAEwECVSjSJ70QgQcW+NInvRCB5DSVEuVEFTRTpPUk1ULklRX1RPVEFMX1JFVi40OTMBAAAAy2kNAAIAAAAHMTMyLjM1MgEIAAAABQAAAAExAQAAAAoxNTgzNjI4MzYyAwAAAAMxNjACAAAAAjI4BAAAAAEwBwAAAAk3LzMxLzIwMTQIAAAACTMvMzEvMjAxMgkAAAABMBAlUo0ie9EI0NRujSJ70Qg=</t>
  </si>
  <si>
    <t>IQ_FILINGDATE_BS</t>
  </si>
  <si>
    <t>May</t>
  </si>
  <si>
    <t>July</t>
  </si>
  <si>
    <t>October</t>
  </si>
  <si>
    <t>January</t>
  </si>
  <si>
    <t>June</t>
  </si>
  <si>
    <t>August</t>
  </si>
  <si>
    <t>April</t>
  </si>
  <si>
    <t>February</t>
  </si>
  <si>
    <t>November</t>
  </si>
  <si>
    <t>2005</t>
  </si>
  <si>
    <t>2006</t>
  </si>
  <si>
    <t>2007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</si>
  <si>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</si>
  <si>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</si>
  <si>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</si>
  <si>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</si>
  <si>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</si>
  <si>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</si>
  <si>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</si>
  <si>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</si>
  <si>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</si>
  <si>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</si>
  <si>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IQ_TOTAL_REV</t>
  </si>
  <si>
    <t>IQ_EBITDA_MARGIN</t>
  </si>
  <si>
    <t>IQ_EBITDA</t>
  </si>
  <si>
    <t>IQ_TEV_EBITDA</t>
  </si>
  <si>
    <t>IQ_TOTAL_DEBT_EXCL_FIN</t>
  </si>
  <si>
    <t>IQ_SHARESOUTSTANDING</t>
  </si>
  <si>
    <t>IQ_CLOSEPRICE</t>
  </si>
  <si>
    <t>IQ_ANNUALIZED_DIVIDEND</t>
  </si>
  <si>
    <t>March</t>
  </si>
  <si>
    <t>September</t>
  </si>
  <si>
    <t>2008</t>
  </si>
  <si>
    <t>EZCH</t>
  </si>
</sst>
</file>

<file path=xl/styles.xml><?xml version="1.0" encoding="utf-8"?>
<styleSheet xmlns="http://schemas.openxmlformats.org/spreadsheetml/2006/main">
  <numFmts count="7">
    <numFmt numFmtId="164" formatCode="0.0"/>
    <numFmt numFmtId="165" formatCode="0.000000000E+00"/>
    <numFmt numFmtId="166" formatCode="0.00000000"/>
    <numFmt numFmtId="167" formatCode="0.000"/>
    <numFmt numFmtId="168" formatCode="0.0%"/>
    <numFmt numFmtId="169" formatCode="0.000000"/>
    <numFmt numFmtId="170" formatCode="[$-409]mmm\-yy;@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Symbol"/>
      <family val="1"/>
      <charset val="2"/>
    </font>
    <font>
      <sz val="10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49">
    <xf numFmtId="0" fontId="0" fillId="0" borderId="0" xfId="0"/>
    <xf numFmtId="2" fontId="0" fillId="0" borderId="0" xfId="0" applyNumberFormat="1"/>
    <xf numFmtId="164" fontId="0" fillId="0" borderId="0" xfId="0" applyNumberFormat="1"/>
    <xf numFmtId="9" fontId="0" fillId="0" borderId="0" xfId="0" applyNumberFormat="1"/>
    <xf numFmtId="164" fontId="0" fillId="2" borderId="0" xfId="0" applyNumberFormat="1" applyFill="1"/>
    <xf numFmtId="0" fontId="2" fillId="0" borderId="0" xfId="0" applyFont="1"/>
    <xf numFmtId="9" fontId="2" fillId="0" borderId="0" xfId="1" applyFont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0" borderId="1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  <xf numFmtId="0" fontId="0" fillId="0" borderId="0" xfId="0" applyFill="1"/>
    <xf numFmtId="0" fontId="0" fillId="0" borderId="4" xfId="0" applyBorder="1"/>
    <xf numFmtId="0" fontId="0" fillId="4" borderId="0" xfId="0" applyFill="1" applyBorder="1"/>
    <xf numFmtId="0" fontId="0" fillId="3" borderId="5" xfId="0" applyFill="1" applyBorder="1"/>
    <xf numFmtId="165" fontId="0" fillId="0" borderId="0" xfId="0" applyNumberFormat="1"/>
    <xf numFmtId="166" fontId="0" fillId="0" borderId="0" xfId="0" applyNumberFormat="1"/>
    <xf numFmtId="0" fontId="0" fillId="3" borderId="9" xfId="0" applyFill="1" applyBorder="1"/>
    <xf numFmtId="0" fontId="0" fillId="3" borderId="0" xfId="0" applyFill="1" applyBorder="1"/>
    <xf numFmtId="0" fontId="0" fillId="5" borderId="0" xfId="0" applyFill="1" applyBorder="1"/>
    <xf numFmtId="0" fontId="0" fillId="0" borderId="5" xfId="0" applyFill="1" applyBorder="1"/>
    <xf numFmtId="0" fontId="0" fillId="0" borderId="11" xfId="0" applyBorder="1"/>
    <xf numFmtId="2" fontId="0" fillId="0" borderId="12" xfId="0" applyNumberFormat="1" applyBorder="1"/>
    <xf numFmtId="0" fontId="0" fillId="0" borderId="13" xfId="0" applyBorder="1"/>
    <xf numFmtId="2" fontId="0" fillId="0" borderId="14" xfId="0" applyNumberFormat="1" applyBorder="1"/>
    <xf numFmtId="0" fontId="0" fillId="0" borderId="15" xfId="0" applyBorder="1"/>
    <xf numFmtId="2" fontId="0" fillId="0" borderId="16" xfId="0" applyNumberFormat="1" applyBorder="1"/>
    <xf numFmtId="167" fontId="0" fillId="2" borderId="2" xfId="0" applyNumberFormat="1" applyFill="1" applyBorder="1"/>
    <xf numFmtId="0" fontId="4" fillId="0" borderId="0" xfId="0" applyFont="1"/>
    <xf numFmtId="0" fontId="0" fillId="0" borderId="0" xfId="0" applyFont="1"/>
    <xf numFmtId="0" fontId="5" fillId="0" borderId="0" xfId="2"/>
    <xf numFmtId="0" fontId="6" fillId="0" borderId="0" xfId="2" applyFont="1"/>
    <xf numFmtId="0" fontId="0" fillId="6" borderId="11" xfId="0" applyFont="1" applyFill="1" applyBorder="1"/>
    <xf numFmtId="0" fontId="0" fillId="6" borderId="12" xfId="0" applyFont="1" applyFill="1" applyBorder="1" applyAlignment="1">
      <alignment horizontal="center"/>
    </xf>
    <xf numFmtId="0" fontId="0" fillId="6" borderId="13" xfId="0" applyFont="1" applyFill="1" applyBorder="1"/>
    <xf numFmtId="10" fontId="0" fillId="6" borderId="0" xfId="0" applyNumberFormat="1" applyFont="1" applyFill="1" applyBorder="1"/>
    <xf numFmtId="0" fontId="0" fillId="6" borderId="14" xfId="0" applyFont="1" applyFill="1" applyBorder="1" applyAlignment="1">
      <alignment horizontal="center"/>
    </xf>
    <xf numFmtId="0" fontId="0" fillId="6" borderId="15" xfId="0" applyFont="1" applyFill="1" applyBorder="1"/>
    <xf numFmtId="10" fontId="0" fillId="6" borderId="18" xfId="0" applyNumberFormat="1" applyFont="1" applyFill="1" applyBorder="1"/>
    <xf numFmtId="0" fontId="0" fillId="6" borderId="16" xfId="0" applyFont="1" applyFill="1" applyBorder="1" applyAlignment="1">
      <alignment horizontal="center"/>
    </xf>
    <xf numFmtId="0" fontId="0" fillId="0" borderId="19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10" fontId="0" fillId="0" borderId="0" xfId="1" applyNumberFormat="1" applyFont="1" applyBorder="1" applyAlignment="1">
      <alignment vertical="center"/>
    </xf>
    <xf numFmtId="0" fontId="0" fillId="0" borderId="0" xfId="0" applyFont="1" applyBorder="1" applyAlignment="1">
      <alignment vertical="center"/>
    </xf>
    <xf numFmtId="2" fontId="0" fillId="0" borderId="0" xfId="0" applyNumberFormat="1" applyFont="1" applyBorder="1" applyAlignment="1">
      <alignment vertical="center"/>
    </xf>
    <xf numFmtId="0" fontId="0" fillId="0" borderId="14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10" fontId="0" fillId="0" borderId="0" xfId="1" applyNumberFormat="1" applyFont="1"/>
    <xf numFmtId="2" fontId="0" fillId="0" borderId="0" xfId="0" applyNumberFormat="1" applyFont="1"/>
    <xf numFmtId="14" fontId="0" fillId="0" borderId="0" xfId="0" applyNumberFormat="1"/>
    <xf numFmtId="14" fontId="0" fillId="0" borderId="5" xfId="0" applyNumberFormat="1" applyBorder="1"/>
    <xf numFmtId="0" fontId="8" fillId="0" borderId="0" xfId="0" applyFont="1"/>
    <xf numFmtId="0" fontId="3" fillId="7" borderId="0" xfId="0" applyFont="1" applyFill="1"/>
    <xf numFmtId="0" fontId="6" fillId="0" borderId="0" xfId="0" applyFont="1" applyFill="1" applyBorder="1"/>
    <xf numFmtId="10" fontId="0" fillId="0" borderId="0" xfId="1" applyNumberFormat="1" applyFont="1" applyFill="1" applyBorder="1"/>
    <xf numFmtId="0" fontId="3" fillId="0" borderId="0" xfId="0" applyFont="1" applyFill="1" applyBorder="1"/>
    <xf numFmtId="0" fontId="9" fillId="8" borderId="1" xfId="0" applyFont="1" applyFill="1" applyBorder="1" applyAlignment="1">
      <alignment horizontal="center"/>
    </xf>
    <xf numFmtId="2" fontId="0" fillId="9" borderId="1" xfId="0" applyNumberFormat="1" applyFill="1" applyBorder="1"/>
    <xf numFmtId="10" fontId="0" fillId="10" borderId="0" xfId="0" applyNumberFormat="1" applyFill="1"/>
    <xf numFmtId="2" fontId="0" fillId="0" borderId="0" xfId="0" applyNumberFormat="1" applyFill="1" applyBorder="1"/>
    <xf numFmtId="0" fontId="9" fillId="0" borderId="0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center"/>
    </xf>
    <xf numFmtId="2" fontId="0" fillId="0" borderId="1" xfId="0" applyNumberFormat="1" applyBorder="1"/>
    <xf numFmtId="0" fontId="8" fillId="0" borderId="0" xfId="0" applyFont="1" applyFill="1" applyBorder="1" applyAlignment="1">
      <alignment horizontal="center"/>
    </xf>
    <xf numFmtId="0" fontId="0" fillId="0" borderId="17" xfId="0" applyFill="1" applyBorder="1"/>
    <xf numFmtId="0" fontId="0" fillId="0" borderId="12" xfId="0" applyBorder="1"/>
    <xf numFmtId="0" fontId="9" fillId="8" borderId="22" xfId="0" applyFont="1" applyFill="1" applyBorder="1" applyAlignment="1">
      <alignment horizontal="center"/>
    </xf>
    <xf numFmtId="168" fontId="0" fillId="0" borderId="0" xfId="0" applyNumberFormat="1" applyFill="1" applyBorder="1"/>
    <xf numFmtId="168" fontId="0" fillId="0" borderId="14" xfId="0" applyNumberFormat="1" applyFill="1" applyBorder="1"/>
    <xf numFmtId="168" fontId="0" fillId="0" borderId="0" xfId="0" applyNumberFormat="1"/>
    <xf numFmtId="168" fontId="0" fillId="0" borderId="18" xfId="0" applyNumberFormat="1" applyFill="1" applyBorder="1"/>
    <xf numFmtId="168" fontId="0" fillId="0" borderId="16" xfId="0" applyNumberFormat="1" applyFill="1" applyBorder="1"/>
    <xf numFmtId="14" fontId="0" fillId="0" borderId="7" xfId="0" applyNumberFormat="1" applyBorder="1"/>
    <xf numFmtId="14" fontId="0" fillId="0" borderId="0" xfId="0" applyNumberFormat="1" applyBorder="1"/>
    <xf numFmtId="0" fontId="6" fillId="0" borderId="0" xfId="0" applyFont="1" applyFill="1"/>
    <xf numFmtId="14" fontId="6" fillId="0" borderId="0" xfId="0" applyNumberFormat="1" applyFont="1" applyFill="1" applyBorder="1"/>
    <xf numFmtId="167" fontId="6" fillId="0" borderId="0" xfId="0" applyNumberFormat="1" applyFont="1" applyFill="1" applyBorder="1"/>
    <xf numFmtId="0" fontId="8" fillId="8" borderId="23" xfId="0" applyFont="1" applyFill="1" applyBorder="1" applyAlignment="1">
      <alignment horizontal="center"/>
    </xf>
    <xf numFmtId="0" fontId="8" fillId="0" borderId="17" xfId="0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/>
    </xf>
    <xf numFmtId="168" fontId="0" fillId="0" borderId="14" xfId="0" applyNumberFormat="1" applyBorder="1"/>
    <xf numFmtId="168" fontId="0" fillId="0" borderId="16" xfId="0" applyNumberFormat="1" applyBorder="1"/>
    <xf numFmtId="0" fontId="0" fillId="0" borderId="20" xfId="0" applyFill="1" applyBorder="1" applyAlignment="1">
      <alignment horizontal="center" vertical="center"/>
    </xf>
    <xf numFmtId="2" fontId="0" fillId="0" borderId="0" xfId="1" applyNumberFormat="1" applyFont="1" applyBorder="1" applyAlignment="1">
      <alignment vertical="center"/>
    </xf>
    <xf numFmtId="2" fontId="0" fillId="6" borderId="17" xfId="1" applyNumberFormat="1" applyFont="1" applyFill="1" applyBorder="1"/>
    <xf numFmtId="2" fontId="0" fillId="0" borderId="14" xfId="1" applyNumberFormat="1" applyFont="1" applyBorder="1" applyAlignment="1">
      <alignment vertical="center"/>
    </xf>
    <xf numFmtId="0" fontId="0" fillId="0" borderId="15" xfId="0" applyFont="1" applyBorder="1" applyAlignment="1">
      <alignment horizontal="center" vertical="center"/>
    </xf>
    <xf numFmtId="10" fontId="0" fillId="0" borderId="18" xfId="1" applyNumberFormat="1" applyFont="1" applyBorder="1" applyAlignment="1">
      <alignment vertical="center"/>
    </xf>
    <xf numFmtId="0" fontId="0" fillId="0" borderId="18" xfId="0" applyFont="1" applyBorder="1" applyAlignment="1">
      <alignment vertical="center"/>
    </xf>
    <xf numFmtId="2" fontId="0" fillId="2" borderId="1" xfId="0" applyNumberFormat="1" applyFill="1" applyBorder="1"/>
    <xf numFmtId="0" fontId="0" fillId="0" borderId="0" xfId="0" applyAlignment="1">
      <alignment wrapText="1"/>
    </xf>
    <xf numFmtId="0" fontId="0" fillId="11" borderId="0" xfId="0" applyFill="1"/>
    <xf numFmtId="10" fontId="0" fillId="0" borderId="2" xfId="1" applyNumberFormat="1" applyFont="1" applyBorder="1" applyAlignment="1">
      <alignment vertical="center"/>
    </xf>
    <xf numFmtId="0" fontId="0" fillId="0" borderId="9" xfId="0" applyFont="1" applyBorder="1" applyAlignment="1">
      <alignment vertical="center"/>
    </xf>
    <xf numFmtId="10" fontId="0" fillId="0" borderId="9" xfId="1" applyNumberFormat="1" applyFont="1" applyBorder="1" applyAlignment="1">
      <alignment vertical="center"/>
    </xf>
    <xf numFmtId="2" fontId="0" fillId="0" borderId="3" xfId="1" applyNumberFormat="1" applyFont="1" applyBorder="1" applyAlignment="1">
      <alignment vertical="center"/>
    </xf>
    <xf numFmtId="10" fontId="0" fillId="0" borderId="4" xfId="1" applyNumberFormat="1" applyFont="1" applyBorder="1" applyAlignment="1">
      <alignment vertical="center"/>
    </xf>
    <xf numFmtId="2" fontId="0" fillId="0" borderId="5" xfId="1" applyNumberFormat="1" applyFont="1" applyBorder="1" applyAlignment="1">
      <alignment vertical="center"/>
    </xf>
    <xf numFmtId="10" fontId="0" fillId="0" borderId="6" xfId="1" applyNumberFormat="1" applyFont="1" applyBorder="1" applyAlignment="1">
      <alignment vertical="center"/>
    </xf>
    <xf numFmtId="0" fontId="0" fillId="0" borderId="10" xfId="0" applyFont="1" applyBorder="1" applyAlignment="1">
      <alignment vertical="center"/>
    </xf>
    <xf numFmtId="10" fontId="0" fillId="0" borderId="10" xfId="1" applyNumberFormat="1" applyFont="1" applyBorder="1" applyAlignment="1">
      <alignment vertical="center"/>
    </xf>
    <xf numFmtId="2" fontId="0" fillId="0" borderId="7" xfId="1" applyNumberFormat="1" applyFont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" fontId="0" fillId="0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10" fontId="0" fillId="0" borderId="1" xfId="0" applyNumberFormat="1" applyBorder="1"/>
    <xf numFmtId="9" fontId="0" fillId="0" borderId="1" xfId="0" applyNumberFormat="1" applyBorder="1"/>
    <xf numFmtId="2" fontId="0" fillId="0" borderId="0" xfId="1" applyNumberFormat="1" applyFont="1"/>
    <xf numFmtId="0" fontId="0" fillId="0" borderId="0" xfId="0" applyAlignment="1">
      <alignment horizontal="left" vertical="top"/>
    </xf>
    <xf numFmtId="0" fontId="10" fillId="0" borderId="0" xfId="0" applyFont="1" applyAlignment="1">
      <alignment wrapText="1"/>
    </xf>
    <xf numFmtId="14" fontId="0" fillId="0" borderId="10" xfId="0" applyNumberFormat="1" applyBorder="1"/>
    <xf numFmtId="2" fontId="0" fillId="0" borderId="10" xfId="0" applyNumberFormat="1" applyBorder="1"/>
    <xf numFmtId="0" fontId="0" fillId="0" borderId="10" xfId="0" applyFill="1" applyBorder="1"/>
    <xf numFmtId="0" fontId="0" fillId="11" borderId="10" xfId="0" applyFill="1" applyBorder="1"/>
    <xf numFmtId="2" fontId="0" fillId="0" borderId="0" xfId="0" applyNumberFormat="1" applyBorder="1"/>
    <xf numFmtId="0" fontId="11" fillId="0" borderId="0" xfId="0" applyFont="1"/>
    <xf numFmtId="10" fontId="0" fillId="0" borderId="1" xfId="1" applyNumberFormat="1" applyFont="1" applyBorder="1"/>
    <xf numFmtId="10" fontId="0" fillId="0" borderId="1" xfId="0" applyNumberFormat="1" applyBorder="1" applyAlignment="1">
      <alignment wrapText="1"/>
    </xf>
    <xf numFmtId="0" fontId="12" fillId="0" borderId="0" xfId="0" applyFont="1"/>
    <xf numFmtId="2" fontId="0" fillId="0" borderId="1" xfId="1" applyNumberFormat="1" applyFont="1" applyBorder="1"/>
    <xf numFmtId="0" fontId="0" fillId="11" borderId="1" xfId="0" applyFill="1" applyBorder="1"/>
    <xf numFmtId="10" fontId="0" fillId="0" borderId="0" xfId="0" applyNumberFormat="1"/>
    <xf numFmtId="10" fontId="0" fillId="12" borderId="0" xfId="1" applyNumberFormat="1" applyFont="1" applyFill="1"/>
    <xf numFmtId="0" fontId="6" fillId="0" borderId="0" xfId="0" applyFont="1"/>
    <xf numFmtId="0" fontId="0" fillId="2" borderId="0" xfId="0" applyFill="1"/>
    <xf numFmtId="169" fontId="0" fillId="0" borderId="0" xfId="0" applyNumberFormat="1" applyFont="1"/>
    <xf numFmtId="0" fontId="0" fillId="0" borderId="17" xfId="0" applyBorder="1"/>
    <xf numFmtId="0" fontId="0" fillId="0" borderId="14" xfId="0" applyBorder="1"/>
    <xf numFmtId="0" fontId="0" fillId="0" borderId="18" xfId="0" applyBorder="1"/>
    <xf numFmtId="0" fontId="0" fillId="0" borderId="16" xfId="0" applyBorder="1"/>
    <xf numFmtId="0" fontId="0" fillId="0" borderId="4" xfId="0" applyFill="1" applyBorder="1"/>
    <xf numFmtId="168" fontId="0" fillId="0" borderId="1" xfId="1" applyNumberFormat="1" applyFont="1" applyBorder="1"/>
    <xf numFmtId="168" fontId="0" fillId="0" borderId="0" xfId="1" applyNumberFormat="1" applyFont="1"/>
    <xf numFmtId="170" fontId="0" fillId="0" borderId="0" xfId="0" applyNumberFormat="1"/>
    <xf numFmtId="0" fontId="0" fillId="0" borderId="0" xfId="0" applyNumberFormat="1" applyFont="1"/>
    <xf numFmtId="0" fontId="13" fillId="0" borderId="0" xfId="0" applyFont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/>
              <a:t>Historical Multiple</a:t>
            </a:r>
          </a:p>
        </c:rich>
      </c:tx>
      <c:overlay val="1"/>
    </c:title>
    <c:plotArea>
      <c:layout/>
      <c:lineChart>
        <c:grouping val="standard"/>
        <c:ser>
          <c:idx val="0"/>
          <c:order val="0"/>
          <c:trendline>
            <c:trendlineType val="linear"/>
          </c:trendline>
          <c:cat>
            <c:numRef>
              <c:f>Input!$B$4:$AO$4</c:f>
              <c:numCache>
                <c:formatCode>[$-409]mmm\-yy;@</c:formatCode>
                <c:ptCount val="40"/>
                <c:pt idx="0">
                  <c:v>38890</c:v>
                </c:pt>
                <c:pt idx="1">
                  <c:v>38481</c:v>
                </c:pt>
                <c:pt idx="2">
                  <c:v>38989</c:v>
                </c:pt>
                <c:pt idx="3">
                  <c:v>38663</c:v>
                </c:pt>
                <c:pt idx="4">
                  <c:v>39171</c:v>
                </c:pt>
                <c:pt idx="5">
                  <c:v>38841</c:v>
                </c:pt>
                <c:pt idx="6">
                  <c:v>39337</c:v>
                </c:pt>
                <c:pt idx="7">
                  <c:v>39020</c:v>
                </c:pt>
                <c:pt idx="8">
                  <c:v>39709</c:v>
                </c:pt>
                <c:pt idx="9">
                  <c:v>39217</c:v>
                </c:pt>
                <c:pt idx="10">
                  <c:v>39714</c:v>
                </c:pt>
                <c:pt idx="11">
                  <c:v>39385</c:v>
                </c:pt>
                <c:pt idx="12">
                  <c:v>39902</c:v>
                </c:pt>
                <c:pt idx="13">
                  <c:v>39573</c:v>
                </c:pt>
                <c:pt idx="14">
                  <c:v>40080</c:v>
                </c:pt>
                <c:pt idx="15">
                  <c:v>39758</c:v>
                </c:pt>
                <c:pt idx="16">
                  <c:v>40262</c:v>
                </c:pt>
                <c:pt idx="17">
                  <c:v>39940</c:v>
                </c:pt>
                <c:pt idx="18">
                  <c:v>40437</c:v>
                </c:pt>
                <c:pt idx="19">
                  <c:v>40115</c:v>
                </c:pt>
                <c:pt idx="20">
                  <c:v>40633</c:v>
                </c:pt>
                <c:pt idx="21">
                  <c:v>40304</c:v>
                </c:pt>
                <c:pt idx="22">
                  <c:v>40813</c:v>
                </c:pt>
                <c:pt idx="23">
                  <c:v>40479</c:v>
                </c:pt>
                <c:pt idx="24">
                  <c:v>40997</c:v>
                </c:pt>
                <c:pt idx="25">
                  <c:v>40667</c:v>
                </c:pt>
                <c:pt idx="26">
                  <c:v>41179</c:v>
                </c:pt>
                <c:pt idx="27">
                  <c:v>40849</c:v>
                </c:pt>
                <c:pt idx="28">
                  <c:v>41354</c:v>
                </c:pt>
                <c:pt idx="29">
                  <c:v>41038</c:v>
                </c:pt>
                <c:pt idx="30">
                  <c:v>41179</c:v>
                </c:pt>
                <c:pt idx="31">
                  <c:v>41221</c:v>
                </c:pt>
                <c:pt idx="32">
                  <c:v>41725</c:v>
                </c:pt>
                <c:pt idx="33">
                  <c:v>41402</c:v>
                </c:pt>
                <c:pt idx="34">
                  <c:v>41493</c:v>
                </c:pt>
                <c:pt idx="35">
                  <c:v>41584</c:v>
                </c:pt>
                <c:pt idx="36">
                  <c:v>41725</c:v>
                </c:pt>
                <c:pt idx="37">
                  <c:v>41773</c:v>
                </c:pt>
                <c:pt idx="38">
                  <c:v>41864</c:v>
                </c:pt>
                <c:pt idx="39">
                  <c:v>41955</c:v>
                </c:pt>
              </c:numCache>
            </c:numRef>
          </c:cat>
          <c:val>
            <c:numRef>
              <c:f>Input!$B$13:$AO$13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125.51311</c:v>
                </c:pt>
                <c:pt idx="13">
                  <c:v>0</c:v>
                </c:pt>
                <c:pt idx="14">
                  <c:v>63.191609999999997</c:v>
                </c:pt>
                <c:pt idx="15">
                  <c:v>0</c:v>
                </c:pt>
                <c:pt idx="16">
                  <c:v>50.030500000000004</c:v>
                </c:pt>
                <c:pt idx="17">
                  <c:v>56.752139999999997</c:v>
                </c:pt>
                <c:pt idx="18">
                  <c:v>34.621200000000002</c:v>
                </c:pt>
                <c:pt idx="19">
                  <c:v>38.972050000000003</c:v>
                </c:pt>
                <c:pt idx="20">
                  <c:v>27.222529999999999</c:v>
                </c:pt>
                <c:pt idx="21">
                  <c:v>31.186160000000001</c:v>
                </c:pt>
                <c:pt idx="22">
                  <c:v>33.832509999999999</c:v>
                </c:pt>
                <c:pt idx="23">
                  <c:v>26.3765</c:v>
                </c:pt>
                <c:pt idx="24">
                  <c:v>50.209290000000003</c:v>
                </c:pt>
                <c:pt idx="25">
                  <c:v>33.120449999999998</c:v>
                </c:pt>
                <c:pt idx="26">
                  <c:v>36.091679999999997</c:v>
                </c:pt>
                <c:pt idx="27">
                  <c:v>30.171980000000001</c:v>
                </c:pt>
                <c:pt idx="28">
                  <c:v>38.46564</c:v>
                </c:pt>
                <c:pt idx="29">
                  <c:v>47.047800000000002</c:v>
                </c:pt>
                <c:pt idx="30">
                  <c:v>36.091679999999997</c:v>
                </c:pt>
                <c:pt idx="31">
                  <c:v>59.901649999999997</c:v>
                </c:pt>
                <c:pt idx="32">
                  <c:v>26.60305</c:v>
                </c:pt>
                <c:pt idx="33">
                  <c:v>46.115130000000001</c:v>
                </c:pt>
                <c:pt idx="34">
                  <c:v>59.125869999999999</c:v>
                </c:pt>
                <c:pt idx="35">
                  <c:v>29.96048</c:v>
                </c:pt>
                <c:pt idx="36">
                  <c:v>26.60305</c:v>
                </c:pt>
                <c:pt idx="37">
                  <c:v>24.44135</c:v>
                </c:pt>
                <c:pt idx="38">
                  <c:v>20.622530000000001</c:v>
                </c:pt>
                <c:pt idx="39">
                  <c:v>15.90823</c:v>
                </c:pt>
              </c:numCache>
            </c:numRef>
          </c:val>
        </c:ser>
        <c:marker val="1"/>
        <c:axId val="263766016"/>
        <c:axId val="263767552"/>
      </c:lineChart>
      <c:dateAx>
        <c:axId val="263766016"/>
        <c:scaling>
          <c:orientation val="minMax"/>
        </c:scaling>
        <c:axPos val="b"/>
        <c:numFmt formatCode="[$-409]mmm\-yy;@" sourceLinked="1"/>
        <c:tickLblPos val="nextTo"/>
        <c:crossAx val="263767552"/>
        <c:crosses val="autoZero"/>
        <c:auto val="1"/>
        <c:lblOffset val="100"/>
      </c:dateAx>
      <c:valAx>
        <c:axId val="263767552"/>
        <c:scaling>
          <c:orientation val="minMax"/>
        </c:scaling>
        <c:axPos val="l"/>
        <c:numFmt formatCode="General" sourceLinked="1"/>
        <c:tickLblPos val="nextTo"/>
        <c:crossAx val="263766016"/>
        <c:crosses val="autoZero"/>
        <c:crossBetween val="between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/>
              <a:t>Historical Multiple</a:t>
            </a:r>
          </a:p>
        </c:rich>
      </c:tx>
      <c:overlay val="1"/>
    </c:title>
    <c:plotArea>
      <c:layout/>
      <c:lineChart>
        <c:grouping val="standard"/>
        <c:ser>
          <c:idx val="0"/>
          <c:order val="0"/>
          <c:trendline>
            <c:trendlineType val="linear"/>
          </c:trendline>
          <c:cat>
            <c:numRef>
              <c:f>'[1]Input (10)'!$B$4:$AO$4</c:f>
              <c:numCache>
                <c:formatCode>General</c:formatCode>
                <c:ptCount val="40"/>
                <c:pt idx="0">
                  <c:v>38137</c:v>
                </c:pt>
                <c:pt idx="1">
                  <c:v>38198</c:v>
                </c:pt>
                <c:pt idx="2">
                  <c:v>38290</c:v>
                </c:pt>
                <c:pt idx="3">
                  <c:v>38382</c:v>
                </c:pt>
                <c:pt idx="4">
                  <c:v>38511</c:v>
                </c:pt>
                <c:pt idx="5">
                  <c:v>38563</c:v>
                </c:pt>
                <c:pt idx="6">
                  <c:v>38655</c:v>
                </c:pt>
                <c:pt idx="7">
                  <c:v>38747</c:v>
                </c:pt>
                <c:pt idx="8">
                  <c:v>38867</c:v>
                </c:pt>
                <c:pt idx="9">
                  <c:v>38563</c:v>
                </c:pt>
                <c:pt idx="10">
                  <c:v>38655</c:v>
                </c:pt>
                <c:pt idx="11">
                  <c:v>38747</c:v>
                </c:pt>
                <c:pt idx="12">
                  <c:v>39232</c:v>
                </c:pt>
                <c:pt idx="13">
                  <c:v>39293</c:v>
                </c:pt>
                <c:pt idx="14">
                  <c:v>39106</c:v>
                </c:pt>
                <c:pt idx="15">
                  <c:v>39232</c:v>
                </c:pt>
                <c:pt idx="16">
                  <c:v>39293</c:v>
                </c:pt>
                <c:pt idx="17">
                  <c:v>40030</c:v>
                </c:pt>
                <c:pt idx="18">
                  <c:v>40107</c:v>
                </c:pt>
                <c:pt idx="19">
                  <c:v>40301</c:v>
                </c:pt>
                <c:pt idx="20">
                  <c:v>40301</c:v>
                </c:pt>
                <c:pt idx="21">
                  <c:v>40030</c:v>
                </c:pt>
                <c:pt idx="22">
                  <c:v>40107</c:v>
                </c:pt>
                <c:pt idx="23">
                  <c:v>40571</c:v>
                </c:pt>
                <c:pt idx="24">
                  <c:v>40662</c:v>
                </c:pt>
                <c:pt idx="25">
                  <c:v>40753</c:v>
                </c:pt>
                <c:pt idx="26">
                  <c:v>40480</c:v>
                </c:pt>
                <c:pt idx="27">
                  <c:v>40571</c:v>
                </c:pt>
                <c:pt idx="28">
                  <c:v>41024</c:v>
                </c:pt>
                <c:pt idx="29">
                  <c:v>40753</c:v>
                </c:pt>
                <c:pt idx="30">
                  <c:v>40844</c:v>
                </c:pt>
                <c:pt idx="31">
                  <c:v>40932</c:v>
                </c:pt>
                <c:pt idx="32">
                  <c:v>41387</c:v>
                </c:pt>
                <c:pt idx="33">
                  <c:v>41120</c:v>
                </c:pt>
                <c:pt idx="34">
                  <c:v>41297</c:v>
                </c:pt>
                <c:pt idx="35">
                  <c:v>41879</c:v>
                </c:pt>
                <c:pt idx="36">
                  <c:v>41484</c:v>
                </c:pt>
                <c:pt idx="37">
                  <c:v>41571</c:v>
                </c:pt>
                <c:pt idx="38">
                  <c:v>41673</c:v>
                </c:pt>
                <c:pt idx="39">
                  <c:v>41879</c:v>
                </c:pt>
              </c:numCache>
            </c:numRef>
          </c:cat>
          <c:val>
            <c:numRef>
              <c:f>'[1]Input (10)'!$B$13:$AO$13</c:f>
              <c:numCache>
                <c:formatCode>General</c:formatCode>
                <c:ptCount val="40"/>
                <c:pt idx="0">
                  <c:v>31.435849999999999</c:v>
                </c:pt>
                <c:pt idx="1">
                  <c:v>25.944610000000001</c:v>
                </c:pt>
                <c:pt idx="2">
                  <c:v>27.300850000000001</c:v>
                </c:pt>
                <c:pt idx="3">
                  <c:v>27.747170000000001</c:v>
                </c:pt>
                <c:pt idx="4">
                  <c:v>19.67145</c:v>
                </c:pt>
                <c:pt idx="5">
                  <c:v>17.83182</c:v>
                </c:pt>
                <c:pt idx="6">
                  <c:v>13.31264</c:v>
                </c:pt>
                <c:pt idx="7">
                  <c:v>12.44417</c:v>
                </c:pt>
                <c:pt idx="8">
                  <c:v>8.2714300000000005</c:v>
                </c:pt>
                <c:pt idx="9">
                  <c:v>17.83182</c:v>
                </c:pt>
                <c:pt idx="10">
                  <c:v>13.31264</c:v>
                </c:pt>
                <c:pt idx="11">
                  <c:v>12.44417</c:v>
                </c:pt>
                <c:pt idx="12">
                  <c:v>13.159990000000001</c:v>
                </c:pt>
                <c:pt idx="13">
                  <c:v>12.508839999999999</c:v>
                </c:pt>
                <c:pt idx="14">
                  <c:v>13.686059999999999</c:v>
                </c:pt>
                <c:pt idx="15">
                  <c:v>13.159990000000001</c:v>
                </c:pt>
                <c:pt idx="16">
                  <c:v>12.508839999999999</c:v>
                </c:pt>
                <c:pt idx="17">
                  <c:v>4.8927800000000001</c:v>
                </c:pt>
                <c:pt idx="18">
                  <c:v>5.3046300000000004</c:v>
                </c:pt>
                <c:pt idx="19">
                  <c:v>5.7380500000000003</c:v>
                </c:pt>
                <c:pt idx="20">
                  <c:v>5.7380500000000003</c:v>
                </c:pt>
                <c:pt idx="21">
                  <c:v>4.8927800000000001</c:v>
                </c:pt>
                <c:pt idx="22">
                  <c:v>5.3046300000000004</c:v>
                </c:pt>
                <c:pt idx="23">
                  <c:v>5.1665599999999996</c:v>
                </c:pt>
                <c:pt idx="24">
                  <c:v>5.0154899999999998</c:v>
                </c:pt>
                <c:pt idx="25">
                  <c:v>5.8751300000000004</c:v>
                </c:pt>
                <c:pt idx="26">
                  <c:v>5.1387200000000002</c:v>
                </c:pt>
                <c:pt idx="27">
                  <c:v>5.1665599999999996</c:v>
                </c:pt>
                <c:pt idx="28">
                  <c:v>6.20641</c:v>
                </c:pt>
                <c:pt idx="29">
                  <c:v>5.8751300000000004</c:v>
                </c:pt>
                <c:pt idx="30">
                  <c:v>5.8909000000000002</c:v>
                </c:pt>
                <c:pt idx="31">
                  <c:v>5.6619299999999999</c:v>
                </c:pt>
                <c:pt idx="32">
                  <c:v>5.1662299999999997</c:v>
                </c:pt>
                <c:pt idx="33">
                  <c:v>5.9566100000000004</c:v>
                </c:pt>
                <c:pt idx="34">
                  <c:v>7.4438700000000004</c:v>
                </c:pt>
                <c:pt idx="35">
                  <c:v>5.2329100000000004</c:v>
                </c:pt>
                <c:pt idx="36">
                  <c:v>4.90219</c:v>
                </c:pt>
                <c:pt idx="37">
                  <c:v>5.8539199999999996</c:v>
                </c:pt>
                <c:pt idx="38">
                  <c:v>3.17666</c:v>
                </c:pt>
                <c:pt idx="39">
                  <c:v>5.2329100000000004</c:v>
                </c:pt>
              </c:numCache>
            </c:numRef>
          </c:val>
        </c:ser>
        <c:marker val="1"/>
        <c:axId val="263591808"/>
        <c:axId val="263593344"/>
      </c:lineChart>
      <c:catAx>
        <c:axId val="263591808"/>
        <c:scaling>
          <c:orientation val="minMax"/>
        </c:scaling>
        <c:axPos val="b"/>
        <c:numFmt formatCode="General" sourceLinked="1"/>
        <c:tickLblPos val="nextTo"/>
        <c:crossAx val="263593344"/>
        <c:crosses val="autoZero"/>
        <c:auto val="1"/>
        <c:lblAlgn val="ctr"/>
        <c:lblOffset val="100"/>
      </c:catAx>
      <c:valAx>
        <c:axId val="263593344"/>
        <c:scaling>
          <c:orientation val="minMax"/>
        </c:scaling>
        <c:axPos val="l"/>
        <c:numFmt formatCode="General" sourceLinked="1"/>
        <c:tickLblPos val="nextTo"/>
        <c:crossAx val="263591808"/>
        <c:crosses val="autoZero"/>
        <c:crossBetween val="between"/>
      </c:valAx>
    </c:plotArea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/>
              <a:t>Historical Multiple</a:t>
            </a:r>
          </a:p>
        </c:rich>
      </c:tx>
      <c:overlay val="1"/>
    </c:title>
    <c:plotArea>
      <c:layout/>
      <c:lineChart>
        <c:grouping val="standard"/>
        <c:ser>
          <c:idx val="0"/>
          <c:order val="0"/>
          <c:trendline>
            <c:trendlineType val="linear"/>
          </c:trendline>
          <c:cat>
            <c:numRef>
              <c:f>'[1]Input (3)'!$B$4:$AO$4</c:f>
              <c:numCache>
                <c:formatCode>General</c:formatCode>
                <c:ptCount val="40"/>
                <c:pt idx="0">
                  <c:v>38890</c:v>
                </c:pt>
                <c:pt idx="1">
                  <c:v>38481</c:v>
                </c:pt>
                <c:pt idx="2">
                  <c:v>38989</c:v>
                </c:pt>
                <c:pt idx="3">
                  <c:v>38663</c:v>
                </c:pt>
                <c:pt idx="4">
                  <c:v>39171</c:v>
                </c:pt>
                <c:pt idx="5">
                  <c:v>38841</c:v>
                </c:pt>
                <c:pt idx="6">
                  <c:v>39337</c:v>
                </c:pt>
                <c:pt idx="7">
                  <c:v>39020</c:v>
                </c:pt>
                <c:pt idx="8">
                  <c:v>39709</c:v>
                </c:pt>
                <c:pt idx="9">
                  <c:v>39217</c:v>
                </c:pt>
                <c:pt idx="10">
                  <c:v>39714</c:v>
                </c:pt>
                <c:pt idx="11">
                  <c:v>39385</c:v>
                </c:pt>
                <c:pt idx="12">
                  <c:v>39902</c:v>
                </c:pt>
                <c:pt idx="13">
                  <c:v>39573</c:v>
                </c:pt>
                <c:pt idx="14">
                  <c:v>40080</c:v>
                </c:pt>
                <c:pt idx="15">
                  <c:v>39758</c:v>
                </c:pt>
                <c:pt idx="16">
                  <c:v>40262</c:v>
                </c:pt>
                <c:pt idx="17">
                  <c:v>39940</c:v>
                </c:pt>
                <c:pt idx="18">
                  <c:v>40437</c:v>
                </c:pt>
                <c:pt idx="19">
                  <c:v>40115</c:v>
                </c:pt>
                <c:pt idx="20">
                  <c:v>40633</c:v>
                </c:pt>
                <c:pt idx="21">
                  <c:v>40304</c:v>
                </c:pt>
                <c:pt idx="22">
                  <c:v>40813</c:v>
                </c:pt>
                <c:pt idx="23">
                  <c:v>40479</c:v>
                </c:pt>
                <c:pt idx="24">
                  <c:v>40997</c:v>
                </c:pt>
                <c:pt idx="25">
                  <c:v>40667</c:v>
                </c:pt>
                <c:pt idx="26">
                  <c:v>41179</c:v>
                </c:pt>
                <c:pt idx="27">
                  <c:v>40849</c:v>
                </c:pt>
                <c:pt idx="28">
                  <c:v>41354</c:v>
                </c:pt>
                <c:pt idx="29">
                  <c:v>41038</c:v>
                </c:pt>
                <c:pt idx="30">
                  <c:v>41179</c:v>
                </c:pt>
                <c:pt idx="31">
                  <c:v>41221</c:v>
                </c:pt>
                <c:pt idx="32">
                  <c:v>41725</c:v>
                </c:pt>
                <c:pt idx="33">
                  <c:v>41402</c:v>
                </c:pt>
                <c:pt idx="34">
                  <c:v>41493</c:v>
                </c:pt>
                <c:pt idx="35">
                  <c:v>41584</c:v>
                </c:pt>
                <c:pt idx="36">
                  <c:v>41725</c:v>
                </c:pt>
                <c:pt idx="37">
                  <c:v>41773</c:v>
                </c:pt>
                <c:pt idx="38">
                  <c:v>41864</c:v>
                </c:pt>
                <c:pt idx="39">
                  <c:v>41955</c:v>
                </c:pt>
              </c:numCache>
            </c:numRef>
          </c:cat>
          <c:val>
            <c:numRef>
              <c:f>'[1]Input (3)'!$B$13:$AO$13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125.51311</c:v>
                </c:pt>
                <c:pt idx="13">
                  <c:v>0</c:v>
                </c:pt>
                <c:pt idx="14">
                  <c:v>63.191609999999997</c:v>
                </c:pt>
                <c:pt idx="15">
                  <c:v>0</c:v>
                </c:pt>
                <c:pt idx="16">
                  <c:v>50.030500000000004</c:v>
                </c:pt>
                <c:pt idx="17">
                  <c:v>56.752139999999997</c:v>
                </c:pt>
                <c:pt idx="18">
                  <c:v>34.621200000000002</c:v>
                </c:pt>
                <c:pt idx="19">
                  <c:v>38.972050000000003</c:v>
                </c:pt>
                <c:pt idx="20">
                  <c:v>27.222529999999999</c:v>
                </c:pt>
                <c:pt idx="21">
                  <c:v>31.186160000000001</c:v>
                </c:pt>
                <c:pt idx="22">
                  <c:v>33.832509999999999</c:v>
                </c:pt>
                <c:pt idx="23">
                  <c:v>26.3765</c:v>
                </c:pt>
                <c:pt idx="24">
                  <c:v>50.209290000000003</c:v>
                </c:pt>
                <c:pt idx="25">
                  <c:v>33.120449999999998</c:v>
                </c:pt>
                <c:pt idx="26">
                  <c:v>36.091679999999997</c:v>
                </c:pt>
                <c:pt idx="27">
                  <c:v>30.171980000000001</c:v>
                </c:pt>
                <c:pt idx="28">
                  <c:v>38.46564</c:v>
                </c:pt>
                <c:pt idx="29">
                  <c:v>47.047800000000002</c:v>
                </c:pt>
                <c:pt idx="30">
                  <c:v>36.091679999999997</c:v>
                </c:pt>
                <c:pt idx="31">
                  <c:v>59.901649999999997</c:v>
                </c:pt>
                <c:pt idx="32">
                  <c:v>26.60305</c:v>
                </c:pt>
                <c:pt idx="33">
                  <c:v>46.115130000000001</c:v>
                </c:pt>
                <c:pt idx="34">
                  <c:v>59.125869999999999</c:v>
                </c:pt>
                <c:pt idx="35">
                  <c:v>29.96048</c:v>
                </c:pt>
                <c:pt idx="36">
                  <c:v>26.60305</c:v>
                </c:pt>
                <c:pt idx="37">
                  <c:v>24.44135</c:v>
                </c:pt>
                <c:pt idx="38">
                  <c:v>20.622530000000001</c:v>
                </c:pt>
                <c:pt idx="39">
                  <c:v>15.90823</c:v>
                </c:pt>
              </c:numCache>
            </c:numRef>
          </c:val>
        </c:ser>
        <c:marker val="1"/>
        <c:axId val="263642496"/>
        <c:axId val="263652480"/>
      </c:lineChart>
      <c:catAx>
        <c:axId val="263642496"/>
        <c:scaling>
          <c:orientation val="minMax"/>
        </c:scaling>
        <c:axPos val="b"/>
        <c:numFmt formatCode="General" sourceLinked="1"/>
        <c:tickLblPos val="nextTo"/>
        <c:crossAx val="263652480"/>
        <c:crosses val="autoZero"/>
        <c:auto val="1"/>
        <c:lblAlgn val="ctr"/>
        <c:lblOffset val="100"/>
      </c:catAx>
      <c:valAx>
        <c:axId val="263652480"/>
        <c:scaling>
          <c:orientation val="minMax"/>
        </c:scaling>
        <c:axPos val="l"/>
        <c:numFmt formatCode="General" sourceLinked="1"/>
        <c:tickLblPos val="nextTo"/>
        <c:crossAx val="263642496"/>
        <c:crosses val="autoZero"/>
        <c:crossBetween val="between"/>
      </c:valAx>
    </c:plotArea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/>
              <a:t>Share Price Projected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marker>
            <c:symbol val="none"/>
          </c:marker>
          <c:cat>
            <c:numRef>
              <c:f>Projections!$A$4:$A$23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Projections!$L$4:$L$23</c:f>
              <c:numCache>
                <c:formatCode>General</c:formatCode>
                <c:ptCount val="20"/>
                <c:pt idx="0">
                  <c:v>12.98624177446224</c:v>
                </c:pt>
                <c:pt idx="1">
                  <c:v>14.294658535957579</c:v>
                </c:pt>
                <c:pt idx="2">
                  <c:v>12.614608091246525</c:v>
                </c:pt>
                <c:pt idx="3">
                  <c:v>12.829815036639241</c:v>
                </c:pt>
                <c:pt idx="4">
                  <c:v>12.194302723831404</c:v>
                </c:pt>
                <c:pt idx="5">
                  <c:v>15.304937433022911</c:v>
                </c:pt>
                <c:pt idx="6">
                  <c:v>11.94350154406143</c:v>
                </c:pt>
                <c:pt idx="7">
                  <c:v>14.448808194653422</c:v>
                </c:pt>
                <c:pt idx="8">
                  <c:v>10.649533570869885</c:v>
                </c:pt>
                <c:pt idx="9">
                  <c:v>15.592447972443454</c:v>
                </c:pt>
                <c:pt idx="10">
                  <c:v>12.330463493164055</c:v>
                </c:pt>
                <c:pt idx="11">
                  <c:v>15.529793542552396</c:v>
                </c:pt>
                <c:pt idx="12">
                  <c:v>12.306507395402653</c:v>
                </c:pt>
                <c:pt idx="13">
                  <c:v>14.067917736728679</c:v>
                </c:pt>
                <c:pt idx="14">
                  <c:v>11.910062020369413</c:v>
                </c:pt>
                <c:pt idx="15">
                  <c:v>14.528408193311417</c:v>
                </c:pt>
                <c:pt idx="16">
                  <c:v>8.9292166667381778</c:v>
                </c:pt>
                <c:pt idx="17">
                  <c:v>17.003166667394062</c:v>
                </c:pt>
                <c:pt idx="18">
                  <c:v>6.7295269587793394</c:v>
                </c:pt>
                <c:pt idx="19">
                  <c:v>14.680734639100573</c:v>
                </c:pt>
              </c:numCache>
            </c:numRef>
          </c:val>
        </c:ser>
        <c:marker val="1"/>
        <c:axId val="264934144"/>
        <c:axId val="264935680"/>
      </c:lineChart>
      <c:catAx>
        <c:axId val="264934144"/>
        <c:scaling>
          <c:orientation val="minMax"/>
        </c:scaling>
        <c:axPos val="b"/>
        <c:numFmt formatCode="General" sourceLinked="1"/>
        <c:tickLblPos val="nextTo"/>
        <c:crossAx val="264935680"/>
        <c:crosses val="autoZero"/>
        <c:auto val="1"/>
        <c:lblAlgn val="ctr"/>
        <c:lblOffset val="100"/>
      </c:catAx>
      <c:valAx>
        <c:axId val="264935680"/>
        <c:scaling>
          <c:orientation val="minMax"/>
        </c:scaling>
        <c:axPos val="l"/>
        <c:numFmt formatCode="General" sourceLinked="1"/>
        <c:tickLblPos val="nextTo"/>
        <c:crossAx val="264934144"/>
        <c:crosses val="autoZero"/>
        <c:crossBetween val="between"/>
      </c:valAx>
    </c:plotArea>
    <c:plotVisOnly val="1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layout/>
    </c:title>
    <c:plotArea>
      <c:layout>
        <c:manualLayout>
          <c:layoutTarget val="inner"/>
          <c:xMode val="edge"/>
          <c:yMode val="edge"/>
          <c:x val="0.10944997144818097"/>
          <c:y val="0.29684328523196812"/>
          <c:w val="0.86127524478601869"/>
          <c:h val="0.34296916053873233"/>
        </c:manualLayout>
      </c:layout>
      <c:lineChart>
        <c:grouping val="standard"/>
        <c:ser>
          <c:idx val="0"/>
          <c:order val="0"/>
          <c:tx>
            <c:v>EV Hisotoric</c:v>
          </c:tx>
          <c:marker>
            <c:symbol val="none"/>
          </c:marker>
          <c:cat>
            <c:numRef>
              <c:f>Input!$B$9:$AO$9</c:f>
              <c:numCache>
                <c:formatCode>m/d/yyyy</c:formatCode>
                <c:ptCount val="40"/>
                <c:pt idx="0">
                  <c:v>38890</c:v>
                </c:pt>
                <c:pt idx="1">
                  <c:v>38481</c:v>
                </c:pt>
                <c:pt idx="2">
                  <c:v>38989</c:v>
                </c:pt>
                <c:pt idx="3">
                  <c:v>38663</c:v>
                </c:pt>
                <c:pt idx="4">
                  <c:v>39171</c:v>
                </c:pt>
                <c:pt idx="5">
                  <c:v>38841</c:v>
                </c:pt>
                <c:pt idx="6">
                  <c:v>39337</c:v>
                </c:pt>
                <c:pt idx="7">
                  <c:v>39020</c:v>
                </c:pt>
                <c:pt idx="8">
                  <c:v>39709</c:v>
                </c:pt>
                <c:pt idx="9">
                  <c:v>39217</c:v>
                </c:pt>
                <c:pt idx="10">
                  <c:v>39714</c:v>
                </c:pt>
                <c:pt idx="11">
                  <c:v>39385</c:v>
                </c:pt>
                <c:pt idx="12">
                  <c:v>39902</c:v>
                </c:pt>
                <c:pt idx="13">
                  <c:v>39573</c:v>
                </c:pt>
                <c:pt idx="14">
                  <c:v>40080</c:v>
                </c:pt>
                <c:pt idx="15">
                  <c:v>39758</c:v>
                </c:pt>
                <c:pt idx="16">
                  <c:v>40262</c:v>
                </c:pt>
                <c:pt idx="17">
                  <c:v>39940</c:v>
                </c:pt>
                <c:pt idx="18">
                  <c:v>40437</c:v>
                </c:pt>
                <c:pt idx="19">
                  <c:v>40115</c:v>
                </c:pt>
                <c:pt idx="20">
                  <c:v>40633</c:v>
                </c:pt>
                <c:pt idx="21">
                  <c:v>40304</c:v>
                </c:pt>
                <c:pt idx="22">
                  <c:v>40813</c:v>
                </c:pt>
                <c:pt idx="23">
                  <c:v>40479</c:v>
                </c:pt>
                <c:pt idx="24">
                  <c:v>40997</c:v>
                </c:pt>
                <c:pt idx="25">
                  <c:v>40667</c:v>
                </c:pt>
                <c:pt idx="26">
                  <c:v>41179</c:v>
                </c:pt>
                <c:pt idx="27">
                  <c:v>40849</c:v>
                </c:pt>
                <c:pt idx="28">
                  <c:v>41354</c:v>
                </c:pt>
                <c:pt idx="29">
                  <c:v>41038</c:v>
                </c:pt>
                <c:pt idx="30">
                  <c:v>41179</c:v>
                </c:pt>
                <c:pt idx="31">
                  <c:v>41221</c:v>
                </c:pt>
                <c:pt idx="32">
                  <c:v>41725</c:v>
                </c:pt>
                <c:pt idx="33">
                  <c:v>41402</c:v>
                </c:pt>
                <c:pt idx="34">
                  <c:v>41493</c:v>
                </c:pt>
                <c:pt idx="35">
                  <c:v>41584</c:v>
                </c:pt>
                <c:pt idx="36">
                  <c:v>41725</c:v>
                </c:pt>
                <c:pt idx="37">
                  <c:v>41773</c:v>
                </c:pt>
                <c:pt idx="38">
                  <c:v>41864</c:v>
                </c:pt>
                <c:pt idx="39">
                  <c:v>41955</c:v>
                </c:pt>
              </c:numCache>
            </c:numRef>
          </c:cat>
          <c:val>
            <c:numRef>
              <c:f>Input!$B$14:$AO$14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-77.6913624691622</c:v>
                </c:pt>
                <c:pt idx="13">
                  <c:v>0</c:v>
                </c:pt>
                <c:pt idx="14">
                  <c:v>73.047656976053759</c:v>
                </c:pt>
                <c:pt idx="15">
                  <c:v>0</c:v>
                </c:pt>
                <c:pt idx="16">
                  <c:v>266.4107074605601</c:v>
                </c:pt>
                <c:pt idx="17">
                  <c:v>413.43927815367175</c:v>
                </c:pt>
                <c:pt idx="18">
                  <c:v>-22.7109045141504</c:v>
                </c:pt>
                <c:pt idx="19">
                  <c:v>369.64876889308425</c:v>
                </c:pt>
                <c:pt idx="20">
                  <c:v>415.578848976676</c:v>
                </c:pt>
                <c:pt idx="21">
                  <c:v>559.85320932458114</c:v>
                </c:pt>
                <c:pt idx="22">
                  <c:v>739.84803519547768</c:v>
                </c:pt>
                <c:pt idx="23">
                  <c:v>734.00510811288598</c:v>
                </c:pt>
                <c:pt idx="24">
                  <c:v>1350.4280676876863</c:v>
                </c:pt>
                <c:pt idx="25">
                  <c:v>398.50368303337024</c:v>
                </c:pt>
                <c:pt idx="26">
                  <c:v>1006.3797190893465</c:v>
                </c:pt>
                <c:pt idx="27">
                  <c:v>886.81450233721307</c:v>
                </c:pt>
                <c:pt idx="28">
                  <c:v>553.44156594624576</c:v>
                </c:pt>
                <c:pt idx="29">
                  <c:v>880.35825387740408</c:v>
                </c:pt>
                <c:pt idx="30">
                  <c:v>725.87555979268598</c:v>
                </c:pt>
                <c:pt idx="31">
                  <c:v>-62.535540166502599</c:v>
                </c:pt>
                <c:pt idx="32">
                  <c:v>471.93809572030688</c:v>
                </c:pt>
                <c:pt idx="33">
                  <c:v>581.97272810148093</c:v>
                </c:pt>
                <c:pt idx="34">
                  <c:v>1128.3544566693452</c:v>
                </c:pt>
                <c:pt idx="35">
                  <c:v>742.89803099913979</c:v>
                </c:pt>
                <c:pt idx="36">
                  <c:v>652.09367822431136</c:v>
                </c:pt>
                <c:pt idx="37">
                  <c:v>566.45165765546244</c:v>
                </c:pt>
                <c:pt idx="38">
                  <c:v>557.30198416669759</c:v>
                </c:pt>
                <c:pt idx="39">
                  <c:v>277.18431425708451</c:v>
                </c:pt>
              </c:numCache>
            </c:numRef>
          </c:val>
        </c:ser>
        <c:marker val="1"/>
        <c:axId val="264111616"/>
        <c:axId val="264113152"/>
      </c:lineChart>
      <c:dateAx>
        <c:axId val="264111616"/>
        <c:scaling>
          <c:orientation val="minMax"/>
        </c:scaling>
        <c:axPos val="b"/>
        <c:numFmt formatCode="m/d;@" sourceLinked="0"/>
        <c:tickLblPos val="nextTo"/>
        <c:crossAx val="264113152"/>
        <c:crosses val="autoZero"/>
        <c:auto val="1"/>
        <c:lblOffset val="100"/>
      </c:dateAx>
      <c:valAx>
        <c:axId val="264113152"/>
        <c:scaling>
          <c:orientation val="minMax"/>
          <c:min val="5000"/>
        </c:scaling>
        <c:axPos val="l"/>
        <c:numFmt formatCode="General" sourceLinked="1"/>
        <c:tickLblPos val="nextTo"/>
        <c:crossAx val="264111616"/>
        <c:crosses val="autoZero"/>
        <c:crossBetween val="between"/>
      </c:valAx>
    </c:plotArea>
    <c:plotVisOnly val="1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barChart>
        <c:barDir val="bar"/>
        <c:grouping val="clustered"/>
        <c:ser>
          <c:idx val="0"/>
          <c:order val="0"/>
          <c:tx>
            <c:strRef>
              <c:f>Projections!$D$67</c:f>
              <c:strCache>
                <c:ptCount val="1"/>
                <c:pt idx="0">
                  <c:v>Sales</c:v>
                </c:pt>
              </c:strCache>
            </c:strRef>
          </c:tx>
          <c:val>
            <c:numRef>
              <c:f>Projections!$E$105:$E$114</c:f>
              <c:numCache>
                <c:formatCode>General</c:formatCode>
                <c:ptCount val="10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</c:ser>
        <c:ser>
          <c:idx val="1"/>
          <c:order val="1"/>
          <c:tx>
            <c:strRef>
              <c:f>Projections!$F$66</c:f>
              <c:strCache>
                <c:ptCount val="1"/>
                <c:pt idx="0">
                  <c:v>Margins</c:v>
                </c:pt>
              </c:strCache>
            </c:strRef>
          </c:tx>
          <c:val>
            <c:numRef>
              <c:f>Projections!$G$105:$G$114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2"/>
          <c:order val="2"/>
          <c:tx>
            <c:strRef>
              <c:f>Projections!$H$67</c:f>
              <c:strCache>
                <c:ptCount val="1"/>
                <c:pt idx="0">
                  <c:v>Multiple</c:v>
                </c:pt>
              </c:strCache>
            </c:strRef>
          </c:tx>
          <c:val>
            <c:numRef>
              <c:f>Projections!$I$105:$I$114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264155136"/>
        <c:axId val="264156672"/>
      </c:barChart>
      <c:catAx>
        <c:axId val="264155136"/>
        <c:scaling>
          <c:orientation val="minMax"/>
        </c:scaling>
        <c:axPos val="l"/>
        <c:tickLblPos val="nextTo"/>
        <c:crossAx val="264156672"/>
        <c:crosses val="autoZero"/>
        <c:auto val="1"/>
        <c:lblAlgn val="ctr"/>
        <c:lblOffset val="100"/>
      </c:catAx>
      <c:valAx>
        <c:axId val="264156672"/>
        <c:scaling>
          <c:orientation val="minMax"/>
        </c:scaling>
        <c:axPos val="b"/>
        <c:numFmt formatCode="General" sourceLinked="1"/>
        <c:tickLblPos val="nextTo"/>
        <c:crossAx val="264155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style val="3"/>
  <c:chart>
    <c:title>
      <c:tx>
        <c:strRef>
          <c:f>Projections!$D$65</c:f>
          <c:strCache>
            <c:ptCount val="1"/>
            <c:pt idx="0">
              <c:v> Projected Volatilties for EZCH</c:v>
            </c:pt>
          </c:strCache>
        </c:strRef>
      </c:tx>
      <c:layout/>
      <c:overlay val="1"/>
      <c:txPr>
        <a:bodyPr/>
        <a:lstStyle/>
        <a:p>
          <a:pPr>
            <a:defRPr sz="1400" b="0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3.4482299468664067E-2"/>
          <c:y val="5.6537102473498226E-2"/>
          <c:w val="0.83774784730188756"/>
          <c:h val="0.83014533077358532"/>
        </c:manualLayout>
      </c:layout>
      <c:barChart>
        <c:barDir val="bar"/>
        <c:grouping val="clustered"/>
        <c:ser>
          <c:idx val="0"/>
          <c:order val="0"/>
          <c:tx>
            <c:strRef>
              <c:f>Projections!$D$66</c:f>
              <c:strCache>
                <c:ptCount val="1"/>
                <c:pt idx="0">
                  <c:v>Sales</c:v>
                </c:pt>
              </c:strCache>
            </c:strRef>
          </c:tx>
          <c:dLbls>
            <c:showVal val="1"/>
          </c:dLbls>
          <c:val>
            <c:numRef>
              <c:f>Projections!$E$79</c:f>
              <c:numCache>
                <c:formatCode>0.0%</c:formatCode>
                <c:ptCount val="1"/>
                <c:pt idx="0">
                  <c:v>0.31447248578850528</c:v>
                </c:pt>
              </c:numCache>
            </c:numRef>
          </c:val>
        </c:ser>
        <c:ser>
          <c:idx val="1"/>
          <c:order val="1"/>
          <c:tx>
            <c:strRef>
              <c:f>Projections!$F$66</c:f>
              <c:strCache>
                <c:ptCount val="1"/>
                <c:pt idx="0">
                  <c:v>Margins</c:v>
                </c:pt>
              </c:strCache>
            </c:strRef>
          </c:tx>
          <c:dLbls>
            <c:showVal val="1"/>
          </c:dLbls>
          <c:val>
            <c:numRef>
              <c:f>Projections!$G$79</c:f>
              <c:numCache>
                <c:formatCode>0.0%</c:formatCode>
                <c:ptCount val="1"/>
                <c:pt idx="0">
                  <c:v>0.2236599418451741</c:v>
                </c:pt>
              </c:numCache>
            </c:numRef>
          </c:val>
        </c:ser>
        <c:ser>
          <c:idx val="2"/>
          <c:order val="2"/>
          <c:tx>
            <c:strRef>
              <c:f>Projections!$H$67</c:f>
              <c:strCache>
                <c:ptCount val="1"/>
                <c:pt idx="0">
                  <c:v>Multiple</c:v>
                </c:pt>
              </c:strCache>
            </c:strRef>
          </c:tx>
          <c:dLbls>
            <c:showVal val="1"/>
          </c:dLbls>
          <c:val>
            <c:numRef>
              <c:f>Projections!$I$79</c:f>
              <c:numCache>
                <c:formatCode>0.0%</c:formatCode>
                <c:ptCount val="1"/>
                <c:pt idx="0">
                  <c:v>0.12833931696952025</c:v>
                </c:pt>
              </c:numCache>
            </c:numRef>
          </c:val>
        </c:ser>
        <c:axId val="264982912"/>
        <c:axId val="264984448"/>
      </c:barChart>
      <c:catAx>
        <c:axId val="264982912"/>
        <c:scaling>
          <c:orientation val="minMax"/>
        </c:scaling>
        <c:delete val="1"/>
        <c:axPos val="l"/>
        <c:minorTickMark val="in"/>
        <c:tickLblPos val="none"/>
        <c:crossAx val="264984448"/>
        <c:crosses val="autoZero"/>
        <c:auto val="1"/>
        <c:lblAlgn val="ctr"/>
        <c:lblOffset val="100"/>
      </c:catAx>
      <c:valAx>
        <c:axId val="264984448"/>
        <c:scaling>
          <c:orientation val="minMax"/>
        </c:scaling>
        <c:axPos val="b"/>
        <c:numFmt formatCode="0.0%" sourceLinked="1"/>
        <c:tickLblPos val="nextTo"/>
        <c:crossAx val="2649829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187326941216252"/>
          <c:y val="6.6167126221135714E-2"/>
          <c:w val="0.15220334433396068"/>
          <c:h val="0.26112510304442998"/>
        </c:manualLayout>
      </c:layout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Residuals!$B$90:$B$128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125.51311</c:v>
                </c:pt>
                <c:pt idx="12">
                  <c:v>0</c:v>
                </c:pt>
                <c:pt idx="13">
                  <c:v>63.191609999999997</c:v>
                </c:pt>
                <c:pt idx="14">
                  <c:v>0</c:v>
                </c:pt>
                <c:pt idx="15">
                  <c:v>50.030500000000004</c:v>
                </c:pt>
                <c:pt idx="16">
                  <c:v>56.752139999999997</c:v>
                </c:pt>
                <c:pt idx="17">
                  <c:v>34.621200000000002</c:v>
                </c:pt>
                <c:pt idx="18">
                  <c:v>38.972050000000003</c:v>
                </c:pt>
                <c:pt idx="19">
                  <c:v>27.222529999999999</c:v>
                </c:pt>
                <c:pt idx="20">
                  <c:v>31.186160000000001</c:v>
                </c:pt>
                <c:pt idx="21">
                  <c:v>33.832509999999999</c:v>
                </c:pt>
                <c:pt idx="22">
                  <c:v>26.3765</c:v>
                </c:pt>
                <c:pt idx="23">
                  <c:v>50.209290000000003</c:v>
                </c:pt>
                <c:pt idx="24">
                  <c:v>33.120449999999998</c:v>
                </c:pt>
                <c:pt idx="25">
                  <c:v>36.091679999999997</c:v>
                </c:pt>
                <c:pt idx="26">
                  <c:v>30.171980000000001</c:v>
                </c:pt>
                <c:pt idx="27">
                  <c:v>38.46564</c:v>
                </c:pt>
                <c:pt idx="28">
                  <c:v>47.047800000000002</c:v>
                </c:pt>
                <c:pt idx="29">
                  <c:v>36.091679999999997</c:v>
                </c:pt>
                <c:pt idx="30">
                  <c:v>59.901649999999997</c:v>
                </c:pt>
                <c:pt idx="31">
                  <c:v>26.60305</c:v>
                </c:pt>
                <c:pt idx="32">
                  <c:v>46.115130000000001</c:v>
                </c:pt>
                <c:pt idx="33">
                  <c:v>59.125869999999999</c:v>
                </c:pt>
                <c:pt idx="34">
                  <c:v>29.96048</c:v>
                </c:pt>
                <c:pt idx="35">
                  <c:v>26.60305</c:v>
                </c:pt>
                <c:pt idx="36">
                  <c:v>24.44135</c:v>
                </c:pt>
                <c:pt idx="37">
                  <c:v>20.622530000000001</c:v>
                </c:pt>
                <c:pt idx="38">
                  <c:v>15.90823</c:v>
                </c:pt>
              </c:numCache>
            </c:numRef>
          </c:val>
        </c:ser>
        <c:marker val="1"/>
        <c:axId val="264700672"/>
        <c:axId val="264702208"/>
      </c:lineChart>
      <c:catAx>
        <c:axId val="264700672"/>
        <c:scaling>
          <c:orientation val="minMax"/>
        </c:scaling>
        <c:axPos val="b"/>
        <c:tickLblPos val="nextTo"/>
        <c:crossAx val="264702208"/>
        <c:crosses val="autoZero"/>
        <c:auto val="1"/>
        <c:lblAlgn val="ctr"/>
        <c:lblOffset val="100"/>
      </c:catAx>
      <c:valAx>
        <c:axId val="264702208"/>
        <c:scaling>
          <c:orientation val="minMax"/>
        </c:scaling>
        <c:axPos val="l"/>
        <c:majorGridlines/>
        <c:numFmt formatCode="General" sourceLinked="1"/>
        <c:tickLblPos val="nextTo"/>
        <c:crossAx val="264700672"/>
        <c:crosses val="autoZero"/>
        <c:crossBetween val="between"/>
      </c:valAx>
    </c:plotArea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strRef>
          <c:f>Paths!$I$4</c:f>
          <c:strCache>
            <c:ptCount val="1"/>
            <c:pt idx="0">
              <c:v>AR1 MC Paths for Sales for EZCH</c:v>
            </c:pt>
          </c:strCache>
        </c:strRef>
      </c:tx>
      <c:layout/>
      <c:overlay val="1"/>
      <c:txPr>
        <a:bodyPr/>
        <a:lstStyle/>
        <a:p>
          <a:pPr>
            <a:defRPr sz="1400" b="0"/>
          </a:pPr>
          <a:endParaRPr lang="en-US"/>
        </a:p>
      </c:txPr>
    </c:title>
    <c:plotArea>
      <c:layout/>
      <c:lineChart>
        <c:grouping val="standard"/>
        <c:ser>
          <c:idx val="0"/>
          <c:order val="0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Paths!$J$9:$AD$9</c:f>
              <c:numCache>
                <c:formatCode>General</c:formatCode>
                <c:ptCount val="21"/>
                <c:pt idx="0">
                  <c:v>19.241</c:v>
                </c:pt>
                <c:pt idx="1">
                  <c:v>19.43822886507439</c:v>
                </c:pt>
                <c:pt idx="2">
                  <c:v>22.132093005521543</c:v>
                </c:pt>
                <c:pt idx="3">
                  <c:v>21.449965849828487</c:v>
                </c:pt>
                <c:pt idx="4">
                  <c:v>23.233089334111391</c:v>
                </c:pt>
                <c:pt idx="5">
                  <c:v>20.255242041414608</c:v>
                </c:pt>
                <c:pt idx="6">
                  <c:v>19.32313960359286</c:v>
                </c:pt>
                <c:pt idx="7">
                  <c:v>22.599153481554911</c:v>
                </c:pt>
                <c:pt idx="8">
                  <c:v>20.504071528146763</c:v>
                </c:pt>
                <c:pt idx="9">
                  <c:v>17.273096902727353</c:v>
                </c:pt>
                <c:pt idx="10">
                  <c:v>16.369960973480147</c:v>
                </c:pt>
                <c:pt idx="11">
                  <c:v>12.974633367537665</c:v>
                </c:pt>
                <c:pt idx="12">
                  <c:v>11.360512876667594</c:v>
                </c:pt>
                <c:pt idx="13">
                  <c:v>9.8053951716064756</c:v>
                </c:pt>
                <c:pt idx="14">
                  <c:v>9.0011212540185159</c:v>
                </c:pt>
                <c:pt idx="15">
                  <c:v>9.2879293255113282</c:v>
                </c:pt>
                <c:pt idx="16">
                  <c:v>6.8800886774505123</c:v>
                </c:pt>
                <c:pt idx="17">
                  <c:v>4.8674494287233223</c:v>
                </c:pt>
                <c:pt idx="18">
                  <c:v>6.7420963249787942</c:v>
                </c:pt>
                <c:pt idx="19">
                  <c:v>5.5017031735966153</c:v>
                </c:pt>
                <c:pt idx="20">
                  <c:v>5.5956261335696613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Paths!$J$10:$AD$10</c:f>
              <c:numCache>
                <c:formatCode>General</c:formatCode>
                <c:ptCount val="21"/>
                <c:pt idx="0">
                  <c:v>19.241</c:v>
                </c:pt>
                <c:pt idx="1">
                  <c:v>19.971072852330707</c:v>
                </c:pt>
                <c:pt idx="2">
                  <c:v>22.473219317252976</c:v>
                </c:pt>
                <c:pt idx="3">
                  <c:v>20.624211020011909</c:v>
                </c:pt>
                <c:pt idx="4">
                  <c:v>25.185676509290197</c:v>
                </c:pt>
                <c:pt idx="5">
                  <c:v>24.962337246881688</c:v>
                </c:pt>
                <c:pt idx="6">
                  <c:v>25.220126259382447</c:v>
                </c:pt>
                <c:pt idx="7">
                  <c:v>22.896837847053586</c:v>
                </c:pt>
                <c:pt idx="8">
                  <c:v>22.324724874120804</c:v>
                </c:pt>
                <c:pt idx="9">
                  <c:v>19.835410530122729</c:v>
                </c:pt>
                <c:pt idx="10">
                  <c:v>17.639699147357913</c:v>
                </c:pt>
                <c:pt idx="11">
                  <c:v>20.087888399933846</c:v>
                </c:pt>
                <c:pt idx="12">
                  <c:v>19.69665152391164</c:v>
                </c:pt>
                <c:pt idx="13">
                  <c:v>19.883108095915304</c:v>
                </c:pt>
                <c:pt idx="14">
                  <c:v>20.620298161718829</c:v>
                </c:pt>
                <c:pt idx="15">
                  <c:v>19.320063912064477</c:v>
                </c:pt>
                <c:pt idx="16">
                  <c:v>20.888979682801146</c:v>
                </c:pt>
                <c:pt idx="17">
                  <c:v>20.982926291186175</c:v>
                </c:pt>
                <c:pt idx="18">
                  <c:v>20.760816210144348</c:v>
                </c:pt>
                <c:pt idx="19">
                  <c:v>17.506497361102205</c:v>
                </c:pt>
                <c:pt idx="20">
                  <c:v>18.768830576940843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Paths!$J$11:$AD$11</c:f>
              <c:numCache>
                <c:formatCode>General</c:formatCode>
                <c:ptCount val="21"/>
                <c:pt idx="0">
                  <c:v>19.241</c:v>
                </c:pt>
                <c:pt idx="1">
                  <c:v>17.959499597513016</c:v>
                </c:pt>
                <c:pt idx="2">
                  <c:v>18.080514605899584</c:v>
                </c:pt>
                <c:pt idx="3">
                  <c:v>17.813118829536087</c:v>
                </c:pt>
                <c:pt idx="4">
                  <c:v>17.384440960214828</c:v>
                </c:pt>
                <c:pt idx="5">
                  <c:v>18.166356600382855</c:v>
                </c:pt>
                <c:pt idx="6">
                  <c:v>18.320863175281744</c:v>
                </c:pt>
                <c:pt idx="7">
                  <c:v>18.588050437544702</c:v>
                </c:pt>
                <c:pt idx="8">
                  <c:v>19.460761824557594</c:v>
                </c:pt>
                <c:pt idx="9">
                  <c:v>20.421002437283516</c:v>
                </c:pt>
                <c:pt idx="10">
                  <c:v>18.827649953643018</c:v>
                </c:pt>
                <c:pt idx="11">
                  <c:v>15.435997486127869</c:v>
                </c:pt>
                <c:pt idx="12">
                  <c:v>16.754570822632896</c:v>
                </c:pt>
                <c:pt idx="13">
                  <c:v>16.743142119253829</c:v>
                </c:pt>
                <c:pt idx="14">
                  <c:v>15.841968036618294</c:v>
                </c:pt>
                <c:pt idx="15">
                  <c:v>15.899430539915318</c:v>
                </c:pt>
                <c:pt idx="16">
                  <c:v>15.463231604319139</c:v>
                </c:pt>
                <c:pt idx="17">
                  <c:v>17.561344102715655</c:v>
                </c:pt>
                <c:pt idx="18">
                  <c:v>18.302848365245261</c:v>
                </c:pt>
                <c:pt idx="19">
                  <c:v>15.200306537097266</c:v>
                </c:pt>
                <c:pt idx="20">
                  <c:v>15.01935209232068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Paths!$J$12:$AD$12</c:f>
              <c:numCache>
                <c:formatCode>General</c:formatCode>
                <c:ptCount val="21"/>
                <c:pt idx="0">
                  <c:v>19.241</c:v>
                </c:pt>
                <c:pt idx="1">
                  <c:v>19.764472637874878</c:v>
                </c:pt>
                <c:pt idx="2">
                  <c:v>20.353746845100908</c:v>
                </c:pt>
                <c:pt idx="3">
                  <c:v>19.230518235239735</c:v>
                </c:pt>
                <c:pt idx="4">
                  <c:v>21.010671290765213</c:v>
                </c:pt>
                <c:pt idx="5">
                  <c:v>19.461171069640095</c:v>
                </c:pt>
                <c:pt idx="6">
                  <c:v>23.4655599459422</c:v>
                </c:pt>
                <c:pt idx="7">
                  <c:v>20.663440696288689</c:v>
                </c:pt>
                <c:pt idx="8">
                  <c:v>21.101497054187089</c:v>
                </c:pt>
                <c:pt idx="9">
                  <c:v>18.599136302841629</c:v>
                </c:pt>
                <c:pt idx="10">
                  <c:v>16.91647230566338</c:v>
                </c:pt>
                <c:pt idx="11">
                  <c:v>19.454587586594865</c:v>
                </c:pt>
                <c:pt idx="12">
                  <c:v>19.988489484807481</c:v>
                </c:pt>
                <c:pt idx="13">
                  <c:v>18.647261336760899</c:v>
                </c:pt>
                <c:pt idx="14">
                  <c:v>19.621719630085288</c:v>
                </c:pt>
                <c:pt idx="15">
                  <c:v>20.790470668859093</c:v>
                </c:pt>
                <c:pt idx="16">
                  <c:v>23.033014310815808</c:v>
                </c:pt>
                <c:pt idx="17">
                  <c:v>24.205482072216558</c:v>
                </c:pt>
                <c:pt idx="18">
                  <c:v>23.200323380100045</c:v>
                </c:pt>
                <c:pt idx="19">
                  <c:v>22.904960185095412</c:v>
                </c:pt>
                <c:pt idx="20">
                  <c:v>26.147921442369103</c:v>
                </c:pt>
              </c:numCache>
            </c:numRef>
          </c:val>
        </c:ser>
        <c:ser>
          <c:idx val="4"/>
          <c:order val="4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Paths!$J$13:$AD$13</c:f>
              <c:numCache>
                <c:formatCode>General</c:formatCode>
                <c:ptCount val="21"/>
                <c:pt idx="0">
                  <c:v>19.241</c:v>
                </c:pt>
                <c:pt idx="1">
                  <c:v>16.126318001464682</c:v>
                </c:pt>
                <c:pt idx="2">
                  <c:v>14.534814493482623</c:v>
                </c:pt>
                <c:pt idx="3">
                  <c:v>14.825862963603443</c:v>
                </c:pt>
                <c:pt idx="4">
                  <c:v>18.7563564245016</c:v>
                </c:pt>
                <c:pt idx="5">
                  <c:v>16.54582614738786</c:v>
                </c:pt>
                <c:pt idx="6">
                  <c:v>19.21203799744066</c:v>
                </c:pt>
                <c:pt idx="7">
                  <c:v>16.257149387589443</c:v>
                </c:pt>
                <c:pt idx="8">
                  <c:v>17.875144601386079</c:v>
                </c:pt>
                <c:pt idx="9">
                  <c:v>19.474412369422776</c:v>
                </c:pt>
                <c:pt idx="10">
                  <c:v>22.553515006372145</c:v>
                </c:pt>
                <c:pt idx="11">
                  <c:v>24.469081741624514</c:v>
                </c:pt>
                <c:pt idx="12">
                  <c:v>25.142605230425662</c:v>
                </c:pt>
                <c:pt idx="13">
                  <c:v>24.695902329052743</c:v>
                </c:pt>
                <c:pt idx="14">
                  <c:v>22.171530395175655</c:v>
                </c:pt>
                <c:pt idx="15">
                  <c:v>20.617009661861925</c:v>
                </c:pt>
                <c:pt idx="16">
                  <c:v>22.28761070163317</c:v>
                </c:pt>
                <c:pt idx="17">
                  <c:v>24.092865210137681</c:v>
                </c:pt>
                <c:pt idx="18">
                  <c:v>23.847955715334379</c:v>
                </c:pt>
                <c:pt idx="19">
                  <c:v>19.023505133663917</c:v>
                </c:pt>
                <c:pt idx="20">
                  <c:v>19.001876126928387</c:v>
                </c:pt>
              </c:numCache>
            </c:numRef>
          </c:val>
        </c:ser>
        <c:ser>
          <c:idx val="5"/>
          <c:order val="5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Paths!$J$14:$AD$14</c:f>
              <c:numCache>
                <c:formatCode>General</c:formatCode>
                <c:ptCount val="21"/>
                <c:pt idx="0">
                  <c:v>19.241</c:v>
                </c:pt>
                <c:pt idx="1">
                  <c:v>19.318317454039985</c:v>
                </c:pt>
                <c:pt idx="2">
                  <c:v>19.8600092314663</c:v>
                </c:pt>
                <c:pt idx="3">
                  <c:v>17.524549646046445</c:v>
                </c:pt>
                <c:pt idx="4">
                  <c:v>19.521694658720886</c:v>
                </c:pt>
                <c:pt idx="5">
                  <c:v>22.505505546802308</c:v>
                </c:pt>
                <c:pt idx="6">
                  <c:v>21.408646579018257</c:v>
                </c:pt>
                <c:pt idx="7">
                  <c:v>21.55199886856219</c:v>
                </c:pt>
                <c:pt idx="8">
                  <c:v>19.814418605459753</c:v>
                </c:pt>
                <c:pt idx="9">
                  <c:v>16.60283826105217</c:v>
                </c:pt>
                <c:pt idx="10">
                  <c:v>14.797832749303073</c:v>
                </c:pt>
                <c:pt idx="11">
                  <c:v>14.259889907036511</c:v>
                </c:pt>
                <c:pt idx="12">
                  <c:v>15.570508694876059</c:v>
                </c:pt>
                <c:pt idx="13">
                  <c:v>14.004747746675561</c:v>
                </c:pt>
                <c:pt idx="14">
                  <c:v>14.829273341541857</c:v>
                </c:pt>
                <c:pt idx="15">
                  <c:v>12.192046765787239</c:v>
                </c:pt>
                <c:pt idx="16">
                  <c:v>11.816488738383187</c:v>
                </c:pt>
                <c:pt idx="17">
                  <c:v>14.631701722650012</c:v>
                </c:pt>
                <c:pt idx="18">
                  <c:v>12.078486454983913</c:v>
                </c:pt>
                <c:pt idx="19">
                  <c:v>13.466196795300853</c:v>
                </c:pt>
                <c:pt idx="20">
                  <c:v>14.772362360774201</c:v>
                </c:pt>
              </c:numCache>
            </c:numRef>
          </c:val>
        </c:ser>
        <c:ser>
          <c:idx val="6"/>
          <c:order val="6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Paths!$J$15:$AD$15</c:f>
              <c:numCache>
                <c:formatCode>General</c:formatCode>
                <c:ptCount val="21"/>
                <c:pt idx="0">
                  <c:v>19.241</c:v>
                </c:pt>
                <c:pt idx="1">
                  <c:v>19.092899286207004</c:v>
                </c:pt>
                <c:pt idx="2">
                  <c:v>22.969455387808207</c:v>
                </c:pt>
                <c:pt idx="3">
                  <c:v>24.380010573381576</c:v>
                </c:pt>
                <c:pt idx="4">
                  <c:v>22.848730819286718</c:v>
                </c:pt>
                <c:pt idx="5">
                  <c:v>24.208096083869624</c:v>
                </c:pt>
                <c:pt idx="6">
                  <c:v>24.048083003303958</c:v>
                </c:pt>
                <c:pt idx="7">
                  <c:v>22.261132641150869</c:v>
                </c:pt>
                <c:pt idx="8">
                  <c:v>26.014499469309275</c:v>
                </c:pt>
                <c:pt idx="9">
                  <c:v>24.606262133236115</c:v>
                </c:pt>
                <c:pt idx="10">
                  <c:v>27.473951913679471</c:v>
                </c:pt>
                <c:pt idx="11">
                  <c:v>26.658882684289569</c:v>
                </c:pt>
                <c:pt idx="12">
                  <c:v>24.294257821745653</c:v>
                </c:pt>
                <c:pt idx="13">
                  <c:v>24.555093950640416</c:v>
                </c:pt>
                <c:pt idx="14">
                  <c:v>23.71472328549989</c:v>
                </c:pt>
                <c:pt idx="15">
                  <c:v>24.533232800277663</c:v>
                </c:pt>
                <c:pt idx="16">
                  <c:v>22.907259585356197</c:v>
                </c:pt>
                <c:pt idx="17">
                  <c:v>21.584376765498416</c:v>
                </c:pt>
                <c:pt idx="18">
                  <c:v>16.45174910156187</c:v>
                </c:pt>
                <c:pt idx="19">
                  <c:v>15.805233553204499</c:v>
                </c:pt>
                <c:pt idx="20">
                  <c:v>16.167828959104995</c:v>
                </c:pt>
              </c:numCache>
            </c:numRef>
          </c:val>
        </c:ser>
        <c:ser>
          <c:idx val="7"/>
          <c:order val="7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Paths!$J$16:$AD$16</c:f>
              <c:numCache>
                <c:formatCode>General</c:formatCode>
                <c:ptCount val="21"/>
                <c:pt idx="0">
                  <c:v>19.241</c:v>
                </c:pt>
                <c:pt idx="1">
                  <c:v>18.647722297036982</c:v>
                </c:pt>
                <c:pt idx="2">
                  <c:v>17.69706501589344</c:v>
                </c:pt>
                <c:pt idx="3">
                  <c:v>16.930108518976965</c:v>
                </c:pt>
                <c:pt idx="4">
                  <c:v>13.185341360609925</c:v>
                </c:pt>
                <c:pt idx="5">
                  <c:v>11.718759526377436</c:v>
                </c:pt>
                <c:pt idx="6">
                  <c:v>12.546707389315861</c:v>
                </c:pt>
                <c:pt idx="7">
                  <c:v>13.863513165417523</c:v>
                </c:pt>
                <c:pt idx="8">
                  <c:v>14.793817855527545</c:v>
                </c:pt>
                <c:pt idx="9">
                  <c:v>17.639037658811386</c:v>
                </c:pt>
                <c:pt idx="10">
                  <c:v>20.820488106879466</c:v>
                </c:pt>
                <c:pt idx="11">
                  <c:v>19.776941462695202</c:v>
                </c:pt>
                <c:pt idx="12">
                  <c:v>20.951261410349151</c:v>
                </c:pt>
                <c:pt idx="13">
                  <c:v>23.397213631347967</c:v>
                </c:pt>
                <c:pt idx="14">
                  <c:v>22.278959078079858</c:v>
                </c:pt>
                <c:pt idx="15">
                  <c:v>21.033226773224431</c:v>
                </c:pt>
                <c:pt idx="16">
                  <c:v>23.436518103193841</c:v>
                </c:pt>
                <c:pt idx="17">
                  <c:v>26.305155457648262</c:v>
                </c:pt>
                <c:pt idx="18">
                  <c:v>24.917396631953306</c:v>
                </c:pt>
                <c:pt idx="19">
                  <c:v>21.948507548946015</c:v>
                </c:pt>
                <c:pt idx="20">
                  <c:v>24.529128048036668</c:v>
                </c:pt>
              </c:numCache>
            </c:numRef>
          </c:val>
        </c:ser>
        <c:ser>
          <c:idx val="8"/>
          <c:order val="8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Paths!$J$17:$AD$17</c:f>
              <c:numCache>
                <c:formatCode>General</c:formatCode>
                <c:ptCount val="21"/>
                <c:pt idx="0">
                  <c:v>19.241</c:v>
                </c:pt>
                <c:pt idx="1">
                  <c:v>20.737494534405048</c:v>
                </c:pt>
                <c:pt idx="2">
                  <c:v>20.007843278940292</c:v>
                </c:pt>
                <c:pt idx="3">
                  <c:v>19.015163110091425</c:v>
                </c:pt>
                <c:pt idx="4">
                  <c:v>20.039224959653389</c:v>
                </c:pt>
                <c:pt idx="5">
                  <c:v>20.487667085038144</c:v>
                </c:pt>
                <c:pt idx="6">
                  <c:v>22.453460013643156</c:v>
                </c:pt>
                <c:pt idx="7">
                  <c:v>25.91583020439181</c:v>
                </c:pt>
                <c:pt idx="8">
                  <c:v>27.408539198568029</c:v>
                </c:pt>
                <c:pt idx="9">
                  <c:v>30.971751768579814</c:v>
                </c:pt>
                <c:pt idx="10">
                  <c:v>26.954759754754679</c:v>
                </c:pt>
                <c:pt idx="11">
                  <c:v>24.946018242169544</c:v>
                </c:pt>
                <c:pt idx="12">
                  <c:v>25.625268613886853</c:v>
                </c:pt>
                <c:pt idx="13">
                  <c:v>26.626851995257706</c:v>
                </c:pt>
                <c:pt idx="14">
                  <c:v>28.583570013750677</c:v>
                </c:pt>
                <c:pt idx="15">
                  <c:v>27.188211117787223</c:v>
                </c:pt>
                <c:pt idx="16">
                  <c:v>23.954277253284996</c:v>
                </c:pt>
                <c:pt idx="17">
                  <c:v>24.813717268381389</c:v>
                </c:pt>
                <c:pt idx="18">
                  <c:v>24.140437302972146</c:v>
                </c:pt>
                <c:pt idx="19">
                  <c:v>20.192521509098839</c:v>
                </c:pt>
                <c:pt idx="20">
                  <c:v>22.474130322254613</c:v>
                </c:pt>
              </c:numCache>
            </c:numRef>
          </c:val>
        </c:ser>
        <c:ser>
          <c:idx val="9"/>
          <c:order val="9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Paths!$J$18:$AD$18</c:f>
              <c:numCache>
                <c:formatCode>General</c:formatCode>
                <c:ptCount val="21"/>
                <c:pt idx="0">
                  <c:v>19.241</c:v>
                </c:pt>
                <c:pt idx="1">
                  <c:v>19.599673989216889</c:v>
                </c:pt>
                <c:pt idx="2">
                  <c:v>16.160203187652865</c:v>
                </c:pt>
                <c:pt idx="3">
                  <c:v>15.632608427114413</c:v>
                </c:pt>
                <c:pt idx="4">
                  <c:v>17.438654857737536</c:v>
                </c:pt>
                <c:pt idx="5">
                  <c:v>19.887301542253631</c:v>
                </c:pt>
                <c:pt idx="6">
                  <c:v>19.143399139857021</c:v>
                </c:pt>
                <c:pt idx="7">
                  <c:v>18.581035712087804</c:v>
                </c:pt>
                <c:pt idx="8">
                  <c:v>21.413393224666638</c:v>
                </c:pt>
                <c:pt idx="9">
                  <c:v>22.601961478206881</c:v>
                </c:pt>
                <c:pt idx="10">
                  <c:v>24.797049221656525</c:v>
                </c:pt>
                <c:pt idx="11">
                  <c:v>22.565576332339241</c:v>
                </c:pt>
                <c:pt idx="12">
                  <c:v>25.244880335008201</c:v>
                </c:pt>
                <c:pt idx="13">
                  <c:v>22.391494670772438</c:v>
                </c:pt>
                <c:pt idx="14">
                  <c:v>20.96171920201936</c:v>
                </c:pt>
                <c:pt idx="15">
                  <c:v>23.824348042355233</c:v>
                </c:pt>
                <c:pt idx="16">
                  <c:v>24.255343030124088</c:v>
                </c:pt>
                <c:pt idx="17">
                  <c:v>23.237379605978337</c:v>
                </c:pt>
                <c:pt idx="18">
                  <c:v>25.1029867056975</c:v>
                </c:pt>
                <c:pt idx="19">
                  <c:v>23.408923381774592</c:v>
                </c:pt>
                <c:pt idx="20">
                  <c:v>21.146103617433479</c:v>
                </c:pt>
              </c:numCache>
            </c:numRef>
          </c:val>
        </c:ser>
        <c:marker val="1"/>
        <c:axId val="265729920"/>
        <c:axId val="265731456"/>
      </c:lineChart>
      <c:catAx>
        <c:axId val="265729920"/>
        <c:scaling>
          <c:orientation val="minMax"/>
        </c:scaling>
        <c:axPos val="b"/>
        <c:numFmt formatCode="General" sourceLinked="1"/>
        <c:tickLblPos val="nextTo"/>
        <c:crossAx val="265731456"/>
        <c:crosses val="autoZero"/>
        <c:auto val="1"/>
        <c:lblAlgn val="ctr"/>
        <c:lblOffset val="100"/>
      </c:catAx>
      <c:valAx>
        <c:axId val="265731456"/>
        <c:scaling>
          <c:orientation val="minMax"/>
        </c:scaling>
        <c:axPos val="l"/>
        <c:numFmt formatCode="General" sourceLinked="1"/>
        <c:tickLblPos val="nextTo"/>
        <c:crossAx val="265729920"/>
        <c:crosses val="autoZero"/>
        <c:crossBetween val="between"/>
      </c:valAx>
      <c:spPr>
        <a:noFill/>
      </c:spPr>
    </c:plotArea>
    <c:plotVisOnly val="1"/>
  </c:chart>
  <c:spPr>
    <a:noFill/>
  </c:spPr>
  <c:printSettings>
    <c:headerFooter/>
    <c:pageMargins b="0.75000000000000733" l="0.70000000000000062" r="0.70000000000000062" t="0.750000000000007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lineChart>
        <c:grouping val="standard"/>
        <c:ser>
          <c:idx val="0"/>
          <c:order val="0"/>
          <c:tx>
            <c:v>Path1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Paths!$J$30:$AD$30</c:f>
              <c:numCache>
                <c:formatCode>General</c:formatCode>
                <c:ptCount val="21"/>
                <c:pt idx="0">
                  <c:v>19.241</c:v>
                </c:pt>
                <c:pt idx="1">
                  <c:v>2.1225862119393217</c:v>
                </c:pt>
                <c:pt idx="11">
                  <c:v>12.160686537842526</c:v>
                </c:pt>
                <c:pt idx="12">
                  <c:v>14.673542818968377</c:v>
                </c:pt>
                <c:pt idx="13">
                  <c:v>15.799864782694243</c:v>
                </c:pt>
                <c:pt idx="20">
                  <c:v>20.178434009760863</c:v>
                </c:pt>
              </c:numCache>
            </c:numRef>
          </c:val>
        </c:ser>
        <c:ser>
          <c:idx val="1"/>
          <c:order val="1"/>
          <c:tx>
            <c:v>Path 2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Paths!$J$31:$AD$31</c:f>
              <c:numCache>
                <c:formatCode>General</c:formatCode>
                <c:ptCount val="21"/>
                <c:pt idx="0">
                  <c:v>19.241</c:v>
                </c:pt>
                <c:pt idx="1">
                  <c:v>2.534053079679806</c:v>
                </c:pt>
                <c:pt idx="11">
                  <c:v>13.062041490836297</c:v>
                </c:pt>
                <c:pt idx="12">
                  <c:v>12.51600324731602</c:v>
                </c:pt>
                <c:pt idx="13">
                  <c:v>14.364558376335758</c:v>
                </c:pt>
                <c:pt idx="20">
                  <c:v>21.356665333767669</c:v>
                </c:pt>
              </c:numCache>
            </c:numRef>
          </c:val>
        </c:ser>
        <c:ser>
          <c:idx val="2"/>
          <c:order val="2"/>
          <c:tx>
            <c:v>Path 3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Paths!$J$32:$AD$32</c:f>
              <c:numCache>
                <c:formatCode>General</c:formatCode>
                <c:ptCount val="21"/>
                <c:pt idx="0">
                  <c:v>19.241</c:v>
                </c:pt>
                <c:pt idx="1">
                  <c:v>3.5139006054422413</c:v>
                </c:pt>
                <c:pt idx="11">
                  <c:v>12.560725909270884</c:v>
                </c:pt>
                <c:pt idx="12">
                  <c:v>12.64139295898662</c:v>
                </c:pt>
                <c:pt idx="13">
                  <c:v>14.917906025251868</c:v>
                </c:pt>
                <c:pt idx="20">
                  <c:v>22.168594166652241</c:v>
                </c:pt>
              </c:numCache>
            </c:numRef>
          </c:val>
        </c:ser>
        <c:ser>
          <c:idx val="3"/>
          <c:order val="3"/>
          <c:tx>
            <c:v>Path 4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Paths!$J$33:$AD$33</c:f>
              <c:numCache>
                <c:formatCode>General</c:formatCode>
                <c:ptCount val="21"/>
                <c:pt idx="0">
                  <c:v>19.241</c:v>
                </c:pt>
                <c:pt idx="1">
                  <c:v>2.618931775549509</c:v>
                </c:pt>
                <c:pt idx="11">
                  <c:v>13.71830322998872</c:v>
                </c:pt>
                <c:pt idx="12">
                  <c:v>12.633287169475594</c:v>
                </c:pt>
                <c:pt idx="13">
                  <c:v>14.396094650685011</c:v>
                </c:pt>
                <c:pt idx="20">
                  <c:v>20.254144093693029</c:v>
                </c:pt>
              </c:numCache>
            </c:numRef>
          </c:val>
        </c:ser>
        <c:ser>
          <c:idx val="4"/>
          <c:order val="4"/>
          <c:tx>
            <c:v>Path 5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Paths!$J$34:$AD$34</c:f>
              <c:numCache>
                <c:formatCode>General</c:formatCode>
                <c:ptCount val="21"/>
                <c:pt idx="0">
                  <c:v>19.241</c:v>
                </c:pt>
                <c:pt idx="1">
                  <c:v>2.8179437333340331</c:v>
                </c:pt>
                <c:pt idx="11">
                  <c:v>13.303464141638612</c:v>
                </c:pt>
                <c:pt idx="12">
                  <c:v>12.507115819640479</c:v>
                </c:pt>
                <c:pt idx="13">
                  <c:v>14.86400307626538</c:v>
                </c:pt>
                <c:pt idx="20">
                  <c:v>20.895299038798804</c:v>
                </c:pt>
              </c:numCache>
            </c:numRef>
          </c:val>
        </c:ser>
        <c:ser>
          <c:idx val="5"/>
          <c:order val="5"/>
          <c:tx>
            <c:v>Path 6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Paths!$J$35:$AD$35</c:f>
              <c:numCache>
                <c:formatCode>General</c:formatCode>
                <c:ptCount val="21"/>
                <c:pt idx="0">
                  <c:v>19.241</c:v>
                </c:pt>
                <c:pt idx="1">
                  <c:v>3.6198618193678285</c:v>
                </c:pt>
                <c:pt idx="11">
                  <c:v>12.355290846686774</c:v>
                </c:pt>
                <c:pt idx="12">
                  <c:v>13.110396258251477</c:v>
                </c:pt>
                <c:pt idx="13">
                  <c:v>13.546346959135851</c:v>
                </c:pt>
                <c:pt idx="20">
                  <c:v>21.345605990941568</c:v>
                </c:pt>
              </c:numCache>
            </c:numRef>
          </c:val>
        </c:ser>
        <c:marker val="1"/>
        <c:axId val="264802304"/>
        <c:axId val="264803840"/>
      </c:lineChart>
      <c:catAx>
        <c:axId val="264802304"/>
        <c:scaling>
          <c:orientation val="minMax"/>
        </c:scaling>
        <c:axPos val="b"/>
        <c:numFmt formatCode="General" sourceLinked="1"/>
        <c:tickLblPos val="nextTo"/>
        <c:crossAx val="264803840"/>
        <c:crosses val="autoZero"/>
        <c:auto val="1"/>
        <c:lblAlgn val="ctr"/>
        <c:lblOffset val="100"/>
      </c:catAx>
      <c:valAx>
        <c:axId val="264803840"/>
        <c:scaling>
          <c:orientation val="minMax"/>
          <c:min val="10"/>
        </c:scaling>
        <c:axPos val="l"/>
        <c:majorGridlines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</c:spPr>
        </c:majorGridlines>
        <c:numFmt formatCode="General" sourceLinked="1"/>
        <c:tickLblPos val="nextTo"/>
        <c:crossAx val="264802304"/>
        <c:crosses val="autoZero"/>
        <c:crossBetween val="between"/>
      </c:valAx>
      <c:spPr>
        <a:noFill/>
      </c:spPr>
    </c:plotArea>
    <c:legend>
      <c:legendPos val="r"/>
      <c:layout/>
    </c:legend>
    <c:plotVisOnly val="1"/>
  </c:chart>
  <c:spPr>
    <a:noFill/>
  </c:spPr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lineChart>
        <c:grouping val="standard"/>
        <c:ser>
          <c:idx val="0"/>
          <c:order val="0"/>
          <c:tx>
            <c:v>Path1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Paths!$J$45:$AD$45</c:f>
              <c:numCache>
                <c:formatCode>General</c:formatCode>
                <c:ptCount val="21"/>
                <c:pt idx="0">
                  <c:v>19.241</c:v>
                </c:pt>
                <c:pt idx="1">
                  <c:v>20.252070524712554</c:v>
                </c:pt>
                <c:pt idx="11">
                  <c:v>23.012618950109598</c:v>
                </c:pt>
                <c:pt idx="12">
                  <c:v>24.881909887285733</c:v>
                </c:pt>
                <c:pt idx="13">
                  <c:v>25.031290318390177</c:v>
                </c:pt>
                <c:pt idx="20">
                  <c:v>27.352589413266351</c:v>
                </c:pt>
              </c:numCache>
            </c:numRef>
          </c:val>
        </c:ser>
        <c:ser>
          <c:idx val="1"/>
          <c:order val="1"/>
          <c:tx>
            <c:v>Path 2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Paths!$J$46:$AD$46</c:f>
              <c:numCache>
                <c:formatCode>General</c:formatCode>
                <c:ptCount val="21"/>
                <c:pt idx="0">
                  <c:v>19.241</c:v>
                </c:pt>
                <c:pt idx="1">
                  <c:v>22.350947521374316</c:v>
                </c:pt>
                <c:pt idx="11">
                  <c:v>21.469987856568416</c:v>
                </c:pt>
                <c:pt idx="12">
                  <c:v>24.785879783643267</c:v>
                </c:pt>
                <c:pt idx="13">
                  <c:v>26.376346266470762</c:v>
                </c:pt>
                <c:pt idx="20">
                  <c:v>26.926196921798642</c:v>
                </c:pt>
              </c:numCache>
            </c:numRef>
          </c:val>
        </c:ser>
        <c:ser>
          <c:idx val="2"/>
          <c:order val="2"/>
          <c:tx>
            <c:v>Path 3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Paths!$J$47:$AD$47</c:f>
              <c:numCache>
                <c:formatCode>General</c:formatCode>
                <c:ptCount val="21"/>
                <c:pt idx="0">
                  <c:v>19.241</c:v>
                </c:pt>
                <c:pt idx="1">
                  <c:v>20.915227739673472</c:v>
                </c:pt>
                <c:pt idx="11">
                  <c:v>23.188713559546933</c:v>
                </c:pt>
                <c:pt idx="12">
                  <c:v>24.660591062744576</c:v>
                </c:pt>
                <c:pt idx="13">
                  <c:v>26.244920135383389</c:v>
                </c:pt>
                <c:pt idx="20">
                  <c:v>26.16090709756357</c:v>
                </c:pt>
              </c:numCache>
            </c:numRef>
          </c:val>
        </c:ser>
        <c:ser>
          <c:idx val="3"/>
          <c:order val="3"/>
          <c:tx>
            <c:v>Path 4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Paths!$J$48:$AD$48</c:f>
              <c:numCache>
                <c:formatCode>General</c:formatCode>
                <c:ptCount val="21"/>
                <c:pt idx="0">
                  <c:v>19.241</c:v>
                </c:pt>
                <c:pt idx="1">
                  <c:v>20.226829760008378</c:v>
                </c:pt>
                <c:pt idx="11">
                  <c:v>21.7154460330147</c:v>
                </c:pt>
                <c:pt idx="12">
                  <c:v>25.551759870743549</c:v>
                </c:pt>
                <c:pt idx="13">
                  <c:v>27.270645208645451</c:v>
                </c:pt>
                <c:pt idx="20">
                  <c:v>25.189005040119664</c:v>
                </c:pt>
              </c:numCache>
            </c:numRef>
          </c:val>
        </c:ser>
        <c:ser>
          <c:idx val="4"/>
          <c:order val="4"/>
          <c:tx>
            <c:v>Path 5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Paths!$J$49:$AD$49</c:f>
              <c:numCache>
                <c:formatCode>General</c:formatCode>
                <c:ptCount val="21"/>
                <c:pt idx="0">
                  <c:v>19.241</c:v>
                </c:pt>
                <c:pt idx="1">
                  <c:v>20.663537392453037</c:v>
                </c:pt>
                <c:pt idx="11">
                  <c:v>22.616800986008467</c:v>
                </c:pt>
                <c:pt idx="12">
                  <c:v>23.394220299091192</c:v>
                </c:pt>
                <c:pt idx="13">
                  <c:v>25.835338802286966</c:v>
                </c:pt>
                <c:pt idx="20">
                  <c:v>26.36723636412647</c:v>
                </c:pt>
              </c:numCache>
            </c:numRef>
          </c:val>
        </c:ser>
        <c:ser>
          <c:idx val="5"/>
          <c:order val="5"/>
          <c:tx>
            <c:v>Path 6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Paths!$J$50:$AD$50</c:f>
              <c:numCache>
                <c:formatCode>General</c:formatCode>
                <c:ptCount val="21"/>
                <c:pt idx="0">
                  <c:v>19.241</c:v>
                </c:pt>
                <c:pt idx="1">
                  <c:v>21.643384918215474</c:v>
                </c:pt>
                <c:pt idx="11">
                  <c:v>22.115485404443056</c:v>
                </c:pt>
                <c:pt idx="12">
                  <c:v>23.519610010761792</c:v>
                </c:pt>
                <c:pt idx="13">
                  <c:v>26.388686451203078</c:v>
                </c:pt>
                <c:pt idx="20">
                  <c:v>27.179165197011041</c:v>
                </c:pt>
              </c:numCache>
            </c:numRef>
          </c:val>
        </c:ser>
        <c:marker val="1"/>
        <c:axId val="265905280"/>
        <c:axId val="265906816"/>
      </c:lineChart>
      <c:catAx>
        <c:axId val="265905280"/>
        <c:scaling>
          <c:orientation val="minMax"/>
        </c:scaling>
        <c:axPos val="b"/>
        <c:numFmt formatCode="General" sourceLinked="1"/>
        <c:tickLblPos val="nextTo"/>
        <c:crossAx val="265906816"/>
        <c:crosses val="autoZero"/>
        <c:auto val="1"/>
        <c:lblAlgn val="ctr"/>
        <c:lblOffset val="100"/>
      </c:catAx>
      <c:valAx>
        <c:axId val="265906816"/>
        <c:scaling>
          <c:orientation val="minMax"/>
          <c:min val="10"/>
        </c:scaling>
        <c:axPos val="l"/>
        <c:majorGridlines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</c:spPr>
        </c:majorGridlines>
        <c:numFmt formatCode="General" sourceLinked="1"/>
        <c:tickLblPos val="nextTo"/>
        <c:crossAx val="265905280"/>
        <c:crosses val="autoZero"/>
        <c:crossBetween val="between"/>
      </c:valAx>
      <c:spPr>
        <a:noFill/>
      </c:spPr>
    </c:plotArea>
    <c:legend>
      <c:legendPos val="r"/>
    </c:legend>
    <c:plotVisOnly val="1"/>
  </c:chart>
  <c:spPr>
    <a:noFill/>
  </c:spPr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lineChart>
        <c:grouping val="standard"/>
        <c:ser>
          <c:idx val="0"/>
          <c:order val="0"/>
          <c:tx>
            <c:v>Path1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Paths!$J$63:$AD$63</c:f>
              <c:numCache>
                <c:formatCode>General</c:formatCode>
                <c:ptCount val="21"/>
                <c:pt idx="0">
                  <c:v>19.241</c:v>
                </c:pt>
                <c:pt idx="1">
                  <c:v>20.466684654727015</c:v>
                </c:pt>
                <c:pt idx="11">
                  <c:v>23.273261310431071</c:v>
                </c:pt>
                <c:pt idx="12">
                  <c:v>25.157684194608748</c:v>
                </c:pt>
                <c:pt idx="13">
                  <c:v>25.293982959466888</c:v>
                </c:pt>
                <c:pt idx="20">
                  <c:v>27.700547501649112</c:v>
                </c:pt>
              </c:numCache>
            </c:numRef>
          </c:val>
        </c:ser>
        <c:ser>
          <c:idx val="1"/>
          <c:order val="1"/>
          <c:tx>
            <c:v>Path 2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Paths!$J$64:$AD$64</c:f>
              <c:numCache>
                <c:formatCode>General</c:formatCode>
                <c:ptCount val="21"/>
                <c:pt idx="0">
                  <c:v>19.241</c:v>
                </c:pt>
                <c:pt idx="1">
                  <c:v>22.553289315870572</c:v>
                </c:pt>
                <c:pt idx="11">
                  <c:v>21.777542565823754</c:v>
                </c:pt>
                <c:pt idx="12">
                  <c:v>25.154946786639059</c:v>
                </c:pt>
                <c:pt idx="13">
                  <c:v>26.664432936322765</c:v>
                </c:pt>
                <c:pt idx="20">
                  <c:v>27.285913976094477</c:v>
                </c:pt>
              </c:numCache>
            </c:numRef>
          </c:val>
        </c:ser>
        <c:ser>
          <c:idx val="2"/>
          <c:order val="2"/>
          <c:tx>
            <c:v>Path 3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Paths!$J$65:$AD$65</c:f>
              <c:numCache>
                <c:formatCode>General</c:formatCode>
                <c:ptCount val="21"/>
                <c:pt idx="0">
                  <c:v>19.241</c:v>
                </c:pt>
                <c:pt idx="1">
                  <c:v>21.097679270471559</c:v>
                </c:pt>
                <c:pt idx="11">
                  <c:v>23.370884426333252</c:v>
                </c:pt>
                <c:pt idx="12">
                  <c:v>24.934004688699012</c:v>
                </c:pt>
                <c:pt idx="13">
                  <c:v>26.519429692648167</c:v>
                </c:pt>
                <c:pt idx="20">
                  <c:v>26.407084680472252</c:v>
                </c:pt>
              </c:numCache>
            </c:numRef>
          </c:val>
        </c:ser>
        <c:ser>
          <c:idx val="3"/>
          <c:order val="3"/>
          <c:tx>
            <c:v>Path 4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Paths!$J$66:$AD$66</c:f>
              <c:numCache>
                <c:formatCode>General</c:formatCode>
                <c:ptCount val="21"/>
                <c:pt idx="0">
                  <c:v>19.241</c:v>
                </c:pt>
                <c:pt idx="1">
                  <c:v>20.461229516843144</c:v>
                </c:pt>
                <c:pt idx="11">
                  <c:v>22.184088709290251</c:v>
                </c:pt>
                <c:pt idx="12">
                  <c:v>25.912504040552466</c:v>
                </c:pt>
                <c:pt idx="13">
                  <c:v>27.77431168941331</c:v>
                </c:pt>
                <c:pt idx="20">
                  <c:v>25.652199295382985</c:v>
                </c:pt>
              </c:numCache>
            </c:numRef>
          </c:val>
        </c:ser>
        <c:ser>
          <c:idx val="4"/>
          <c:order val="4"/>
          <c:tx>
            <c:v>Path 5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Paths!$J$67:$AD$67</c:f>
              <c:numCache>
                <c:formatCode>General</c:formatCode>
                <c:ptCount val="21"/>
                <c:pt idx="0">
                  <c:v>19.241</c:v>
                </c:pt>
                <c:pt idx="1">
                  <c:v>20.854965687931042</c:v>
                </c:pt>
                <c:pt idx="11">
                  <c:v>22.962718813214664</c:v>
                </c:pt>
                <c:pt idx="12">
                  <c:v>23.617749272032221</c:v>
                </c:pt>
                <c:pt idx="13">
                  <c:v>26.215914602191155</c:v>
                </c:pt>
                <c:pt idx="20">
                  <c:v>26.671920635066325</c:v>
                </c:pt>
              </c:numCache>
            </c:numRef>
          </c:val>
        </c:ser>
        <c:ser>
          <c:idx val="5"/>
          <c:order val="5"/>
          <c:tx>
            <c:v>Path 6</c:v>
          </c:tx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Paths!$J$68:$AD$68</c:f>
              <c:numCache>
                <c:formatCode>General</c:formatCode>
                <c:ptCount val="21"/>
                <c:pt idx="0">
                  <c:v>19.241</c:v>
                </c:pt>
                <c:pt idx="1">
                  <c:v>21.794770417407996</c:v>
                </c:pt>
                <c:pt idx="11">
                  <c:v>22.582334687853951</c:v>
                </c:pt>
                <c:pt idx="12">
                  <c:v>23.881582253745837</c:v>
                </c:pt>
                <c:pt idx="13">
                  <c:v>26.654805293337077</c:v>
                </c:pt>
                <c:pt idx="20">
                  <c:v>27.431730536700261</c:v>
                </c:pt>
              </c:numCache>
            </c:numRef>
          </c:val>
        </c:ser>
        <c:marker val="1"/>
        <c:axId val="265553408"/>
        <c:axId val="265554944"/>
      </c:lineChart>
      <c:catAx>
        <c:axId val="265553408"/>
        <c:scaling>
          <c:orientation val="minMax"/>
        </c:scaling>
        <c:axPos val="b"/>
        <c:numFmt formatCode="General" sourceLinked="1"/>
        <c:tickLblPos val="nextTo"/>
        <c:crossAx val="265554944"/>
        <c:crosses val="autoZero"/>
        <c:auto val="1"/>
        <c:lblAlgn val="ctr"/>
        <c:lblOffset val="100"/>
      </c:catAx>
      <c:valAx>
        <c:axId val="265554944"/>
        <c:scaling>
          <c:orientation val="minMax"/>
          <c:min val="10"/>
        </c:scaling>
        <c:axPos val="l"/>
        <c:majorGridlines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</c:spPr>
        </c:majorGridlines>
        <c:numFmt formatCode="General" sourceLinked="1"/>
        <c:tickLblPos val="nextTo"/>
        <c:crossAx val="265553408"/>
        <c:crosses val="autoZero"/>
        <c:crossBetween val="between"/>
      </c:valAx>
      <c:spPr>
        <a:noFill/>
      </c:spPr>
    </c:plotArea>
    <c:legend>
      <c:legendPos val="r"/>
    </c:legend>
    <c:plotVisOnly val="1"/>
  </c:chart>
  <c:spPr>
    <a:noFill/>
  </c:spPr>
  <c:printSettings>
    <c:headerFooter/>
    <c:pageMargins b="0.75000000000000777" l="0.70000000000000062" r="0.70000000000000062" t="0.75000000000000777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3533552055993001"/>
          <c:y val="0.11597987751531058"/>
          <c:w val="0.67380096237970566"/>
          <c:h val="0.83724919801691455"/>
        </c:manualLayout>
      </c:layout>
      <c:barChart>
        <c:barDir val="col"/>
        <c:grouping val="clustered"/>
        <c:ser>
          <c:idx val="1"/>
          <c:order val="1"/>
          <c:tx>
            <c:strRef>
              <c:f>Policies!$E$18</c:f>
              <c:strCache>
                <c:ptCount val="1"/>
                <c:pt idx="0">
                  <c:v>Repo Policy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dLbls>
            <c:showVal val="1"/>
          </c:dLbls>
          <c:val>
            <c:numRef>
              <c:f>Policies!$F$20:$F$22</c:f>
              <c:numCache>
                <c:formatCode>0.0%</c:formatCode>
                <c:ptCount val="3"/>
                <c:pt idx="0">
                  <c:v>0.8306979573272425</c:v>
                </c:pt>
                <c:pt idx="1">
                  <c:v>0.99846033804960832</c:v>
                </c:pt>
                <c:pt idx="2">
                  <c:v>0.69388039519832967</c:v>
                </c:pt>
              </c:numCache>
            </c:numRef>
          </c:val>
        </c:ser>
        <c:axId val="265846784"/>
        <c:axId val="265844992"/>
      </c:barChart>
      <c:lineChart>
        <c:grouping val="standard"/>
        <c:ser>
          <c:idx val="0"/>
          <c:order val="0"/>
          <c:tx>
            <c:strRef>
              <c:f>Policies!$H$18</c:f>
              <c:strCache>
                <c:ptCount val="1"/>
                <c:pt idx="0">
                  <c:v>Repo Total</c:v>
                </c:pt>
              </c:strCache>
            </c:strRef>
          </c:tx>
          <c:marker>
            <c:symbol val="none"/>
          </c:marker>
          <c:dLbls>
            <c:showVal val="1"/>
          </c:dLbls>
          <c:cat>
            <c:strRef>
              <c:f>Policies!$E$20:$E$22</c:f>
              <c:strCache>
                <c:ptCount val="3"/>
                <c:pt idx="0">
                  <c:v>% of EBTIDA</c:v>
                </c:pt>
                <c:pt idx="1">
                  <c:v>Multiple Fall</c:v>
                </c:pt>
                <c:pt idx="2">
                  <c:v>Price Falls</c:v>
                </c:pt>
              </c:strCache>
            </c:strRef>
          </c:cat>
          <c:val>
            <c:numRef>
              <c:f>Policies!$I$20:$I$22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265837568"/>
        <c:axId val="265843456"/>
      </c:lineChart>
      <c:catAx>
        <c:axId val="265837568"/>
        <c:scaling>
          <c:orientation val="minMax"/>
        </c:scaling>
        <c:axPos val="b"/>
        <c:minorTickMark val="in"/>
        <c:tickLblPos val="high"/>
        <c:crossAx val="265843456"/>
        <c:crosses val="autoZero"/>
        <c:auto val="1"/>
        <c:lblAlgn val="ctr"/>
        <c:lblOffset val="100"/>
      </c:catAx>
      <c:valAx>
        <c:axId val="265843456"/>
        <c:scaling>
          <c:orientation val="minMax"/>
        </c:scaling>
        <c:axPos val="l"/>
        <c:numFmt formatCode="0.00" sourceLinked="1"/>
        <c:tickLblPos val="nextTo"/>
        <c:crossAx val="265837568"/>
        <c:crosses val="autoZero"/>
        <c:crossBetween val="between"/>
      </c:valAx>
      <c:valAx>
        <c:axId val="265844992"/>
        <c:scaling>
          <c:orientation val="minMax"/>
        </c:scaling>
        <c:axPos val="r"/>
        <c:numFmt formatCode="0.0%" sourceLinked="1"/>
        <c:tickLblPos val="nextTo"/>
        <c:crossAx val="265846784"/>
        <c:crosses val="max"/>
        <c:crossBetween val="between"/>
      </c:valAx>
      <c:catAx>
        <c:axId val="265846784"/>
        <c:scaling>
          <c:orientation val="minMax"/>
        </c:scaling>
        <c:delete val="1"/>
        <c:axPos val="b"/>
        <c:tickLblPos val="none"/>
        <c:crossAx val="265844992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0.13061111111111109"/>
          <c:y val="0.12461614173228398"/>
          <c:w val="0.21383333333333387"/>
          <c:h val="0.16743438320210044"/>
        </c:manualLayout>
      </c:layout>
    </c:legend>
    <c:plotVisOnly val="1"/>
    <c:dispBlanksAs val="gap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>
        <c:manualLayout>
          <c:layoutTarget val="inner"/>
          <c:xMode val="edge"/>
          <c:yMode val="edge"/>
          <c:x val="0.1813357392825897"/>
          <c:y val="0.11072664359861635"/>
          <c:w val="0.68475590551181165"/>
          <c:h val="0.7091042512419512"/>
        </c:manualLayout>
      </c:layout>
      <c:barChart>
        <c:barDir val="bar"/>
        <c:grouping val="clustered"/>
        <c:ser>
          <c:idx val="0"/>
          <c:order val="0"/>
          <c:tx>
            <c:strRef>
              <c:f>Policies!$F$25</c:f>
              <c:strCache>
                <c:ptCount val="1"/>
                <c:pt idx="0">
                  <c:v>Function of sales growth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dLbls>
            <c:showVal val="1"/>
          </c:dLbls>
          <c:cat>
            <c:strRef>
              <c:f>Policies!$E$26:$E$28</c:f>
              <c:strCache>
                <c:ptCount val="3"/>
                <c:pt idx="0">
                  <c:v>% of EBTIDA</c:v>
                </c:pt>
                <c:pt idx="1">
                  <c:v>Multiple Fall</c:v>
                </c:pt>
                <c:pt idx="2">
                  <c:v>Price Falls</c:v>
                </c:pt>
              </c:strCache>
            </c:strRef>
          </c:cat>
          <c:val>
            <c:numRef>
              <c:f>Policies!$F$26:$F$28</c:f>
              <c:numCache>
                <c:formatCode>0.0%</c:formatCode>
                <c:ptCount val="3"/>
                <c:pt idx="0">
                  <c:v>0.74058039819567778</c:v>
                </c:pt>
                <c:pt idx="1">
                  <c:v>0.89047832493163026</c:v>
                </c:pt>
                <c:pt idx="2">
                  <c:v>0.83799654075226782</c:v>
                </c:pt>
              </c:numCache>
            </c:numRef>
          </c:val>
        </c:ser>
        <c:ser>
          <c:idx val="1"/>
          <c:order val="1"/>
          <c:tx>
            <c:strRef>
              <c:f>Policies!$G$25</c:f>
              <c:strCache>
                <c:ptCount val="1"/>
                <c:pt idx="0">
                  <c:v>Jumps Diffusion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</c:spPr>
          <c:dLbls>
            <c:showVal val="1"/>
          </c:dLbls>
          <c:cat>
            <c:strRef>
              <c:f>Policies!$E$26:$E$28</c:f>
              <c:strCache>
                <c:ptCount val="3"/>
                <c:pt idx="0">
                  <c:v>% of EBTIDA</c:v>
                </c:pt>
                <c:pt idx="1">
                  <c:v>Multiple Fall</c:v>
                </c:pt>
                <c:pt idx="2">
                  <c:v>Price Falls</c:v>
                </c:pt>
              </c:strCache>
            </c:strRef>
          </c:cat>
          <c:val>
            <c:numRef>
              <c:f>Policies!$G$26:$G$28</c:f>
              <c:numCache>
                <c:formatCode>0.0%</c:formatCode>
                <c:ptCount val="3"/>
                <c:pt idx="0">
                  <c:v>1.0221129533843809</c:v>
                </c:pt>
                <c:pt idx="1">
                  <c:v>0.66265690109039688</c:v>
                </c:pt>
                <c:pt idx="2">
                  <c:v>0.82654702261924284</c:v>
                </c:pt>
              </c:numCache>
            </c:numRef>
          </c:val>
        </c:ser>
        <c:axId val="266019584"/>
        <c:axId val="266021120"/>
      </c:barChart>
      <c:catAx>
        <c:axId val="266019584"/>
        <c:scaling>
          <c:orientation val="minMax"/>
        </c:scaling>
        <c:axPos val="l"/>
        <c:tickLblPos val="nextTo"/>
        <c:crossAx val="266021120"/>
        <c:crosses val="autoZero"/>
        <c:auto val="1"/>
        <c:lblAlgn val="ctr"/>
        <c:lblOffset val="100"/>
      </c:catAx>
      <c:valAx>
        <c:axId val="266021120"/>
        <c:scaling>
          <c:orientation val="minMax"/>
        </c:scaling>
        <c:axPos val="b"/>
        <c:numFmt formatCode="0.0%" sourceLinked="1"/>
        <c:tickLblPos val="nextTo"/>
        <c:crossAx val="266019584"/>
        <c:crosses val="autoZero"/>
        <c:crossBetween val="between"/>
      </c:valAx>
    </c:plotArea>
    <c:legend>
      <c:legendPos val="t"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style val="34"/>
  <c:chart>
    <c:title>
      <c:tx>
        <c:rich>
          <a:bodyPr/>
          <a:lstStyle/>
          <a:p>
            <a:pPr>
              <a:defRPr/>
            </a:pPr>
            <a:r>
              <a:rPr lang="en-CA"/>
              <a:t>Jump</a:t>
            </a:r>
            <a:r>
              <a:rPr lang="en-CA" baseline="0"/>
              <a:t> Diffusion</a:t>
            </a:r>
            <a:endParaRPr lang="en-CA"/>
          </a:p>
        </c:rich>
      </c:tx>
      <c:layout>
        <c:manualLayout>
          <c:xMode val="edge"/>
          <c:yMode val="edge"/>
          <c:x val="0.40345885634588974"/>
          <c:y val="2.6468155500413652E-2"/>
        </c:manualLayout>
      </c:layout>
    </c:title>
    <c:plotArea>
      <c:layout>
        <c:manualLayout>
          <c:layoutTarget val="inner"/>
          <c:xMode val="edge"/>
          <c:yMode val="edge"/>
          <c:x val="8.1627908409711528E-2"/>
          <c:y val="4.3891839101507693E-2"/>
          <c:w val="0.88526448404507152"/>
          <c:h val="0.7498651040712937"/>
        </c:manualLayout>
      </c:layout>
      <c:lineChart>
        <c:grouping val="standard"/>
        <c:ser>
          <c:idx val="0"/>
          <c:order val="0"/>
          <c:marker>
            <c:symbol val="none"/>
          </c:marker>
          <c:cat>
            <c:numRef>
              <c:f>Jumps!$A$15:$A$34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Jumps!$J$15:$J$34</c:f>
              <c:numCache>
                <c:formatCode>0.00</c:formatCode>
                <c:ptCount val="20"/>
                <c:pt idx="0">
                  <c:v>33.030863271156974</c:v>
                </c:pt>
                <c:pt idx="1">
                  <c:v>36.439558656059866</c:v>
                </c:pt>
                <c:pt idx="2">
                  <c:v>37.941200611326849</c:v>
                </c:pt>
                <c:pt idx="3">
                  <c:v>36.255142222929663</c:v>
                </c:pt>
                <c:pt idx="4">
                  <c:v>38.226874418570645</c:v>
                </c:pt>
                <c:pt idx="5">
                  <c:v>34.578750710675052</c:v>
                </c:pt>
                <c:pt idx="6">
                  <c:v>31.506306742475815</c:v>
                </c:pt>
                <c:pt idx="7">
                  <c:v>34.024530471407608</c:v>
                </c:pt>
                <c:pt idx="8">
                  <c:v>39.47827325527723</c:v>
                </c:pt>
                <c:pt idx="9">
                  <c:v>37.338639787346231</c:v>
                </c:pt>
                <c:pt idx="10">
                  <c:v>32.550914527045279</c:v>
                </c:pt>
                <c:pt idx="11">
                  <c:v>33.511373503224597</c:v>
                </c:pt>
                <c:pt idx="12">
                  <c:v>41.257193868880286</c:v>
                </c:pt>
                <c:pt idx="13">
                  <c:v>34.939213932083369</c:v>
                </c:pt>
                <c:pt idx="14">
                  <c:v>39.37360711296656</c:v>
                </c:pt>
                <c:pt idx="15">
                  <c:v>37.172931924698155</c:v>
                </c:pt>
                <c:pt idx="16">
                  <c:v>34.089962747209732</c:v>
                </c:pt>
                <c:pt idx="17">
                  <c:v>36.287773264564684</c:v>
                </c:pt>
                <c:pt idx="18">
                  <c:v>31.398901098103444</c:v>
                </c:pt>
                <c:pt idx="19">
                  <c:v>30.658374692092426</c:v>
                </c:pt>
              </c:numCache>
            </c:numRef>
          </c:val>
        </c:ser>
        <c:marker val="1"/>
        <c:axId val="266758016"/>
        <c:axId val="266080256"/>
      </c:lineChart>
      <c:catAx>
        <c:axId val="2667580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Time</a:t>
                </a:r>
                <a:r>
                  <a:rPr lang="en-CA" baseline="0"/>
                  <a:t> Period</a:t>
                </a:r>
                <a:endParaRPr lang="en-CA"/>
              </a:p>
            </c:rich>
          </c:tx>
          <c:layout/>
        </c:title>
        <c:numFmt formatCode="General" sourceLinked="1"/>
        <c:majorTickMark val="none"/>
        <c:tickLblPos val="nextTo"/>
        <c:crossAx val="266080256"/>
        <c:crosses val="autoZero"/>
        <c:auto val="1"/>
        <c:lblAlgn val="ctr"/>
        <c:lblOffset val="100"/>
      </c:catAx>
      <c:valAx>
        <c:axId val="2660802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Price</a:t>
                </a:r>
              </a:p>
            </c:rich>
          </c:tx>
          <c:layout/>
        </c:title>
        <c:numFmt formatCode="0" sourceLinked="0"/>
        <c:majorTickMark val="none"/>
        <c:tickLblPos val="nextTo"/>
        <c:crossAx val="266758016"/>
        <c:crosses val="autoZero"/>
        <c:crossBetween val="between"/>
        <c:majorUnit val="1"/>
        <c:minorUnit val="0.1"/>
      </c:valAx>
    </c:plotArea>
    <c:plotVisOnly val="1"/>
    <c:dispBlanksAs val="gap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strRef>
          <c:f>Jumps!$BF$3</c:f>
          <c:strCache>
            <c:ptCount val="1"/>
            <c:pt idx="0">
              <c:v>Projected Multiple for EZCH</c:v>
            </c:pt>
          </c:strCache>
        </c:strRef>
      </c:tx>
      <c:overlay val="1"/>
      <c:txPr>
        <a:bodyPr/>
        <a:lstStyle/>
        <a:p>
          <a:pPr>
            <a:defRPr b="0"/>
          </a:pPr>
          <a:endParaRPr lang="en-US"/>
        </a:p>
      </c:txPr>
    </c:title>
    <c:plotArea>
      <c:layout/>
      <c:lineChart>
        <c:grouping val="standard"/>
        <c:ser>
          <c:idx val="0"/>
          <c:order val="0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Jumps!$BH$14:$BH$34</c:f>
              <c:numCache>
                <c:formatCode>0.00</c:formatCode>
                <c:ptCount val="21"/>
                <c:pt idx="0">
                  <c:v>15.90823</c:v>
                </c:pt>
                <c:pt idx="1">
                  <c:v>27.957292631209928</c:v>
                </c:pt>
                <c:pt idx="2">
                  <c:v>30.842918897718505</c:v>
                </c:pt>
                <c:pt idx="3">
                  <c:v>21.608506361765336</c:v>
                </c:pt>
                <c:pt idx="4">
                  <c:v>30.952869531037621</c:v>
                </c:pt>
                <c:pt idx="5">
                  <c:v>26.656074473804928</c:v>
                </c:pt>
                <c:pt idx="6">
                  <c:v>25.866111796124059</c:v>
                </c:pt>
                <c:pt idx="7">
                  <c:v>29.781148280884899</c:v>
                </c:pt>
                <c:pt idx="8">
                  <c:v>5.1126343179585154</c:v>
                </c:pt>
                <c:pt idx="9">
                  <c:v>35.198079671695474</c:v>
                </c:pt>
                <c:pt idx="10">
                  <c:v>36.939381366765353</c:v>
                </c:pt>
                <c:pt idx="11">
                  <c:v>36.378357268621194</c:v>
                </c:pt>
                <c:pt idx="12">
                  <c:v>8.6298358783735214</c:v>
                </c:pt>
                <c:pt idx="13">
                  <c:v>39.104547649629723</c:v>
                </c:pt>
                <c:pt idx="14">
                  <c:v>45.783818090902393</c:v>
                </c:pt>
                <c:pt idx="15">
                  <c:v>58.392340177958346</c:v>
                </c:pt>
                <c:pt idx="16">
                  <c:v>46.409472977853056</c:v>
                </c:pt>
                <c:pt idx="17">
                  <c:v>56.606347066643089</c:v>
                </c:pt>
                <c:pt idx="18">
                  <c:v>44.696493601970673</c:v>
                </c:pt>
                <c:pt idx="19">
                  <c:v>22.15269034113064</c:v>
                </c:pt>
                <c:pt idx="20">
                  <c:v>33.225134680838039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Jumps!$BC$14:$BC$34</c:f>
              <c:numCache>
                <c:formatCode>0.00</c:formatCode>
                <c:ptCount val="21"/>
                <c:pt idx="0">
                  <c:v>15.90823</c:v>
                </c:pt>
                <c:pt idx="1">
                  <c:v>22.275649624981789</c:v>
                </c:pt>
                <c:pt idx="2">
                  <c:v>43.212244218668545</c:v>
                </c:pt>
                <c:pt idx="3">
                  <c:v>41.008619381003875</c:v>
                </c:pt>
                <c:pt idx="4">
                  <c:v>46.509329072872504</c:v>
                </c:pt>
                <c:pt idx="5">
                  <c:v>42.731426450458301</c:v>
                </c:pt>
                <c:pt idx="6">
                  <c:v>26.116211920910388</c:v>
                </c:pt>
                <c:pt idx="7">
                  <c:v>25.044005807658905</c:v>
                </c:pt>
                <c:pt idx="8">
                  <c:v>51.734352454067704</c:v>
                </c:pt>
                <c:pt idx="9">
                  <c:v>48.574750919249915</c:v>
                </c:pt>
                <c:pt idx="10">
                  <c:v>46.776554318051929</c:v>
                </c:pt>
                <c:pt idx="11">
                  <c:v>32.278193882398512</c:v>
                </c:pt>
                <c:pt idx="12">
                  <c:v>30.389365474347542</c:v>
                </c:pt>
                <c:pt idx="13">
                  <c:v>62.79734759727161</c:v>
                </c:pt>
                <c:pt idx="14">
                  <c:v>40.941405046922242</c:v>
                </c:pt>
                <c:pt idx="15">
                  <c:v>33.443627810218047</c:v>
                </c:pt>
                <c:pt idx="16">
                  <c:v>35.301655350541644</c:v>
                </c:pt>
                <c:pt idx="17">
                  <c:v>30.791461465422081</c:v>
                </c:pt>
                <c:pt idx="18">
                  <c:v>37.602630299724915</c:v>
                </c:pt>
                <c:pt idx="19">
                  <c:v>19.850401117760754</c:v>
                </c:pt>
                <c:pt idx="20">
                  <c:v>26.127850709606996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Jumps!$AX$14:$AX$34</c:f>
              <c:numCache>
                <c:formatCode>0.00</c:formatCode>
                <c:ptCount val="21"/>
                <c:pt idx="0">
                  <c:v>15.90823</c:v>
                </c:pt>
                <c:pt idx="1">
                  <c:v>24.529150661996216</c:v>
                </c:pt>
                <c:pt idx="2">
                  <c:v>35.800550652267127</c:v>
                </c:pt>
                <c:pt idx="3">
                  <c:v>27.397118821155821</c:v>
                </c:pt>
                <c:pt idx="4">
                  <c:v>15.93379687507155</c:v>
                </c:pt>
                <c:pt idx="5">
                  <c:v>24.241050301370947</c:v>
                </c:pt>
                <c:pt idx="6">
                  <c:v>43.812216993310933</c:v>
                </c:pt>
                <c:pt idx="7">
                  <c:v>39.46992583660257</c:v>
                </c:pt>
                <c:pt idx="8">
                  <c:v>45.300672749375323</c:v>
                </c:pt>
                <c:pt idx="9">
                  <c:v>41.000811775818249</c:v>
                </c:pt>
                <c:pt idx="10">
                  <c:v>48.205415067039318</c:v>
                </c:pt>
                <c:pt idx="11">
                  <c:v>36.561253492411012</c:v>
                </c:pt>
                <c:pt idx="12">
                  <c:v>39.99759193316001</c:v>
                </c:pt>
                <c:pt idx="13">
                  <c:v>35.900764017068738</c:v>
                </c:pt>
                <c:pt idx="14">
                  <c:v>29.482935423380745</c:v>
                </c:pt>
                <c:pt idx="15">
                  <c:v>37.254469785413512</c:v>
                </c:pt>
                <c:pt idx="16">
                  <c:v>37.29685176877377</c:v>
                </c:pt>
                <c:pt idx="17">
                  <c:v>19.486646393035052</c:v>
                </c:pt>
                <c:pt idx="18">
                  <c:v>46.469000455126633</c:v>
                </c:pt>
                <c:pt idx="19">
                  <c:v>24.136339156214554</c:v>
                </c:pt>
                <c:pt idx="20">
                  <c:v>21.071056455482683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Jumps!$AS$14:$AS$34</c:f>
              <c:numCache>
                <c:formatCode>0.00</c:formatCode>
                <c:ptCount val="21"/>
                <c:pt idx="0">
                  <c:v>15.90823</c:v>
                </c:pt>
                <c:pt idx="1">
                  <c:v>37.963623530180165</c:v>
                </c:pt>
                <c:pt idx="2">
                  <c:v>31.113575640095195</c:v>
                </c:pt>
                <c:pt idx="3">
                  <c:v>58.199233577906952</c:v>
                </c:pt>
                <c:pt idx="4">
                  <c:v>40.676223685467029</c:v>
                </c:pt>
                <c:pt idx="5">
                  <c:v>45.260451216329642</c:v>
                </c:pt>
                <c:pt idx="6">
                  <c:v>36.451631485012754</c:v>
                </c:pt>
                <c:pt idx="7">
                  <c:v>29.569491264812768</c:v>
                </c:pt>
                <c:pt idx="8">
                  <c:v>21.763012720589323</c:v>
                </c:pt>
                <c:pt idx="9">
                  <c:v>34.898362176063635</c:v>
                </c:pt>
                <c:pt idx="10">
                  <c:v>35.523531352847378</c:v>
                </c:pt>
                <c:pt idx="11">
                  <c:v>29.171647622737261</c:v>
                </c:pt>
                <c:pt idx="12">
                  <c:v>31.156088371335656</c:v>
                </c:pt>
                <c:pt idx="13">
                  <c:v>50.901051373381918</c:v>
                </c:pt>
                <c:pt idx="14">
                  <c:v>27.906127545144521</c:v>
                </c:pt>
                <c:pt idx="15">
                  <c:v>47.448163844771429</c:v>
                </c:pt>
                <c:pt idx="16">
                  <c:v>56.380814680392923</c:v>
                </c:pt>
                <c:pt idx="17">
                  <c:v>28.233647474986469</c:v>
                </c:pt>
                <c:pt idx="18">
                  <c:v>21.657609652677419</c:v>
                </c:pt>
                <c:pt idx="19">
                  <c:v>17.29217379489095</c:v>
                </c:pt>
                <c:pt idx="20">
                  <c:v>26.119492703257897</c:v>
                </c:pt>
              </c:numCache>
            </c:numRef>
          </c:val>
        </c:ser>
        <c:ser>
          <c:idx val="4"/>
          <c:order val="4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Jumps!$AN$14:$AN$34</c:f>
              <c:numCache>
                <c:formatCode>0.00</c:formatCode>
                <c:ptCount val="21"/>
                <c:pt idx="0">
                  <c:v>15.90823</c:v>
                </c:pt>
                <c:pt idx="1">
                  <c:v>27.455946737159469</c:v>
                </c:pt>
                <c:pt idx="2">
                  <c:v>20.627111976306388</c:v>
                </c:pt>
                <c:pt idx="3">
                  <c:v>39.261409153221777</c:v>
                </c:pt>
                <c:pt idx="4">
                  <c:v>36.724685710546126</c:v>
                </c:pt>
                <c:pt idx="5">
                  <c:v>39.256350911884667</c:v>
                </c:pt>
                <c:pt idx="6">
                  <c:v>24.484042852134785</c:v>
                </c:pt>
                <c:pt idx="7">
                  <c:v>38.662658799087346</c:v>
                </c:pt>
                <c:pt idx="8">
                  <c:v>35.645758421312081</c:v>
                </c:pt>
                <c:pt idx="9">
                  <c:v>36.194495093053355</c:v>
                </c:pt>
                <c:pt idx="10">
                  <c:v>48.437090806284502</c:v>
                </c:pt>
                <c:pt idx="11">
                  <c:v>37.651652649590659</c:v>
                </c:pt>
                <c:pt idx="12">
                  <c:v>18.054287170724862</c:v>
                </c:pt>
                <c:pt idx="13">
                  <c:v>34.36156112206713</c:v>
                </c:pt>
                <c:pt idx="14">
                  <c:v>29.286917472718986</c:v>
                </c:pt>
                <c:pt idx="15">
                  <c:v>42.508937978201629</c:v>
                </c:pt>
                <c:pt idx="16">
                  <c:v>21.923635201212498</c:v>
                </c:pt>
                <c:pt idx="17">
                  <c:v>31.698157347759363</c:v>
                </c:pt>
                <c:pt idx="18">
                  <c:v>39.71577930942879</c:v>
                </c:pt>
                <c:pt idx="19">
                  <c:v>40.044720085067929</c:v>
                </c:pt>
                <c:pt idx="20">
                  <c:v>49.953819396044537</c:v>
                </c:pt>
              </c:numCache>
            </c:numRef>
          </c:val>
        </c:ser>
        <c:ser>
          <c:idx val="5"/>
          <c:order val="5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Jumps!$AI$14:$AI$34</c:f>
              <c:numCache>
                <c:formatCode>0.00</c:formatCode>
                <c:ptCount val="21"/>
                <c:pt idx="0">
                  <c:v>15.90823</c:v>
                </c:pt>
                <c:pt idx="1">
                  <c:v>39.822458821135427</c:v>
                </c:pt>
                <c:pt idx="2">
                  <c:v>32.408752414835952</c:v>
                </c:pt>
                <c:pt idx="3">
                  <c:v>31.054774217072584</c:v>
                </c:pt>
                <c:pt idx="4">
                  <c:v>29.845895477053219</c:v>
                </c:pt>
                <c:pt idx="5">
                  <c:v>39.749991955094629</c:v>
                </c:pt>
                <c:pt idx="6">
                  <c:v>27.214497378632558</c:v>
                </c:pt>
                <c:pt idx="7">
                  <c:v>27.361977801373982</c:v>
                </c:pt>
                <c:pt idx="8">
                  <c:v>34.022584887794586</c:v>
                </c:pt>
                <c:pt idx="9">
                  <c:v>26.266790228736934</c:v>
                </c:pt>
                <c:pt idx="10">
                  <c:v>41.435095276246926</c:v>
                </c:pt>
                <c:pt idx="11">
                  <c:v>25.033624367021666</c:v>
                </c:pt>
                <c:pt idx="12">
                  <c:v>41.456923996089913</c:v>
                </c:pt>
                <c:pt idx="13">
                  <c:v>34.136622153790121</c:v>
                </c:pt>
                <c:pt idx="14">
                  <c:v>25.549345860088003</c:v>
                </c:pt>
                <c:pt idx="15">
                  <c:v>23.437106250638223</c:v>
                </c:pt>
                <c:pt idx="16">
                  <c:v>55.995938369817239</c:v>
                </c:pt>
                <c:pt idx="17">
                  <c:v>37.871119323761611</c:v>
                </c:pt>
                <c:pt idx="18">
                  <c:v>47.049014596676166</c:v>
                </c:pt>
                <c:pt idx="19">
                  <c:v>27.699255477639362</c:v>
                </c:pt>
                <c:pt idx="20">
                  <c:v>18.686766370131313</c:v>
                </c:pt>
              </c:numCache>
            </c:numRef>
          </c:val>
        </c:ser>
        <c:ser>
          <c:idx val="6"/>
          <c:order val="6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Jumps!$AD$14:$AD$34</c:f>
              <c:numCache>
                <c:formatCode>0.00</c:formatCode>
                <c:ptCount val="21"/>
                <c:pt idx="0">
                  <c:v>15.90823</c:v>
                </c:pt>
                <c:pt idx="1">
                  <c:v>35.491426223180838</c:v>
                </c:pt>
                <c:pt idx="2">
                  <c:v>40.678291157311691</c:v>
                </c:pt>
                <c:pt idx="3">
                  <c:v>40.24225153251065</c:v>
                </c:pt>
                <c:pt idx="4">
                  <c:v>31.550703276585963</c:v>
                </c:pt>
                <c:pt idx="5">
                  <c:v>28.955515600771047</c:v>
                </c:pt>
                <c:pt idx="6">
                  <c:v>24.956755005464487</c:v>
                </c:pt>
                <c:pt idx="7">
                  <c:v>18.447215195204372</c:v>
                </c:pt>
                <c:pt idx="8">
                  <c:v>38.21975973124367</c:v>
                </c:pt>
                <c:pt idx="9">
                  <c:v>50.839769712639566</c:v>
                </c:pt>
                <c:pt idx="10">
                  <c:v>32.785618088433239</c:v>
                </c:pt>
                <c:pt idx="11">
                  <c:v>19.953665199683289</c:v>
                </c:pt>
                <c:pt idx="12">
                  <c:v>49.746790538250053</c:v>
                </c:pt>
                <c:pt idx="13">
                  <c:v>35.194075636552824</c:v>
                </c:pt>
                <c:pt idx="14">
                  <c:v>41.030842504251495</c:v>
                </c:pt>
                <c:pt idx="15">
                  <c:v>28.291693121506775</c:v>
                </c:pt>
                <c:pt idx="16">
                  <c:v>25.917335098530884</c:v>
                </c:pt>
                <c:pt idx="17">
                  <c:v>24.878977544342618</c:v>
                </c:pt>
                <c:pt idx="18">
                  <c:v>31.822813881075</c:v>
                </c:pt>
                <c:pt idx="19">
                  <c:v>40.592765826216358</c:v>
                </c:pt>
                <c:pt idx="20">
                  <c:v>37.847446473818515</c:v>
                </c:pt>
              </c:numCache>
            </c:numRef>
          </c:val>
        </c:ser>
        <c:ser>
          <c:idx val="7"/>
          <c:order val="7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Jumps!$Y$14:$Y$34</c:f>
              <c:numCache>
                <c:formatCode>0.00</c:formatCode>
                <c:ptCount val="21"/>
                <c:pt idx="0">
                  <c:v>15.90823</c:v>
                </c:pt>
                <c:pt idx="1">
                  <c:v>55.971793014746012</c:v>
                </c:pt>
                <c:pt idx="2">
                  <c:v>38.639895797597319</c:v>
                </c:pt>
                <c:pt idx="3">
                  <c:v>23.202124920782222</c:v>
                </c:pt>
                <c:pt idx="4">
                  <c:v>29.439327606045548</c:v>
                </c:pt>
                <c:pt idx="5">
                  <c:v>59.186704847855822</c:v>
                </c:pt>
                <c:pt idx="6">
                  <c:v>47.007095083725098</c:v>
                </c:pt>
                <c:pt idx="7">
                  <c:v>29.460679272235431</c:v>
                </c:pt>
                <c:pt idx="8">
                  <c:v>28.892417167794065</c:v>
                </c:pt>
                <c:pt idx="9">
                  <c:v>19.682330040079091</c:v>
                </c:pt>
                <c:pt idx="10">
                  <c:v>35.38977316096063</c:v>
                </c:pt>
                <c:pt idx="11">
                  <c:v>40.23384289269962</c:v>
                </c:pt>
                <c:pt idx="12">
                  <c:v>30.596247096310321</c:v>
                </c:pt>
                <c:pt idx="13">
                  <c:v>54.612983549024328</c:v>
                </c:pt>
                <c:pt idx="14">
                  <c:v>37.800599539138616</c:v>
                </c:pt>
                <c:pt idx="15">
                  <c:v>33.332503084592716</c:v>
                </c:pt>
                <c:pt idx="16">
                  <c:v>20.706272058888512</c:v>
                </c:pt>
                <c:pt idx="17">
                  <c:v>26.351671081243214</c:v>
                </c:pt>
                <c:pt idx="18">
                  <c:v>51.728311202854805</c:v>
                </c:pt>
                <c:pt idx="19">
                  <c:v>69.240883995980056</c:v>
                </c:pt>
                <c:pt idx="20">
                  <c:v>36.162966188807154</c:v>
                </c:pt>
              </c:numCache>
            </c:numRef>
          </c:val>
        </c:ser>
        <c:ser>
          <c:idx val="8"/>
          <c:order val="8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Jumps!$T$14:$T$34</c:f>
              <c:numCache>
                <c:formatCode>0.00</c:formatCode>
                <c:ptCount val="21"/>
                <c:pt idx="0">
                  <c:v>15.90823</c:v>
                </c:pt>
                <c:pt idx="1">
                  <c:v>32.808674078714844</c:v>
                </c:pt>
                <c:pt idx="2">
                  <c:v>41.985810309856696</c:v>
                </c:pt>
                <c:pt idx="3">
                  <c:v>57.180398299277755</c:v>
                </c:pt>
                <c:pt idx="4">
                  <c:v>51.351731702039764</c:v>
                </c:pt>
                <c:pt idx="5">
                  <c:v>31.922300454090148</c:v>
                </c:pt>
                <c:pt idx="6">
                  <c:v>32.89689539338918</c:v>
                </c:pt>
                <c:pt idx="7">
                  <c:v>33.950616207030627</c:v>
                </c:pt>
                <c:pt idx="8">
                  <c:v>49.855823558019992</c:v>
                </c:pt>
                <c:pt idx="9">
                  <c:v>57.815256406949374</c:v>
                </c:pt>
                <c:pt idx="10">
                  <c:v>31.22369373218271</c:v>
                </c:pt>
                <c:pt idx="11">
                  <c:v>37.49580183522832</c:v>
                </c:pt>
                <c:pt idx="12">
                  <c:v>47.665337683268071</c:v>
                </c:pt>
                <c:pt idx="13">
                  <c:v>34.81324489655016</c:v>
                </c:pt>
                <c:pt idx="14">
                  <c:v>33.986335107051403</c:v>
                </c:pt>
                <c:pt idx="15">
                  <c:v>26.479868668010877</c:v>
                </c:pt>
                <c:pt idx="16">
                  <c:v>40.152714389843098</c:v>
                </c:pt>
                <c:pt idx="17">
                  <c:v>41.568017986157699</c:v>
                </c:pt>
                <c:pt idx="18">
                  <c:v>29.93235709943675</c:v>
                </c:pt>
                <c:pt idx="19">
                  <c:v>26.179255340208506</c:v>
                </c:pt>
                <c:pt idx="20">
                  <c:v>45.466798274710328</c:v>
                </c:pt>
              </c:numCache>
            </c:numRef>
          </c:val>
        </c:ser>
        <c:ser>
          <c:idx val="9"/>
          <c:order val="9"/>
          <c:marker>
            <c:symbol val="none"/>
          </c:marker>
          <c:cat>
            <c:strRef>
              <c:f>Paths!$J$8:$AD$8</c:f>
              <c:strCache>
                <c:ptCount val="21"/>
                <c:pt idx="0">
                  <c:v>last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strCache>
            </c:strRef>
          </c:cat>
          <c:val>
            <c:numRef>
              <c:f>Jumps!$O$14:$O$34</c:f>
              <c:numCache>
                <c:formatCode>0.00</c:formatCode>
                <c:ptCount val="21"/>
                <c:pt idx="0">
                  <c:v>15.90823</c:v>
                </c:pt>
                <c:pt idx="1">
                  <c:v>42.857200420755824</c:v>
                </c:pt>
                <c:pt idx="2">
                  <c:v>30.853981869688305</c:v>
                </c:pt>
                <c:pt idx="3">
                  <c:v>42.804268821652904</c:v>
                </c:pt>
                <c:pt idx="4">
                  <c:v>43.624418809369445</c:v>
                </c:pt>
                <c:pt idx="5">
                  <c:v>36.918394204564457</c:v>
                </c:pt>
                <c:pt idx="6">
                  <c:v>47.372082983616622</c:v>
                </c:pt>
                <c:pt idx="7">
                  <c:v>25.392151252450134</c:v>
                </c:pt>
                <c:pt idx="8">
                  <c:v>26.329296913589928</c:v>
                </c:pt>
                <c:pt idx="9">
                  <c:v>32.322607706941263</c:v>
                </c:pt>
                <c:pt idx="10">
                  <c:v>26.126136274854666</c:v>
                </c:pt>
                <c:pt idx="11">
                  <c:v>34.21059479958938</c:v>
                </c:pt>
                <c:pt idx="12">
                  <c:v>36.943520704022347</c:v>
                </c:pt>
                <c:pt idx="13">
                  <c:v>28.874692322706281</c:v>
                </c:pt>
                <c:pt idx="14">
                  <c:v>49.631868449007996</c:v>
                </c:pt>
                <c:pt idx="15">
                  <c:v>51.805750699327604</c:v>
                </c:pt>
                <c:pt idx="16">
                  <c:v>28.111870137984269</c:v>
                </c:pt>
                <c:pt idx="17">
                  <c:v>31.689766792120835</c:v>
                </c:pt>
                <c:pt idx="18">
                  <c:v>16.926592167038145</c:v>
                </c:pt>
                <c:pt idx="19">
                  <c:v>26.790104002552656</c:v>
                </c:pt>
                <c:pt idx="20">
                  <c:v>9.5657558137628573</c:v>
                </c:pt>
              </c:numCache>
            </c:numRef>
          </c:val>
        </c:ser>
        <c:marker val="1"/>
        <c:axId val="266567680"/>
        <c:axId val="266569216"/>
      </c:lineChart>
      <c:catAx>
        <c:axId val="266567680"/>
        <c:scaling>
          <c:orientation val="minMax"/>
        </c:scaling>
        <c:axPos val="b"/>
        <c:numFmt formatCode="General" sourceLinked="1"/>
        <c:tickLblPos val="nextTo"/>
        <c:crossAx val="266569216"/>
        <c:crosses val="autoZero"/>
        <c:auto val="1"/>
        <c:lblAlgn val="ctr"/>
        <c:lblOffset val="100"/>
      </c:catAx>
      <c:valAx>
        <c:axId val="266569216"/>
        <c:scaling>
          <c:orientation val="minMax"/>
        </c:scaling>
        <c:axPos val="l"/>
        <c:numFmt formatCode="0.00" sourceLinked="1"/>
        <c:tickLblPos val="nextTo"/>
        <c:crossAx val="266567680"/>
        <c:crosses val="autoZero"/>
        <c:crossBetween val="between"/>
      </c:valAx>
      <c:spPr>
        <a:noFill/>
      </c:spPr>
    </c:plotArea>
    <c:plotVisOnly val="1"/>
  </c:chart>
  <c:spPr>
    <a:noFill/>
  </c:spPr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style val="1"/>
  <c:chart>
    <c:plotArea>
      <c:layout/>
      <c:lineChart>
        <c:grouping val="standard"/>
        <c:ser>
          <c:idx val="0"/>
          <c:order val="0"/>
          <c:tx>
            <c:v>Path 10</c:v>
          </c:tx>
          <c:cat>
            <c:numRef>
              <c:f>Mean_Reversion!$K$15:$K$54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Mean_Reversion!$U$15:$U$54</c:f>
              <c:numCache>
                <c:formatCode>0.0%</c:formatCode>
                <c:ptCount val="40"/>
                <c:pt idx="0">
                  <c:v>0.31792515186834608</c:v>
                </c:pt>
                <c:pt idx="1">
                  <c:v>0.31673560400451262</c:v>
                </c:pt>
                <c:pt idx="2">
                  <c:v>0.2938729960202337</c:v>
                </c:pt>
                <c:pt idx="3">
                  <c:v>0.27772432864309898</c:v>
                </c:pt>
                <c:pt idx="4">
                  <c:v>0.3582400773457397</c:v>
                </c:pt>
                <c:pt idx="5">
                  <c:v>0.29992001984703659</c:v>
                </c:pt>
                <c:pt idx="6">
                  <c:v>0.29105730914226674</c:v>
                </c:pt>
                <c:pt idx="7">
                  <c:v>0.34931203268351618</c:v>
                </c:pt>
                <c:pt idx="8">
                  <c:v>0.25458990490927808</c:v>
                </c:pt>
                <c:pt idx="9">
                  <c:v>0.28582499099284853</c:v>
                </c:pt>
                <c:pt idx="10">
                  <c:v>0.30604971793885072</c:v>
                </c:pt>
                <c:pt idx="11">
                  <c:v>0.24946318408749318</c:v>
                </c:pt>
                <c:pt idx="12">
                  <c:v>0.30184100251792562</c:v>
                </c:pt>
                <c:pt idx="13">
                  <c:v>0.31122718371739544</c:v>
                </c:pt>
                <c:pt idx="14">
                  <c:v>0.33474561494029886</c:v>
                </c:pt>
                <c:pt idx="15">
                  <c:v>0.2146366013278056</c:v>
                </c:pt>
                <c:pt idx="16">
                  <c:v>0.43092234803368901</c:v>
                </c:pt>
                <c:pt idx="17">
                  <c:v>0.207209116323192</c:v>
                </c:pt>
                <c:pt idx="18">
                  <c:v>0.32967447885933648</c:v>
                </c:pt>
                <c:pt idx="19">
                  <c:v>0.23433810847336892</c:v>
                </c:pt>
                <c:pt idx="20">
                  <c:v>0.3214449308499619</c:v>
                </c:pt>
                <c:pt idx="21">
                  <c:v>0.32375751831581356</c:v>
                </c:pt>
                <c:pt idx="22">
                  <c:v>0.2210254377342504</c:v>
                </c:pt>
                <c:pt idx="23">
                  <c:v>0.34557514605571932</c:v>
                </c:pt>
                <c:pt idx="24">
                  <c:v>0.20782170860799068</c:v>
                </c:pt>
                <c:pt idx="25">
                  <c:v>0.38087898107207124</c:v>
                </c:pt>
                <c:pt idx="26">
                  <c:v>0.24892078896898145</c:v>
                </c:pt>
                <c:pt idx="27">
                  <c:v>0.34116920097907288</c:v>
                </c:pt>
                <c:pt idx="28">
                  <c:v>0.22296871462768311</c:v>
                </c:pt>
                <c:pt idx="29">
                  <c:v>0.34514468688233174</c:v>
                </c:pt>
                <c:pt idx="30">
                  <c:v>0.22047246967036555</c:v>
                </c:pt>
                <c:pt idx="31">
                  <c:v>0.33442617077378478</c:v>
                </c:pt>
                <c:pt idx="32">
                  <c:v>0.283328870782522</c:v>
                </c:pt>
                <c:pt idx="33">
                  <c:v>0.35898569872799996</c:v>
                </c:pt>
                <c:pt idx="34">
                  <c:v>0.24775703464736171</c:v>
                </c:pt>
                <c:pt idx="35">
                  <c:v>0.30657151017440898</c:v>
                </c:pt>
                <c:pt idx="36">
                  <c:v>0.32095416674439037</c:v>
                </c:pt>
                <c:pt idx="37">
                  <c:v>0.23944893736462924</c:v>
                </c:pt>
                <c:pt idx="38">
                  <c:v>0.39552303241439357</c:v>
                </c:pt>
                <c:pt idx="39">
                  <c:v>0.22033209677550264</c:v>
                </c:pt>
              </c:numCache>
            </c:numRef>
          </c:val>
        </c:ser>
        <c:ser>
          <c:idx val="1"/>
          <c:order val="1"/>
          <c:tx>
            <c:v>Path 9</c:v>
          </c:tx>
          <c:cat>
            <c:numRef>
              <c:f>Mean_Reversion!$K$15:$K$54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Mean_Reversion!$T$15:$T$54</c:f>
              <c:numCache>
                <c:formatCode>0.0%</c:formatCode>
                <c:ptCount val="40"/>
                <c:pt idx="0">
                  <c:v>0.34706881486841828</c:v>
                </c:pt>
                <c:pt idx="1">
                  <c:v>0.26780706989032588</c:v>
                </c:pt>
                <c:pt idx="2">
                  <c:v>0.28822782883043002</c:v>
                </c:pt>
                <c:pt idx="3">
                  <c:v>0.31867853134751062</c:v>
                </c:pt>
                <c:pt idx="4">
                  <c:v>0.2617039647901831</c:v>
                </c:pt>
                <c:pt idx="5">
                  <c:v>0.37476411658345721</c:v>
                </c:pt>
                <c:pt idx="6">
                  <c:v>0.27907721339863312</c:v>
                </c:pt>
                <c:pt idx="7">
                  <c:v>0.33499611001964602</c:v>
                </c:pt>
                <c:pt idx="8">
                  <c:v>0.30379379179905691</c:v>
                </c:pt>
                <c:pt idx="9">
                  <c:v>0.30355734058647954</c:v>
                </c:pt>
                <c:pt idx="10">
                  <c:v>0.30575957634381062</c:v>
                </c:pt>
                <c:pt idx="11">
                  <c:v>0.30327108531150848</c:v>
                </c:pt>
                <c:pt idx="12">
                  <c:v>0.26307410936357045</c:v>
                </c:pt>
                <c:pt idx="13">
                  <c:v>0.3785248347029167</c:v>
                </c:pt>
                <c:pt idx="14">
                  <c:v>0.21947028437443306</c:v>
                </c:pt>
                <c:pt idx="15">
                  <c:v>0.41466888565313476</c:v>
                </c:pt>
                <c:pt idx="16">
                  <c:v>0.19784904549166685</c:v>
                </c:pt>
                <c:pt idx="17">
                  <c:v>0.42751314116477424</c:v>
                </c:pt>
                <c:pt idx="18">
                  <c:v>0.19874620420206485</c:v>
                </c:pt>
                <c:pt idx="19">
                  <c:v>0.39837694020285808</c:v>
                </c:pt>
                <c:pt idx="20">
                  <c:v>0.2477502313606261</c:v>
                </c:pt>
                <c:pt idx="21">
                  <c:v>0.32669805161983589</c:v>
                </c:pt>
                <c:pt idx="22">
                  <c:v>0.22903197702020558</c:v>
                </c:pt>
                <c:pt idx="23">
                  <c:v>0.35002104743548301</c:v>
                </c:pt>
                <c:pt idx="24">
                  <c:v>0.24203412742989633</c:v>
                </c:pt>
                <c:pt idx="25">
                  <c:v>0.39886088503277672</c:v>
                </c:pt>
                <c:pt idx="26">
                  <c:v>0.19242253992341818</c:v>
                </c:pt>
                <c:pt idx="27">
                  <c:v>0.43080965754151734</c:v>
                </c:pt>
                <c:pt idx="28">
                  <c:v>0.16672342173736882</c:v>
                </c:pt>
                <c:pt idx="29">
                  <c:v>0.39969923679705854</c:v>
                </c:pt>
                <c:pt idx="30">
                  <c:v>0.17653788303582679</c:v>
                </c:pt>
                <c:pt idx="31">
                  <c:v>0.38112699768697111</c:v>
                </c:pt>
                <c:pt idx="32">
                  <c:v>0.26032803172122604</c:v>
                </c:pt>
                <c:pt idx="33">
                  <c:v>0.29244194654918221</c:v>
                </c:pt>
                <c:pt idx="34">
                  <c:v>0.26192488960802779</c:v>
                </c:pt>
                <c:pt idx="35">
                  <c:v>0.35687077290768376</c:v>
                </c:pt>
                <c:pt idx="36">
                  <c:v>0.20089923923582187</c:v>
                </c:pt>
                <c:pt idx="37">
                  <c:v>0.36439208512675136</c:v>
                </c:pt>
                <c:pt idx="38">
                  <c:v>0.26333696719793243</c:v>
                </c:pt>
                <c:pt idx="39">
                  <c:v>0.29253198425173377</c:v>
                </c:pt>
              </c:numCache>
            </c:numRef>
          </c:val>
        </c:ser>
        <c:ser>
          <c:idx val="2"/>
          <c:order val="2"/>
          <c:tx>
            <c:v>Path 8</c:v>
          </c:tx>
          <c:cat>
            <c:numRef>
              <c:f>Mean_Reversion!$K$15:$K$54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Mean_Reversion!$S$15:$S$54</c:f>
              <c:numCache>
                <c:formatCode>0.0%</c:formatCode>
                <c:ptCount val="40"/>
                <c:pt idx="0">
                  <c:v>0.28181064372107933</c:v>
                </c:pt>
                <c:pt idx="1">
                  <c:v>0.35191160560742252</c:v>
                </c:pt>
                <c:pt idx="2">
                  <c:v>0.23395293288586475</c:v>
                </c:pt>
                <c:pt idx="3">
                  <c:v>0.31535324315656676</c:v>
                </c:pt>
                <c:pt idx="4">
                  <c:v>0.30587487096361354</c:v>
                </c:pt>
                <c:pt idx="5">
                  <c:v>0.3054038366828728</c:v>
                </c:pt>
                <c:pt idx="6">
                  <c:v>0.33653115240524584</c:v>
                </c:pt>
                <c:pt idx="7">
                  <c:v>0.22935645110593722</c:v>
                </c:pt>
                <c:pt idx="8">
                  <c:v>0.3951203184651037</c:v>
                </c:pt>
                <c:pt idx="9">
                  <c:v>0.1827508445590513</c:v>
                </c:pt>
                <c:pt idx="10">
                  <c:v>0.40991269202971919</c:v>
                </c:pt>
                <c:pt idx="11">
                  <c:v>0.21896288195361452</c:v>
                </c:pt>
                <c:pt idx="12">
                  <c:v>0.39493232048304849</c:v>
                </c:pt>
                <c:pt idx="13">
                  <c:v>0.2446698221066558</c:v>
                </c:pt>
                <c:pt idx="14">
                  <c:v>0.37845500539130028</c:v>
                </c:pt>
                <c:pt idx="15">
                  <c:v>0.17949685159337433</c:v>
                </c:pt>
                <c:pt idx="16">
                  <c:v>0.35417640548032164</c:v>
                </c:pt>
                <c:pt idx="17">
                  <c:v>0.23917863921957966</c:v>
                </c:pt>
                <c:pt idx="18">
                  <c:v>0.3781539298347445</c:v>
                </c:pt>
                <c:pt idx="19">
                  <c:v>0.22410767740913953</c:v>
                </c:pt>
                <c:pt idx="20">
                  <c:v>0.40057055984359535</c:v>
                </c:pt>
                <c:pt idx="21">
                  <c:v>0.22162917466667265</c:v>
                </c:pt>
                <c:pt idx="22">
                  <c:v>0.36637878427195247</c:v>
                </c:pt>
                <c:pt idx="23">
                  <c:v>0.25021239202520507</c:v>
                </c:pt>
                <c:pt idx="24">
                  <c:v>0.38356007679568266</c:v>
                </c:pt>
                <c:pt idx="25">
                  <c:v>0.21250190307226438</c:v>
                </c:pt>
                <c:pt idx="26">
                  <c:v>0.39150260747618987</c:v>
                </c:pt>
                <c:pt idx="27">
                  <c:v>0.20487044936060778</c:v>
                </c:pt>
                <c:pt idx="28">
                  <c:v>0.43742344598317184</c:v>
                </c:pt>
                <c:pt idx="29">
                  <c:v>0.19980667590390849</c:v>
                </c:pt>
                <c:pt idx="30">
                  <c:v>0.36258365277314464</c:v>
                </c:pt>
                <c:pt idx="31">
                  <c:v>0.28005660123631154</c:v>
                </c:pt>
                <c:pt idx="32">
                  <c:v>0.32827584427039097</c:v>
                </c:pt>
                <c:pt idx="33">
                  <c:v>0.26236937946857253</c:v>
                </c:pt>
                <c:pt idx="34">
                  <c:v>0.3225876845748134</c:v>
                </c:pt>
                <c:pt idx="35">
                  <c:v>0.25293676908792223</c:v>
                </c:pt>
                <c:pt idx="36">
                  <c:v>0.28472230902671536</c:v>
                </c:pt>
                <c:pt idx="37">
                  <c:v>0.3572935454565489</c:v>
                </c:pt>
                <c:pt idx="38">
                  <c:v>0.29676227541498323</c:v>
                </c:pt>
                <c:pt idx="39">
                  <c:v>0.31837662846436199</c:v>
                </c:pt>
              </c:numCache>
            </c:numRef>
          </c:val>
        </c:ser>
        <c:ser>
          <c:idx val="3"/>
          <c:order val="3"/>
          <c:tx>
            <c:v>Path mean</c:v>
          </c:tx>
          <c:cat>
            <c:numRef>
              <c:f>Mean_Reversion!$K$15:$K$54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Mean_Reversion!$V$15:$V$54</c:f>
              <c:numCache>
                <c:formatCode>0.0%</c:formatCode>
                <c:ptCount val="40"/>
                <c:pt idx="0">
                  <c:v>0.32371888537962495</c:v>
                </c:pt>
                <c:pt idx="1">
                  <c:v>0.28718874600719957</c:v>
                </c:pt>
                <c:pt idx="2">
                  <c:v>0.30465584175031191</c:v>
                </c:pt>
                <c:pt idx="3">
                  <c:v>0.28004230421831589</c:v>
                </c:pt>
                <c:pt idx="4">
                  <c:v>0.32937614173980412</c:v>
                </c:pt>
                <c:pt idx="5">
                  <c:v>0.28297369796498323</c:v>
                </c:pt>
                <c:pt idx="6">
                  <c:v>0.32267387962233995</c:v>
                </c:pt>
                <c:pt idx="7">
                  <c:v>0.27944610971914585</c:v>
                </c:pt>
                <c:pt idx="8">
                  <c:v>0.31843040758143049</c:v>
                </c:pt>
                <c:pt idx="9">
                  <c:v>0.27604650133061381</c:v>
                </c:pt>
                <c:pt idx="10">
                  <c:v>0.32119801695669936</c:v>
                </c:pt>
                <c:pt idx="11">
                  <c:v>0.28741913739393454</c:v>
                </c:pt>
                <c:pt idx="12">
                  <c:v>0.31436370290182719</c:v>
                </c:pt>
                <c:pt idx="13">
                  <c:v>0.29896752612412358</c:v>
                </c:pt>
                <c:pt idx="14">
                  <c:v>0.30523213543074784</c:v>
                </c:pt>
                <c:pt idx="15">
                  <c:v>0.28611243646449819</c:v>
                </c:pt>
                <c:pt idx="16">
                  <c:v>0.31835108607440177</c:v>
                </c:pt>
                <c:pt idx="17">
                  <c:v>0.28808170965161789</c:v>
                </c:pt>
                <c:pt idx="18">
                  <c:v>0.30754733943745649</c:v>
                </c:pt>
                <c:pt idx="19">
                  <c:v>0.27983529283821096</c:v>
                </c:pt>
                <c:pt idx="20">
                  <c:v>0.33894821344095855</c:v>
                </c:pt>
                <c:pt idx="21">
                  <c:v>0.27604193966318863</c:v>
                </c:pt>
                <c:pt idx="22">
                  <c:v>0.30720303339317018</c:v>
                </c:pt>
                <c:pt idx="23">
                  <c:v>0.30592399585213836</c:v>
                </c:pt>
                <c:pt idx="24">
                  <c:v>0.29780072914068129</c:v>
                </c:pt>
                <c:pt idx="25">
                  <c:v>0.2942722653705917</c:v>
                </c:pt>
                <c:pt idx="26">
                  <c:v>0.31099557274851625</c:v>
                </c:pt>
                <c:pt idx="27">
                  <c:v>0.26962455418589942</c:v>
                </c:pt>
                <c:pt idx="28">
                  <c:v>0.32954824186554782</c:v>
                </c:pt>
                <c:pt idx="29">
                  <c:v>0.28002599253176508</c:v>
                </c:pt>
                <c:pt idx="30">
                  <c:v>0.30836843119757867</c:v>
                </c:pt>
                <c:pt idx="31">
                  <c:v>0.2846962505386445</c:v>
                </c:pt>
                <c:pt idx="32">
                  <c:v>0.33346346074448674</c:v>
                </c:pt>
                <c:pt idx="33">
                  <c:v>0.26641978544046885</c:v>
                </c:pt>
                <c:pt idx="34">
                  <c:v>0.34120854726825078</c:v>
                </c:pt>
                <c:pt idx="35">
                  <c:v>0.2625275203500288</c:v>
                </c:pt>
                <c:pt idx="36">
                  <c:v>0.31762906659362439</c:v>
                </c:pt>
                <c:pt idx="37">
                  <c:v>0.28411893938149652</c:v>
                </c:pt>
                <c:pt idx="38">
                  <c:v>0.30760480245234934</c:v>
                </c:pt>
                <c:pt idx="39">
                  <c:v>0.27971075135040757</c:v>
                </c:pt>
              </c:numCache>
            </c:numRef>
          </c:val>
        </c:ser>
        <c:marker val="1"/>
        <c:axId val="266829824"/>
        <c:axId val="266831360"/>
      </c:lineChart>
      <c:catAx>
        <c:axId val="266829824"/>
        <c:scaling>
          <c:orientation val="minMax"/>
        </c:scaling>
        <c:axPos val="b"/>
        <c:numFmt formatCode="General" sourceLinked="1"/>
        <c:tickLblPos val="nextTo"/>
        <c:crossAx val="266831360"/>
        <c:crosses val="autoZero"/>
        <c:auto val="1"/>
        <c:lblAlgn val="ctr"/>
        <c:lblOffset val="100"/>
      </c:catAx>
      <c:valAx>
        <c:axId val="266831360"/>
        <c:scaling>
          <c:orientation val="minMax"/>
        </c:scaling>
        <c:axPos val="l"/>
        <c:numFmt formatCode="0.0%" sourceLinked="1"/>
        <c:tickLblPos val="nextTo"/>
        <c:crossAx val="266829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strRef>
          <c:f>Mean_Reversion!$G$1</c:f>
          <c:strCache>
            <c:ptCount val="1"/>
            <c:pt idx="0">
              <c:v>Mean Reverting Margins for EZCH</c:v>
            </c:pt>
          </c:strCache>
        </c:strRef>
      </c:tx>
      <c:layout>
        <c:manualLayout>
          <c:xMode val="edge"/>
          <c:yMode val="edge"/>
          <c:x val="0.11217188303723349"/>
          <c:y val="2.3952095808383235E-2"/>
        </c:manualLayout>
      </c:layout>
      <c:overlay val="1"/>
      <c:txPr>
        <a:bodyPr/>
        <a:lstStyle/>
        <a:p>
          <a:pPr>
            <a:defRPr b="0"/>
          </a:pPr>
          <a:endParaRPr lang="en-US"/>
        </a:p>
      </c:txPr>
    </c:title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Mean_Reversion!$U$14:$U$34</c:f>
              <c:numCache>
                <c:formatCode>0.0%</c:formatCode>
                <c:ptCount val="21"/>
                <c:pt idx="0" formatCode="0.00%">
                  <c:v>0.26917216666666671</c:v>
                </c:pt>
                <c:pt idx="1">
                  <c:v>0.31792515186834608</c:v>
                </c:pt>
                <c:pt idx="2">
                  <c:v>0.31673560400451262</c:v>
                </c:pt>
                <c:pt idx="3">
                  <c:v>0.2938729960202337</c:v>
                </c:pt>
                <c:pt idx="4">
                  <c:v>0.27772432864309898</c:v>
                </c:pt>
                <c:pt idx="5">
                  <c:v>0.3582400773457397</c:v>
                </c:pt>
                <c:pt idx="6">
                  <c:v>0.29992001984703659</c:v>
                </c:pt>
                <c:pt idx="7">
                  <c:v>0.29105730914226674</c:v>
                </c:pt>
                <c:pt idx="8">
                  <c:v>0.34931203268351618</c:v>
                </c:pt>
                <c:pt idx="9">
                  <c:v>0.25458990490927808</c:v>
                </c:pt>
                <c:pt idx="10">
                  <c:v>0.28582499099284853</c:v>
                </c:pt>
                <c:pt idx="11">
                  <c:v>0.30604971793885072</c:v>
                </c:pt>
                <c:pt idx="12">
                  <c:v>0.24946318408749318</c:v>
                </c:pt>
                <c:pt idx="13">
                  <c:v>0.30184100251792562</c:v>
                </c:pt>
                <c:pt idx="14">
                  <c:v>0.31122718371739544</c:v>
                </c:pt>
                <c:pt idx="15">
                  <c:v>0.33474561494029886</c:v>
                </c:pt>
                <c:pt idx="16">
                  <c:v>0.2146366013278056</c:v>
                </c:pt>
                <c:pt idx="17">
                  <c:v>0.43092234803368901</c:v>
                </c:pt>
                <c:pt idx="18">
                  <c:v>0.207209116323192</c:v>
                </c:pt>
                <c:pt idx="19">
                  <c:v>0.32967447885933648</c:v>
                </c:pt>
                <c:pt idx="20">
                  <c:v>0.23433810847336892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Mean_Reversion!$T$14:$T$34</c:f>
              <c:numCache>
                <c:formatCode>0.0%</c:formatCode>
                <c:ptCount val="21"/>
                <c:pt idx="0" formatCode="0.00%">
                  <c:v>0.26917216666666671</c:v>
                </c:pt>
                <c:pt idx="1">
                  <c:v>0.34706881486841828</c:v>
                </c:pt>
                <c:pt idx="2">
                  <c:v>0.26780706989032588</c:v>
                </c:pt>
                <c:pt idx="3">
                  <c:v>0.28822782883043002</c:v>
                </c:pt>
                <c:pt idx="4">
                  <c:v>0.31867853134751062</c:v>
                </c:pt>
                <c:pt idx="5">
                  <c:v>0.2617039647901831</c:v>
                </c:pt>
                <c:pt idx="6">
                  <c:v>0.37476411658345721</c:v>
                </c:pt>
                <c:pt idx="7">
                  <c:v>0.27907721339863312</c:v>
                </c:pt>
                <c:pt idx="8">
                  <c:v>0.33499611001964602</c:v>
                </c:pt>
                <c:pt idx="9">
                  <c:v>0.30379379179905691</c:v>
                </c:pt>
                <c:pt idx="10">
                  <c:v>0.30355734058647954</c:v>
                </c:pt>
                <c:pt idx="11">
                  <c:v>0.30575957634381062</c:v>
                </c:pt>
                <c:pt idx="12">
                  <c:v>0.30327108531150848</c:v>
                </c:pt>
                <c:pt idx="13">
                  <c:v>0.26307410936357045</c:v>
                </c:pt>
                <c:pt idx="14">
                  <c:v>0.3785248347029167</c:v>
                </c:pt>
                <c:pt idx="15">
                  <c:v>0.21947028437443306</c:v>
                </c:pt>
                <c:pt idx="16">
                  <c:v>0.41466888565313476</c:v>
                </c:pt>
                <c:pt idx="17">
                  <c:v>0.19784904549166685</c:v>
                </c:pt>
                <c:pt idx="18">
                  <c:v>0.42751314116477424</c:v>
                </c:pt>
                <c:pt idx="19">
                  <c:v>0.19874620420206485</c:v>
                </c:pt>
                <c:pt idx="20">
                  <c:v>0.39837694020285808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Mean_Reversion!$S$14:$S$34</c:f>
              <c:numCache>
                <c:formatCode>0.0%</c:formatCode>
                <c:ptCount val="21"/>
                <c:pt idx="0" formatCode="0.00%">
                  <c:v>0.26917216666666671</c:v>
                </c:pt>
                <c:pt idx="1">
                  <c:v>0.28181064372107933</c:v>
                </c:pt>
                <c:pt idx="2">
                  <c:v>0.35191160560742252</c:v>
                </c:pt>
                <c:pt idx="3">
                  <c:v>0.23395293288586475</c:v>
                </c:pt>
                <c:pt idx="4">
                  <c:v>0.31535324315656676</c:v>
                </c:pt>
                <c:pt idx="5">
                  <c:v>0.30587487096361354</c:v>
                </c:pt>
                <c:pt idx="6">
                  <c:v>0.3054038366828728</c:v>
                </c:pt>
                <c:pt idx="7">
                  <c:v>0.33653115240524584</c:v>
                </c:pt>
                <c:pt idx="8">
                  <c:v>0.22935645110593722</c:v>
                </c:pt>
                <c:pt idx="9">
                  <c:v>0.3951203184651037</c:v>
                </c:pt>
                <c:pt idx="10">
                  <c:v>0.1827508445590513</c:v>
                </c:pt>
                <c:pt idx="11">
                  <c:v>0.40991269202971919</c:v>
                </c:pt>
                <c:pt idx="12">
                  <c:v>0.21896288195361452</c:v>
                </c:pt>
                <c:pt idx="13">
                  <c:v>0.39493232048304849</c:v>
                </c:pt>
                <c:pt idx="14">
                  <c:v>0.2446698221066558</c:v>
                </c:pt>
                <c:pt idx="15">
                  <c:v>0.37845500539130028</c:v>
                </c:pt>
                <c:pt idx="16">
                  <c:v>0.17949685159337433</c:v>
                </c:pt>
                <c:pt idx="17">
                  <c:v>0.35417640548032164</c:v>
                </c:pt>
                <c:pt idx="18">
                  <c:v>0.23917863921957966</c:v>
                </c:pt>
                <c:pt idx="19">
                  <c:v>0.3781539298347445</c:v>
                </c:pt>
                <c:pt idx="20">
                  <c:v>0.22410767740913953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val>
            <c:numRef>
              <c:f>Mean_Reversion!$R$15:$R$34</c:f>
              <c:numCache>
                <c:formatCode>0.0%</c:formatCode>
                <c:ptCount val="20"/>
                <c:pt idx="0">
                  <c:v>0.28282388215182858</c:v>
                </c:pt>
                <c:pt idx="1">
                  <c:v>0.37008019209492965</c:v>
                </c:pt>
                <c:pt idx="2">
                  <c:v>0.25302721943405621</c:v>
                </c:pt>
                <c:pt idx="3">
                  <c:v>0.29426540782242161</c:v>
                </c:pt>
                <c:pt idx="4">
                  <c:v>0.28240631416228679</c:v>
                </c:pt>
                <c:pt idx="5">
                  <c:v>0.26739461071075238</c:v>
                </c:pt>
                <c:pt idx="6">
                  <c:v>0.32490596688746104</c:v>
                </c:pt>
                <c:pt idx="7">
                  <c:v>0.2391484975212321</c:v>
                </c:pt>
                <c:pt idx="8">
                  <c:v>0.30809462665611825</c:v>
                </c:pt>
                <c:pt idx="9">
                  <c:v>0.25730059259454197</c:v>
                </c:pt>
                <c:pt idx="10">
                  <c:v>0.3729894036794183</c:v>
                </c:pt>
                <c:pt idx="11">
                  <c:v>0.26274725453438263</c:v>
                </c:pt>
                <c:pt idx="12">
                  <c:v>0.31036178488699362</c:v>
                </c:pt>
                <c:pt idx="13">
                  <c:v>0.31296191386317229</c:v>
                </c:pt>
                <c:pt idx="14">
                  <c:v>0.29507389350648594</c:v>
                </c:pt>
                <c:pt idx="15">
                  <c:v>0.30468015155342115</c:v>
                </c:pt>
                <c:pt idx="16">
                  <c:v>0.35019155532155494</c:v>
                </c:pt>
                <c:pt idx="17">
                  <c:v>0.22856340692956861</c:v>
                </c:pt>
                <c:pt idx="18">
                  <c:v>0.36584189948647988</c:v>
                </c:pt>
                <c:pt idx="19">
                  <c:v>0.28305673934720194</c:v>
                </c:pt>
              </c:numCache>
            </c:numRef>
          </c:val>
        </c:ser>
        <c:ser>
          <c:idx val="4"/>
          <c:order val="4"/>
          <c:marker>
            <c:symbol val="none"/>
          </c:marker>
          <c:val>
            <c:numRef>
              <c:f>Mean_Reversion!$P$14:$P$34</c:f>
              <c:numCache>
                <c:formatCode>0.0%</c:formatCode>
                <c:ptCount val="21"/>
                <c:pt idx="0" formatCode="0.00%">
                  <c:v>0.26917216666666671</c:v>
                </c:pt>
                <c:pt idx="1">
                  <c:v>0.34532479363375251</c:v>
                </c:pt>
                <c:pt idx="2">
                  <c:v>0.2714474708250883</c:v>
                </c:pt>
                <c:pt idx="3">
                  <c:v>0.33329309574239968</c:v>
                </c:pt>
                <c:pt idx="4">
                  <c:v>0.21392692356009055</c:v>
                </c:pt>
                <c:pt idx="5">
                  <c:v>0.41063488262782594</c:v>
                </c:pt>
                <c:pt idx="6">
                  <c:v>0.22138919464725115</c:v>
                </c:pt>
                <c:pt idx="7">
                  <c:v>0.34052800452622572</c:v>
                </c:pt>
                <c:pt idx="8">
                  <c:v>0.23188909500173904</c:v>
                </c:pt>
                <c:pt idx="9">
                  <c:v>0.37242267101042059</c:v>
                </c:pt>
                <c:pt idx="10">
                  <c:v>0.2869499459308279</c:v>
                </c:pt>
                <c:pt idx="11">
                  <c:v>0.34317115156754613</c:v>
                </c:pt>
                <c:pt idx="12">
                  <c:v>0.22188159598805815</c:v>
                </c:pt>
                <c:pt idx="13">
                  <c:v>0.39007626508734239</c:v>
                </c:pt>
                <c:pt idx="14">
                  <c:v>0.17316472586656473</c:v>
                </c:pt>
                <c:pt idx="15">
                  <c:v>0.41716080049705279</c:v>
                </c:pt>
                <c:pt idx="16">
                  <c:v>0.18226628702636855</c:v>
                </c:pt>
                <c:pt idx="17">
                  <c:v>0.44594782830821694</c:v>
                </c:pt>
                <c:pt idx="18">
                  <c:v>0.19212737510226435</c:v>
                </c:pt>
                <c:pt idx="19">
                  <c:v>0.37475803902182597</c:v>
                </c:pt>
                <c:pt idx="20">
                  <c:v>0.19377248550805667</c:v>
                </c:pt>
              </c:numCache>
            </c:numRef>
          </c:val>
        </c:ser>
        <c:ser>
          <c:idx val="5"/>
          <c:order val="5"/>
          <c:marker>
            <c:symbol val="none"/>
          </c:marker>
          <c:val>
            <c:numRef>
              <c:f>Mean_Reversion!$Q$14:$Q$34</c:f>
              <c:numCache>
                <c:formatCode>0.0%</c:formatCode>
                <c:ptCount val="21"/>
                <c:pt idx="0" formatCode="0.00%">
                  <c:v>0.26917216666666671</c:v>
                </c:pt>
                <c:pt idx="1">
                  <c:v>0.32741559685115429</c:v>
                </c:pt>
                <c:pt idx="2">
                  <c:v>0.23114701251405387</c:v>
                </c:pt>
                <c:pt idx="3">
                  <c:v>0.34672756033547381</c:v>
                </c:pt>
                <c:pt idx="4">
                  <c:v>0.22813060444424565</c:v>
                </c:pt>
                <c:pt idx="5">
                  <c:v>0.41494405135404222</c:v>
                </c:pt>
                <c:pt idx="6">
                  <c:v>0.17782996025279518</c:v>
                </c:pt>
                <c:pt idx="7">
                  <c:v>0.46040353480320434</c:v>
                </c:pt>
                <c:pt idx="8">
                  <c:v>0.14513824788943883</c:v>
                </c:pt>
                <c:pt idx="9">
                  <c:v>0.46985201930918608</c:v>
                </c:pt>
                <c:pt idx="10">
                  <c:v>0.13104774052241361</c:v>
                </c:pt>
                <c:pt idx="11">
                  <c:v>0.409611274175542</c:v>
                </c:pt>
                <c:pt idx="12">
                  <c:v>0.22737273073440545</c:v>
                </c:pt>
                <c:pt idx="13">
                  <c:v>0.35474159171074326</c:v>
                </c:pt>
                <c:pt idx="14">
                  <c:v>0.23721200556713384</c:v>
                </c:pt>
                <c:pt idx="15">
                  <c:v>0.36818817996376491</c:v>
                </c:pt>
                <c:pt idx="16">
                  <c:v>0.23750071260522526</c:v>
                </c:pt>
                <c:pt idx="17">
                  <c:v>0.32821918009864093</c:v>
                </c:pt>
                <c:pt idx="18">
                  <c:v>0.28494867610595392</c:v>
                </c:pt>
                <c:pt idx="19">
                  <c:v>0.3122419488230942</c:v>
                </c:pt>
                <c:pt idx="20">
                  <c:v>0.27485797079315016</c:v>
                </c:pt>
              </c:numCache>
            </c:numRef>
          </c:val>
        </c:ser>
        <c:ser>
          <c:idx val="6"/>
          <c:order val="6"/>
          <c:marker>
            <c:symbol val="none"/>
          </c:marker>
          <c:val>
            <c:numRef>
              <c:f>Mean_Reversion!$O$14:$O$34</c:f>
              <c:numCache>
                <c:formatCode>0.0%</c:formatCode>
                <c:ptCount val="21"/>
                <c:pt idx="0" formatCode="0.00%">
                  <c:v>0.26917216666666671</c:v>
                </c:pt>
                <c:pt idx="1">
                  <c:v>0.30980007683641592</c:v>
                </c:pt>
                <c:pt idx="2">
                  <c:v>0.26084573598272448</c:v>
                </c:pt>
                <c:pt idx="3">
                  <c:v>0.35163058491481619</c:v>
                </c:pt>
                <c:pt idx="4">
                  <c:v>0.28504039142099258</c:v>
                </c:pt>
                <c:pt idx="5">
                  <c:v>0.36165304935464304</c:v>
                </c:pt>
                <c:pt idx="6">
                  <c:v>0.21783828923649104</c:v>
                </c:pt>
                <c:pt idx="7">
                  <c:v>0.38434702038080421</c:v>
                </c:pt>
                <c:pt idx="8">
                  <c:v>0.25651459199346222</c:v>
                </c:pt>
                <c:pt idx="9">
                  <c:v>0.3931373533623142</c:v>
                </c:pt>
                <c:pt idx="10">
                  <c:v>0.22843728354335491</c:v>
                </c:pt>
                <c:pt idx="11">
                  <c:v>0.34095802256031721</c:v>
                </c:pt>
                <c:pt idx="12">
                  <c:v>0.29768669573834033</c:v>
                </c:pt>
                <c:pt idx="13">
                  <c:v>0.31900908167516828</c:v>
                </c:pt>
                <c:pt idx="14">
                  <c:v>0.31308351407645302</c:v>
                </c:pt>
                <c:pt idx="15">
                  <c:v>0.26549165018059995</c:v>
                </c:pt>
                <c:pt idx="16">
                  <c:v>0.30667874418525104</c:v>
                </c:pt>
                <c:pt idx="17">
                  <c:v>0.32076505280001855</c:v>
                </c:pt>
                <c:pt idx="18">
                  <c:v>0.25417889566288626</c:v>
                </c:pt>
                <c:pt idx="19">
                  <c:v>0.39501376151363149</c:v>
                </c:pt>
                <c:pt idx="20">
                  <c:v>0.1949752662760563</c:v>
                </c:pt>
              </c:numCache>
            </c:numRef>
          </c:val>
        </c:ser>
        <c:ser>
          <c:idx val="7"/>
          <c:order val="7"/>
          <c:marker>
            <c:symbol val="none"/>
          </c:marker>
          <c:val>
            <c:numRef>
              <c:f>Mean_Reversion!$N$14:$N$34</c:f>
              <c:numCache>
                <c:formatCode>0.0%</c:formatCode>
                <c:ptCount val="21"/>
                <c:pt idx="0" formatCode="0.00%">
                  <c:v>0.26917216666666671</c:v>
                </c:pt>
                <c:pt idx="1">
                  <c:v>0.35687381197695889</c:v>
                </c:pt>
                <c:pt idx="2">
                  <c:v>0.19642587161372649</c:v>
                </c:pt>
                <c:pt idx="3">
                  <c:v>0.34846941697146588</c:v>
                </c:pt>
                <c:pt idx="4">
                  <c:v>0.28465284987075901</c:v>
                </c:pt>
                <c:pt idx="5">
                  <c:v>0.26480652134152061</c:v>
                </c:pt>
                <c:pt idx="6">
                  <c:v>0.35664019288233922</c:v>
                </c:pt>
                <c:pt idx="7">
                  <c:v>0.22041792471685787</c:v>
                </c:pt>
                <c:pt idx="8">
                  <c:v>0.39879013681294478</c:v>
                </c:pt>
                <c:pt idx="9">
                  <c:v>0.16317477188780166</c:v>
                </c:pt>
                <c:pt idx="10">
                  <c:v>0.42904173541286017</c:v>
                </c:pt>
                <c:pt idx="11">
                  <c:v>0.15715037080986516</c:v>
                </c:pt>
                <c:pt idx="12">
                  <c:v>0.41461768769516694</c:v>
                </c:pt>
                <c:pt idx="13">
                  <c:v>0.22518243336463156</c:v>
                </c:pt>
                <c:pt idx="14">
                  <c:v>0.41587829016880606</c:v>
                </c:pt>
                <c:pt idx="15">
                  <c:v>0.1666887883514068</c:v>
                </c:pt>
                <c:pt idx="16">
                  <c:v>0.38554560829837448</c:v>
                </c:pt>
                <c:pt idx="17">
                  <c:v>0.23242219580844098</c:v>
                </c:pt>
                <c:pt idx="18">
                  <c:v>0.37551962679112905</c:v>
                </c:pt>
                <c:pt idx="19">
                  <c:v>0.27328296821858694</c:v>
                </c:pt>
                <c:pt idx="20">
                  <c:v>0.28250920329777374</c:v>
                </c:pt>
              </c:numCache>
            </c:numRef>
          </c:val>
        </c:ser>
        <c:ser>
          <c:idx val="8"/>
          <c:order val="8"/>
          <c:marker>
            <c:symbol val="none"/>
          </c:marker>
          <c:val>
            <c:numRef>
              <c:f>Mean_Reversion!$M$14:$M$34</c:f>
              <c:numCache>
                <c:formatCode>0.0%</c:formatCode>
                <c:ptCount val="21"/>
                <c:pt idx="0" formatCode="0.00%">
                  <c:v>0.26917216666666671</c:v>
                </c:pt>
                <c:pt idx="1">
                  <c:v>0.35370122313632313</c:v>
                </c:pt>
                <c:pt idx="2">
                  <c:v>0.2657981447746845</c:v>
                </c:pt>
                <c:pt idx="3">
                  <c:v>0.28664733314494978</c:v>
                </c:pt>
                <c:pt idx="4">
                  <c:v>0.28442615774899938</c:v>
                </c:pt>
                <c:pt idx="5">
                  <c:v>0.34946525161691111</c:v>
                </c:pt>
                <c:pt idx="6">
                  <c:v>0.26413725941633726</c:v>
                </c:pt>
                <c:pt idx="7">
                  <c:v>0.31809838501673615</c:v>
                </c:pt>
                <c:pt idx="8">
                  <c:v>0.29275603702191993</c:v>
                </c:pt>
                <c:pt idx="9">
                  <c:v>0.28778470235360876</c:v>
                </c:pt>
                <c:pt idx="10">
                  <c:v>0.30806856347034001</c:v>
                </c:pt>
                <c:pt idx="11">
                  <c:v>0.28265438525340392</c:v>
                </c:pt>
                <c:pt idx="12">
                  <c:v>0.32783247310925673</c:v>
                </c:pt>
                <c:pt idx="13">
                  <c:v>0.30141636916225933</c:v>
                </c:pt>
                <c:pt idx="14">
                  <c:v>0.27432917937199325</c:v>
                </c:pt>
                <c:pt idx="15">
                  <c:v>0.3246305662633906</c:v>
                </c:pt>
                <c:pt idx="16">
                  <c:v>0.29156517975614005</c:v>
                </c:pt>
                <c:pt idx="17">
                  <c:v>0.31923512997705111</c:v>
                </c:pt>
                <c:pt idx="18">
                  <c:v>0.27016313394804747</c:v>
                </c:pt>
                <c:pt idx="19">
                  <c:v>0.27019381875107734</c:v>
                </c:pt>
                <c:pt idx="20">
                  <c:v>0.34326950542844081</c:v>
                </c:pt>
              </c:numCache>
            </c:numRef>
          </c:val>
        </c:ser>
        <c:ser>
          <c:idx val="9"/>
          <c:order val="9"/>
          <c:marker>
            <c:symbol val="none"/>
          </c:marker>
          <c:val>
            <c:numRef>
              <c:f>Mean_Reversion!$L$14:$L$34</c:f>
              <c:numCache>
                <c:formatCode>0.0%</c:formatCode>
                <c:ptCount val="21"/>
                <c:pt idx="0" formatCode="0.00%">
                  <c:v>0.26917216666666671</c:v>
                </c:pt>
                <c:pt idx="1">
                  <c:v>0.31444485875197281</c:v>
                </c:pt>
                <c:pt idx="2">
                  <c:v>0.33968875276452759</c:v>
                </c:pt>
                <c:pt idx="3">
                  <c:v>0.31070944922342897</c:v>
                </c:pt>
                <c:pt idx="4">
                  <c:v>0.2982246041684733</c:v>
                </c:pt>
                <c:pt idx="5">
                  <c:v>0.28403243384127541</c:v>
                </c:pt>
                <c:pt idx="6">
                  <c:v>0.34441949939050009</c:v>
                </c:pt>
                <c:pt idx="7">
                  <c:v>0.27137228494596438</c:v>
                </c:pt>
                <c:pt idx="8">
                  <c:v>0.3165598971416223</c:v>
                </c:pt>
                <c:pt idx="9">
                  <c:v>0.23633391606141718</c:v>
                </c:pt>
                <c:pt idx="10">
                  <c:v>0.34748597569342032</c:v>
                </c:pt>
                <c:pt idx="11">
                  <c:v>0.28372357520851998</c:v>
                </c:pt>
                <c:pt idx="12">
                  <c:v>0.35035578478711915</c:v>
                </c:pt>
                <c:pt idx="13">
                  <c:v>0.28300207076658945</c:v>
                </c:pt>
                <c:pt idx="14">
                  <c:v>0.32862379180014534</c:v>
                </c:pt>
                <c:pt idx="15">
                  <c:v>0.28241657083874511</c:v>
                </c:pt>
                <c:pt idx="16">
                  <c:v>0.34408534264588675</c:v>
                </c:pt>
                <c:pt idx="17">
                  <c:v>0.20378211942441607</c:v>
                </c:pt>
                <c:pt idx="18">
                  <c:v>0.40141508526878322</c:v>
                </c:pt>
                <c:pt idx="19">
                  <c:v>0.17756634566372331</c:v>
                </c:pt>
                <c:pt idx="20">
                  <c:v>0.36908903164606344</c:v>
                </c:pt>
              </c:numCache>
            </c:numRef>
          </c:val>
        </c:ser>
        <c:marker val="1"/>
        <c:axId val="267121408"/>
        <c:axId val="267122944"/>
      </c:lineChart>
      <c:catAx>
        <c:axId val="267121408"/>
        <c:scaling>
          <c:orientation val="minMax"/>
        </c:scaling>
        <c:delete val="1"/>
        <c:axPos val="b"/>
        <c:numFmt formatCode="General" sourceLinked="1"/>
        <c:tickLblPos val="none"/>
        <c:crossAx val="267122944"/>
        <c:crosses val="autoZero"/>
        <c:auto val="1"/>
        <c:lblAlgn val="ctr"/>
        <c:lblOffset val="100"/>
      </c:catAx>
      <c:valAx>
        <c:axId val="267122944"/>
        <c:scaling>
          <c:orientation val="minMax"/>
          <c:min val="8.0000000000000043E-2"/>
        </c:scaling>
        <c:axPos val="l"/>
        <c:numFmt formatCode="0%" sourceLinked="0"/>
        <c:tickLblPos val="nextTo"/>
        <c:crossAx val="267121408"/>
        <c:crosses val="autoZero"/>
        <c:crossBetween val="between"/>
      </c:valAx>
      <c:spPr>
        <a:noFill/>
      </c:spPr>
    </c:plotArea>
    <c:plotVisOnly val="1"/>
  </c:chart>
  <c:spPr>
    <a:noFill/>
  </c:spPr>
  <c:printSettings>
    <c:headerFooter/>
    <c:pageMargins b="0.75000000000000777" l="0.70000000000000062" r="0.70000000000000062" t="0.750000000000007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428624</xdr:colOff>
      <xdr:row>40</xdr:row>
      <xdr:rowOff>95250</xdr:rowOff>
    </xdr:from>
    <xdr:to>
      <xdr:col>9</xdr:col>
      <xdr:colOff>361949</xdr:colOff>
      <xdr:row>54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428624</xdr:colOff>
      <xdr:row>40</xdr:row>
      <xdr:rowOff>95250</xdr:rowOff>
    </xdr:from>
    <xdr:to>
      <xdr:col>9</xdr:col>
      <xdr:colOff>361949</xdr:colOff>
      <xdr:row>54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428624</xdr:colOff>
      <xdr:row>40</xdr:row>
      <xdr:rowOff>95250</xdr:rowOff>
    </xdr:from>
    <xdr:to>
      <xdr:col>9</xdr:col>
      <xdr:colOff>361949</xdr:colOff>
      <xdr:row>54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590550</xdr:colOff>
      <xdr:row>1</xdr:row>
      <xdr:rowOff>19050</xdr:rowOff>
    </xdr:from>
    <xdr:to>
      <xdr:col>28</xdr:col>
      <xdr:colOff>285750</xdr:colOff>
      <xdr:row>9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47625</xdr:colOff>
      <xdr:row>11</xdr:row>
      <xdr:rowOff>180975</xdr:rowOff>
    </xdr:from>
    <xdr:to>
      <xdr:col>28</xdr:col>
      <xdr:colOff>552450</xdr:colOff>
      <xdr:row>21</xdr:row>
      <xdr:rowOff>76201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152400</xdr:colOff>
      <xdr:row>87</xdr:row>
      <xdr:rowOff>180975</xdr:rowOff>
    </xdr:from>
    <xdr:to>
      <xdr:col>17</xdr:col>
      <xdr:colOff>457200</xdr:colOff>
      <xdr:row>102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238125</xdr:colOff>
      <xdr:row>64</xdr:row>
      <xdr:rowOff>123825</xdr:rowOff>
    </xdr:from>
    <xdr:to>
      <xdr:col>18</xdr:col>
      <xdr:colOff>247651</xdr:colOff>
      <xdr:row>78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132</xdr:row>
      <xdr:rowOff>152400</xdr:rowOff>
    </xdr:from>
    <xdr:to>
      <xdr:col>8</xdr:col>
      <xdr:colOff>781050</xdr:colOff>
      <xdr:row>147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514349</xdr:colOff>
      <xdr:row>1</xdr:row>
      <xdr:rowOff>142875</xdr:rowOff>
    </xdr:from>
    <xdr:to>
      <xdr:col>39</xdr:col>
      <xdr:colOff>85724</xdr:colOff>
      <xdr:row>21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381000</xdr:colOff>
      <xdr:row>24</xdr:row>
      <xdr:rowOff>19050</xdr:rowOff>
    </xdr:from>
    <xdr:to>
      <xdr:col>38</xdr:col>
      <xdr:colOff>561975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495300</xdr:colOff>
      <xdr:row>40</xdr:row>
      <xdr:rowOff>161925</xdr:rowOff>
    </xdr:from>
    <xdr:to>
      <xdr:col>39</xdr:col>
      <xdr:colOff>66675</xdr:colOff>
      <xdr:row>55</xdr:row>
      <xdr:rowOff>47625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0</xdr:colOff>
      <xdr:row>59</xdr:row>
      <xdr:rowOff>0</xdr:rowOff>
    </xdr:from>
    <xdr:to>
      <xdr:col>39</xdr:col>
      <xdr:colOff>180975</xdr:colOff>
      <xdr:row>73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571500</xdr:colOff>
      <xdr:row>7</xdr:row>
      <xdr:rowOff>76200</xdr:rowOff>
    </xdr:from>
    <xdr:to>
      <xdr:col>17</xdr:col>
      <xdr:colOff>266700</xdr:colOff>
      <xdr:row>20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123825</xdr:colOff>
      <xdr:row>25</xdr:row>
      <xdr:rowOff>57150</xdr:rowOff>
    </xdr:from>
    <xdr:to>
      <xdr:col>17</xdr:col>
      <xdr:colOff>428625</xdr:colOff>
      <xdr:row>39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114301</xdr:colOff>
      <xdr:row>0</xdr:row>
      <xdr:rowOff>228599</xdr:rowOff>
    </xdr:from>
    <xdr:to>
      <xdr:col>16</xdr:col>
      <xdr:colOff>428625</xdr:colOff>
      <xdr:row>11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190500</xdr:colOff>
      <xdr:row>0</xdr:row>
      <xdr:rowOff>161925</xdr:rowOff>
    </xdr:from>
    <xdr:to>
      <xdr:col>9</xdr:col>
      <xdr:colOff>200300</xdr:colOff>
      <xdr:row>1</xdr:row>
      <xdr:rowOff>123876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4629150" y="161925"/>
          <a:ext cx="1571900" cy="362001"/>
        </a:xfrm>
        <a:prstGeom prst="rect">
          <a:avLst/>
        </a:prstGeom>
      </xdr:spPr>
    </xdr:pic>
    <xdr:clientData/>
  </xdr:twoCellAnchor>
  <xdr:twoCellAnchor>
    <xdr:from>
      <xdr:col>61</xdr:col>
      <xdr:colOff>0</xdr:colOff>
      <xdr:row>2</xdr:row>
      <xdr:rowOff>0</xdr:rowOff>
    </xdr:from>
    <xdr:to>
      <xdr:col>67</xdr:col>
      <xdr:colOff>180975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142875</xdr:rowOff>
    </xdr:from>
    <xdr:to>
      <xdr:col>4</xdr:col>
      <xdr:colOff>523875</xdr:colOff>
      <xdr:row>8</xdr:row>
      <xdr:rowOff>57150</xdr:rowOff>
    </xdr:to>
    <xdr:sp macro="" textlink="">
      <xdr:nvSpPr>
        <xdr:cNvPr id="2" name="TextBox 1"/>
        <xdr:cNvSpPr txBox="1"/>
      </xdr:nvSpPr>
      <xdr:spPr>
        <a:xfrm>
          <a:off x="266700" y="333375"/>
          <a:ext cx="2266950" cy="1247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This workbook contains</a:t>
          </a:r>
          <a:r>
            <a:rPr lang="en-US" sz="1100" baseline="0"/>
            <a:t> three AR(1) series with different parameters.  The error terms are random variables and can be recalculated by hitting F9.</a:t>
          </a:r>
          <a:endParaRPr lang="en-US" sz="1100"/>
        </a:p>
      </xdr:txBody>
    </xdr:sp>
    <xdr:clientData/>
  </xdr:twoCellAnchor>
  <xdr:twoCellAnchor>
    <xdr:from>
      <xdr:col>23</xdr:col>
      <xdr:colOff>323849</xdr:colOff>
      <xdr:row>0</xdr:row>
      <xdr:rowOff>171450</xdr:rowOff>
    </xdr:from>
    <xdr:to>
      <xdr:col>36</xdr:col>
      <xdr:colOff>447675</xdr:colOff>
      <xdr:row>15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18</xdr:row>
      <xdr:rowOff>0</xdr:rowOff>
    </xdr:from>
    <xdr:to>
      <xdr:col>35</xdr:col>
      <xdr:colOff>200025</xdr:colOff>
      <xdr:row>34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/data%20with%20values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put (10)"/>
      <sheetName val="Input (9)"/>
      <sheetName val="Input (8)"/>
      <sheetName val="Input (7)"/>
      <sheetName val="Input (6)"/>
      <sheetName val="Input (5)"/>
      <sheetName val="Input (3)"/>
      <sheetName val="Input (2)"/>
      <sheetName val="Input"/>
      <sheetName val="Sheet13"/>
      <sheetName val="_CIQHiddenCacheSheet"/>
      <sheetName val="Sheet15"/>
    </sheetNames>
    <sheetDataSet>
      <sheetData sheetId="0">
        <row r="4">
          <cell r="B4">
            <v>38137</v>
          </cell>
          <cell r="C4">
            <v>38198</v>
          </cell>
          <cell r="D4">
            <v>38290</v>
          </cell>
          <cell r="E4">
            <v>38382</v>
          </cell>
          <cell r="F4">
            <v>38511</v>
          </cell>
          <cell r="G4">
            <v>38563</v>
          </cell>
          <cell r="H4">
            <v>38655</v>
          </cell>
          <cell r="I4">
            <v>38747</v>
          </cell>
          <cell r="J4">
            <v>38867</v>
          </cell>
          <cell r="K4">
            <v>38563</v>
          </cell>
          <cell r="L4">
            <v>38655</v>
          </cell>
          <cell r="M4">
            <v>38747</v>
          </cell>
          <cell r="N4">
            <v>39232</v>
          </cell>
          <cell r="O4">
            <v>39293</v>
          </cell>
          <cell r="P4">
            <v>39106</v>
          </cell>
          <cell r="Q4">
            <v>39232</v>
          </cell>
          <cell r="R4">
            <v>39293</v>
          </cell>
          <cell r="S4">
            <v>40030</v>
          </cell>
          <cell r="T4">
            <v>40107</v>
          </cell>
          <cell r="U4">
            <v>40301</v>
          </cell>
          <cell r="V4">
            <v>40301</v>
          </cell>
          <cell r="W4">
            <v>40030</v>
          </cell>
          <cell r="X4">
            <v>40107</v>
          </cell>
          <cell r="Y4">
            <v>40571</v>
          </cell>
          <cell r="Z4">
            <v>40662</v>
          </cell>
          <cell r="AA4">
            <v>40753</v>
          </cell>
          <cell r="AB4">
            <v>40480</v>
          </cell>
          <cell r="AC4">
            <v>40571</v>
          </cell>
          <cell r="AD4">
            <v>41024</v>
          </cell>
          <cell r="AE4">
            <v>40753</v>
          </cell>
          <cell r="AF4">
            <v>40844</v>
          </cell>
          <cell r="AG4">
            <v>40932</v>
          </cell>
          <cell r="AH4">
            <v>41387</v>
          </cell>
          <cell r="AI4">
            <v>41120</v>
          </cell>
          <cell r="AJ4">
            <v>41297</v>
          </cell>
          <cell r="AK4">
            <v>41879</v>
          </cell>
          <cell r="AL4">
            <v>41484</v>
          </cell>
          <cell r="AM4">
            <v>41571</v>
          </cell>
          <cell r="AN4">
            <v>41673</v>
          </cell>
          <cell r="AO4">
            <v>41879</v>
          </cell>
        </row>
        <row r="13">
          <cell r="B13">
            <v>31.435849999999999</v>
          </cell>
          <cell r="C13">
            <v>25.944610000000001</v>
          </cell>
          <cell r="D13">
            <v>27.300850000000001</v>
          </cell>
          <cell r="E13">
            <v>27.747170000000001</v>
          </cell>
          <cell r="F13">
            <v>19.67145</v>
          </cell>
          <cell r="G13">
            <v>17.83182</v>
          </cell>
          <cell r="H13">
            <v>13.31264</v>
          </cell>
          <cell r="I13">
            <v>12.44417</v>
          </cell>
          <cell r="J13">
            <v>8.2714300000000005</v>
          </cell>
          <cell r="K13">
            <v>17.83182</v>
          </cell>
          <cell r="L13">
            <v>13.31264</v>
          </cell>
          <cell r="M13">
            <v>12.44417</v>
          </cell>
          <cell r="N13">
            <v>13.159990000000001</v>
          </cell>
          <cell r="O13">
            <v>12.508839999999999</v>
          </cell>
          <cell r="P13">
            <v>13.686059999999999</v>
          </cell>
          <cell r="Q13">
            <v>13.159990000000001</v>
          </cell>
          <cell r="R13">
            <v>12.508839999999999</v>
          </cell>
          <cell r="S13">
            <v>4.8927800000000001</v>
          </cell>
          <cell r="T13">
            <v>5.3046300000000004</v>
          </cell>
          <cell r="U13">
            <v>5.7380500000000003</v>
          </cell>
          <cell r="V13">
            <v>5.7380500000000003</v>
          </cell>
          <cell r="W13">
            <v>4.8927800000000001</v>
          </cell>
          <cell r="X13">
            <v>5.3046300000000004</v>
          </cell>
          <cell r="Y13">
            <v>5.1665599999999996</v>
          </cell>
          <cell r="Z13">
            <v>5.0154899999999998</v>
          </cell>
          <cell r="AA13">
            <v>5.8751300000000004</v>
          </cell>
          <cell r="AB13">
            <v>5.1387200000000002</v>
          </cell>
          <cell r="AC13">
            <v>5.1665599999999996</v>
          </cell>
          <cell r="AD13">
            <v>6.20641</v>
          </cell>
          <cell r="AE13">
            <v>5.8751300000000004</v>
          </cell>
          <cell r="AF13">
            <v>5.8909000000000002</v>
          </cell>
          <cell r="AG13">
            <v>5.6619299999999999</v>
          </cell>
          <cell r="AH13">
            <v>5.1662299999999997</v>
          </cell>
          <cell r="AI13">
            <v>5.9566100000000004</v>
          </cell>
          <cell r="AJ13">
            <v>7.4438700000000004</v>
          </cell>
          <cell r="AK13">
            <v>5.2329100000000004</v>
          </cell>
          <cell r="AL13">
            <v>4.90219</v>
          </cell>
          <cell r="AM13">
            <v>5.8539199999999996</v>
          </cell>
          <cell r="AN13">
            <v>3.17666</v>
          </cell>
          <cell r="AO13">
            <v>5.2329100000000004</v>
          </cell>
        </row>
      </sheetData>
      <sheetData sheetId="1"/>
      <sheetData sheetId="2"/>
      <sheetData sheetId="3"/>
      <sheetData sheetId="4"/>
      <sheetData sheetId="5"/>
      <sheetData sheetId="6">
        <row r="4">
          <cell r="B4">
            <v>38890</v>
          </cell>
          <cell r="C4">
            <v>38481</v>
          </cell>
          <cell r="D4">
            <v>38989</v>
          </cell>
          <cell r="E4">
            <v>38663</v>
          </cell>
          <cell r="F4">
            <v>39171</v>
          </cell>
          <cell r="G4">
            <v>38841</v>
          </cell>
          <cell r="H4">
            <v>39337</v>
          </cell>
          <cell r="I4">
            <v>39020</v>
          </cell>
          <cell r="J4">
            <v>39709</v>
          </cell>
          <cell r="K4">
            <v>39217</v>
          </cell>
          <cell r="L4">
            <v>39714</v>
          </cell>
          <cell r="M4">
            <v>39385</v>
          </cell>
          <cell r="N4">
            <v>39902</v>
          </cell>
          <cell r="O4">
            <v>39573</v>
          </cell>
          <cell r="P4">
            <v>40080</v>
          </cell>
          <cell r="Q4">
            <v>39758</v>
          </cell>
          <cell r="R4">
            <v>40262</v>
          </cell>
          <cell r="S4">
            <v>39940</v>
          </cell>
          <cell r="T4">
            <v>40437</v>
          </cell>
          <cell r="U4">
            <v>40115</v>
          </cell>
          <cell r="V4">
            <v>40633</v>
          </cell>
          <cell r="W4">
            <v>40304</v>
          </cell>
          <cell r="X4">
            <v>40813</v>
          </cell>
          <cell r="Y4">
            <v>40479</v>
          </cell>
          <cell r="Z4">
            <v>40997</v>
          </cell>
          <cell r="AA4">
            <v>40667</v>
          </cell>
          <cell r="AB4">
            <v>41179</v>
          </cell>
          <cell r="AC4">
            <v>40849</v>
          </cell>
          <cell r="AD4">
            <v>41354</v>
          </cell>
          <cell r="AE4">
            <v>41038</v>
          </cell>
          <cell r="AF4">
            <v>41179</v>
          </cell>
          <cell r="AG4">
            <v>41221</v>
          </cell>
          <cell r="AH4">
            <v>41725</v>
          </cell>
          <cell r="AI4">
            <v>41402</v>
          </cell>
          <cell r="AJ4">
            <v>41493</v>
          </cell>
          <cell r="AK4">
            <v>41584</v>
          </cell>
          <cell r="AL4">
            <v>41725</v>
          </cell>
          <cell r="AM4">
            <v>41773</v>
          </cell>
          <cell r="AN4">
            <v>41864</v>
          </cell>
          <cell r="AO4">
            <v>41955</v>
          </cell>
        </row>
        <row r="13">
          <cell r="B13" t="str">
            <v>NM</v>
          </cell>
          <cell r="C13" t="str">
            <v>NM</v>
          </cell>
          <cell r="D13" t="str">
            <v>NM</v>
          </cell>
          <cell r="E13" t="str">
            <v>NM</v>
          </cell>
          <cell r="F13" t="str">
            <v>NM</v>
          </cell>
          <cell r="G13" t="str">
            <v>NM</v>
          </cell>
          <cell r="H13" t="str">
            <v>NM</v>
          </cell>
          <cell r="I13" t="str">
            <v>NM</v>
          </cell>
          <cell r="J13" t="str">
            <v>NM</v>
          </cell>
          <cell r="K13" t="str">
            <v>NM</v>
          </cell>
          <cell r="L13" t="str">
            <v>NM</v>
          </cell>
          <cell r="M13" t="str">
            <v>NM</v>
          </cell>
          <cell r="N13">
            <v>125.51311</v>
          </cell>
          <cell r="O13" t="str">
            <v>NM</v>
          </cell>
          <cell r="P13">
            <v>63.191609999999997</v>
          </cell>
          <cell r="Q13" t="str">
            <v>NM</v>
          </cell>
          <cell r="R13">
            <v>50.030500000000004</v>
          </cell>
          <cell r="S13">
            <v>56.752139999999997</v>
          </cell>
          <cell r="T13">
            <v>34.621200000000002</v>
          </cell>
          <cell r="U13">
            <v>38.972050000000003</v>
          </cell>
          <cell r="V13">
            <v>27.222529999999999</v>
          </cell>
          <cell r="W13">
            <v>31.186160000000001</v>
          </cell>
          <cell r="X13">
            <v>33.832509999999999</v>
          </cell>
          <cell r="Y13">
            <v>26.3765</v>
          </cell>
          <cell r="Z13">
            <v>50.209290000000003</v>
          </cell>
          <cell r="AA13">
            <v>33.120449999999998</v>
          </cell>
          <cell r="AB13">
            <v>36.091679999999997</v>
          </cell>
          <cell r="AC13">
            <v>30.171980000000001</v>
          </cell>
          <cell r="AD13">
            <v>38.46564</v>
          </cell>
          <cell r="AE13">
            <v>47.047800000000002</v>
          </cell>
          <cell r="AF13">
            <v>36.091679999999997</v>
          </cell>
          <cell r="AG13">
            <v>59.901649999999997</v>
          </cell>
          <cell r="AH13">
            <v>26.60305</v>
          </cell>
          <cell r="AI13">
            <v>46.115130000000001</v>
          </cell>
          <cell r="AJ13">
            <v>59.125869999999999</v>
          </cell>
          <cell r="AK13">
            <v>29.96048</v>
          </cell>
          <cell r="AL13">
            <v>26.60305</v>
          </cell>
          <cell r="AM13">
            <v>24.44135</v>
          </cell>
          <cell r="AN13">
            <v>20.622530000000001</v>
          </cell>
          <cell r="AO13">
            <v>15.90823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investexcel.net/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A4"/>
  <sheetViews>
    <sheetView workbookViewId="0">
      <selection activeCell="C25" sqref="C25"/>
    </sheetView>
  </sheetViews>
  <sheetFormatPr defaultRowHeight="15"/>
  <sheetData>
    <row r="1" spans="1:1">
      <c r="A1" t="s">
        <v>135</v>
      </c>
    </row>
    <row r="2" spans="1:1">
      <c r="A2" t="s">
        <v>136</v>
      </c>
    </row>
    <row r="3" spans="1:1">
      <c r="A3" t="s">
        <v>137</v>
      </c>
    </row>
    <row r="4" spans="1:1">
      <c r="A4" t="s">
        <v>138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2:I19"/>
  <sheetViews>
    <sheetView workbookViewId="0">
      <selection activeCell="A9" sqref="A9"/>
    </sheetView>
  </sheetViews>
  <sheetFormatPr defaultRowHeight="15"/>
  <sheetData>
    <row r="2" spans="1:9">
      <c r="A2" t="s">
        <v>91</v>
      </c>
    </row>
    <row r="3" spans="1:9">
      <c r="A3" t="s">
        <v>89</v>
      </c>
    </row>
    <row r="4" spans="1:9">
      <c r="A4" s="128" t="s">
        <v>90</v>
      </c>
    </row>
    <row r="5" spans="1:9">
      <c r="A5" s="136" t="s">
        <v>93</v>
      </c>
    </row>
    <row r="6" spans="1:9">
      <c r="A6" s="136" t="s">
        <v>114</v>
      </c>
    </row>
    <row r="7" spans="1:9">
      <c r="A7" s="136" t="s">
        <v>120</v>
      </c>
    </row>
    <row r="8" spans="1:9">
      <c r="A8" s="136" t="s">
        <v>121</v>
      </c>
    </row>
    <row r="9" spans="1:9">
      <c r="A9" s="136" t="s">
        <v>139</v>
      </c>
    </row>
    <row r="10" spans="1:9">
      <c r="A10" s="136" t="s">
        <v>140</v>
      </c>
      <c r="I10" t="s">
        <v>157</v>
      </c>
    </row>
    <row r="11" spans="1:9">
      <c r="A11" s="136" t="s">
        <v>141</v>
      </c>
    </row>
    <row r="12" spans="1:9">
      <c r="A12" s="136" t="s">
        <v>158</v>
      </c>
      <c r="I12" t="s">
        <v>166</v>
      </c>
    </row>
    <row r="13" spans="1:9">
      <c r="A13" s="136" t="s">
        <v>167</v>
      </c>
    </row>
    <row r="19" spans="1:2">
      <c r="A19" s="103"/>
      <c r="B19" t="s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AR1"/>
  <sheetViews>
    <sheetView workbookViewId="0"/>
  </sheetViews>
  <sheetFormatPr defaultRowHeight="15"/>
  <sheetData>
    <row r="1" spans="1:44">
      <c r="A1">
        <v>44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175</v>
      </c>
      <c r="H1" t="s">
        <v>176</v>
      </c>
      <c r="I1" t="s">
        <v>177</v>
      </c>
      <c r="J1" t="s">
        <v>178</v>
      </c>
      <c r="K1" t="s">
        <v>179</v>
      </c>
      <c r="L1" t="s">
        <v>180</v>
      </c>
      <c r="M1" t="s">
        <v>181</v>
      </c>
      <c r="N1" t="s">
        <v>182</v>
      </c>
      <c r="O1" t="s">
        <v>183</v>
      </c>
      <c r="P1" t="s">
        <v>184</v>
      </c>
      <c r="Q1" t="s">
        <v>185</v>
      </c>
      <c r="R1" t="s">
        <v>186</v>
      </c>
      <c r="S1" t="s">
        <v>187</v>
      </c>
      <c r="T1" t="s">
        <v>188</v>
      </c>
      <c r="U1" t="s">
        <v>189</v>
      </c>
      <c r="V1" t="s">
        <v>190</v>
      </c>
      <c r="W1" t="s">
        <v>191</v>
      </c>
      <c r="X1" t="s">
        <v>192</v>
      </c>
      <c r="Y1" t="s">
        <v>193</v>
      </c>
      <c r="Z1" t="s">
        <v>194</v>
      </c>
      <c r="AA1" t="s">
        <v>195</v>
      </c>
      <c r="AB1" t="s">
        <v>196</v>
      </c>
      <c r="AC1" t="s">
        <v>197</v>
      </c>
      <c r="AD1" t="s">
        <v>198</v>
      </c>
      <c r="AE1" t="s">
        <v>199</v>
      </c>
      <c r="AF1" t="s">
        <v>200</v>
      </c>
      <c r="AG1" t="s">
        <v>201</v>
      </c>
      <c r="AH1" t="s">
        <v>202</v>
      </c>
      <c r="AI1" t="s">
        <v>203</v>
      </c>
      <c r="AJ1" t="s">
        <v>204</v>
      </c>
      <c r="AK1" t="s">
        <v>205</v>
      </c>
      <c r="AL1" t="s">
        <v>206</v>
      </c>
      <c r="AM1" t="s">
        <v>207</v>
      </c>
      <c r="AN1" t="s">
        <v>208</v>
      </c>
      <c r="AO1" t="s">
        <v>209</v>
      </c>
      <c r="AP1" t="s">
        <v>210</v>
      </c>
      <c r="AQ1" t="s">
        <v>211</v>
      </c>
      <c r="AR1" t="s">
        <v>212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CC32"/>
  <sheetViews>
    <sheetView workbookViewId="0">
      <pane xSplit="1" topLeftCell="L1" activePane="topRight" state="frozen"/>
      <selection pane="topRight" activeCell="R18" sqref="R18"/>
    </sheetView>
  </sheetViews>
  <sheetFormatPr defaultRowHeight="15"/>
  <cols>
    <col min="1" max="1" width="17.5703125" customWidth="1"/>
    <col min="2" max="2" width="11.85546875" customWidth="1"/>
    <col min="3" max="4" width="9.85546875" customWidth="1"/>
    <col min="5" max="5" width="10.85546875" customWidth="1"/>
    <col min="6" max="6" width="10.7109375" customWidth="1"/>
    <col min="7" max="8" width="9.85546875" customWidth="1"/>
    <col min="9" max="9" width="10.85546875" customWidth="1"/>
    <col min="10" max="10" width="10.7109375" customWidth="1"/>
    <col min="11" max="12" width="9.85546875" customWidth="1"/>
    <col min="13" max="13" width="10.85546875" customWidth="1"/>
    <col min="14" max="14" width="10.7109375" customWidth="1"/>
    <col min="15" max="16" width="9.85546875" customWidth="1"/>
    <col min="17" max="17" width="10.85546875" customWidth="1"/>
    <col min="18" max="18" width="10.7109375" customWidth="1"/>
    <col min="19" max="20" width="9.85546875" customWidth="1"/>
    <col min="21" max="21" width="10.85546875" customWidth="1"/>
    <col min="22" max="22" width="10.7109375" customWidth="1"/>
    <col min="23" max="24" width="9.85546875" customWidth="1"/>
    <col min="25" max="25" width="10.85546875" customWidth="1"/>
    <col min="26" max="26" width="10.7109375" customWidth="1"/>
    <col min="27" max="28" width="9.85546875" customWidth="1"/>
    <col min="29" max="29" width="10.85546875" customWidth="1"/>
    <col min="30" max="30" width="10.7109375" customWidth="1"/>
    <col min="31" max="32" width="9.85546875" customWidth="1"/>
    <col min="33" max="33" width="10.85546875" customWidth="1"/>
    <col min="34" max="34" width="10.7109375" customWidth="1"/>
    <col min="35" max="36" width="9.85546875" customWidth="1"/>
    <col min="37" max="37" width="10.85546875" customWidth="1"/>
    <col min="38" max="38" width="10.7109375" customWidth="1"/>
    <col min="39" max="39" width="9.85546875" customWidth="1"/>
    <col min="40" max="40" width="12" bestFit="1" customWidth="1"/>
    <col min="41" max="41" width="10.85546875" style="9" customWidth="1"/>
    <col min="42" max="42" width="10.7109375" bestFit="1" customWidth="1"/>
    <col min="43" max="44" width="9.7109375" bestFit="1" customWidth="1"/>
    <col min="45" max="45" width="10.7109375" bestFit="1" customWidth="1"/>
    <col min="46" max="48" width="9.7109375" bestFit="1" customWidth="1"/>
    <col min="49" max="49" width="10.7109375" bestFit="1" customWidth="1"/>
    <col min="50" max="52" width="9.7109375" bestFit="1" customWidth="1"/>
    <col min="53" max="53" width="10.42578125" bestFit="1" customWidth="1"/>
    <col min="56" max="56" width="9.7109375" bestFit="1" customWidth="1"/>
    <col min="57" max="57" width="10.7109375" bestFit="1" customWidth="1"/>
    <col min="58" max="60" width="9.7109375" bestFit="1" customWidth="1"/>
    <col min="61" max="61" width="10.7109375" style="9" bestFit="1" customWidth="1"/>
    <col min="81" max="81" width="9.140625" style="9"/>
  </cols>
  <sheetData>
    <row r="1" spans="1:81">
      <c r="A1" s="148" t="s">
        <v>247</v>
      </c>
      <c r="B1" t="s">
        <v>88</v>
      </c>
    </row>
    <row r="3" spans="1:81">
      <c r="B3">
        <v>461</v>
      </c>
      <c r="C3">
        <v>462</v>
      </c>
      <c r="D3">
        <v>463</v>
      </c>
      <c r="E3">
        <v>464</v>
      </c>
      <c r="F3">
        <v>465</v>
      </c>
      <c r="G3">
        <v>466</v>
      </c>
      <c r="H3">
        <v>467</v>
      </c>
      <c r="I3">
        <v>468</v>
      </c>
      <c r="J3">
        <v>469</v>
      </c>
      <c r="K3">
        <v>470</v>
      </c>
      <c r="L3">
        <v>471</v>
      </c>
      <c r="M3">
        <v>472</v>
      </c>
      <c r="N3">
        <v>473</v>
      </c>
      <c r="O3">
        <v>474</v>
      </c>
      <c r="P3">
        <v>475</v>
      </c>
      <c r="Q3">
        <v>476</v>
      </c>
      <c r="R3">
        <v>477</v>
      </c>
      <c r="S3">
        <v>478</v>
      </c>
      <c r="T3">
        <v>479</v>
      </c>
      <c r="U3">
        <v>480</v>
      </c>
      <c r="V3">
        <v>481</v>
      </c>
      <c r="W3">
        <v>482</v>
      </c>
      <c r="X3">
        <v>483</v>
      </c>
      <c r="Y3">
        <v>484</v>
      </c>
      <c r="Z3">
        <v>485</v>
      </c>
      <c r="AA3">
        <v>486</v>
      </c>
      <c r="AB3">
        <v>487</v>
      </c>
      <c r="AC3">
        <v>488</v>
      </c>
      <c r="AD3">
        <v>489</v>
      </c>
      <c r="AE3">
        <v>490</v>
      </c>
      <c r="AF3">
        <v>491</v>
      </c>
      <c r="AG3">
        <v>492</v>
      </c>
      <c r="AH3">
        <v>493</v>
      </c>
      <c r="AI3">
        <v>494</v>
      </c>
      <c r="AJ3">
        <v>495</v>
      </c>
      <c r="AK3">
        <v>496</v>
      </c>
      <c r="AL3">
        <v>497</v>
      </c>
      <c r="AM3">
        <v>498</v>
      </c>
      <c r="AN3">
        <v>499</v>
      </c>
      <c r="AO3" s="9">
        <v>500</v>
      </c>
    </row>
    <row r="4" spans="1:81">
      <c r="A4" t="s">
        <v>213</v>
      </c>
      <c r="B4" s="146">
        <v>38890</v>
      </c>
      <c r="C4" s="146">
        <v>38481</v>
      </c>
      <c r="D4" s="146">
        <v>38989</v>
      </c>
      <c r="E4" s="146">
        <v>38663</v>
      </c>
      <c r="F4" s="146">
        <v>39171</v>
      </c>
      <c r="G4" s="146">
        <v>38841</v>
      </c>
      <c r="H4" s="146">
        <v>39337</v>
      </c>
      <c r="I4" s="146">
        <v>39020</v>
      </c>
      <c r="J4" s="146">
        <v>39709</v>
      </c>
      <c r="K4" s="146">
        <v>39217</v>
      </c>
      <c r="L4" s="146">
        <v>39714</v>
      </c>
      <c r="M4" s="146">
        <v>39385</v>
      </c>
      <c r="N4" s="146">
        <v>39902</v>
      </c>
      <c r="O4" s="146">
        <v>39573</v>
      </c>
      <c r="P4" s="146">
        <v>40080</v>
      </c>
      <c r="Q4" s="146">
        <v>39758</v>
      </c>
      <c r="R4" s="146">
        <v>40262</v>
      </c>
      <c r="S4" s="146">
        <v>39940</v>
      </c>
      <c r="T4" s="146">
        <v>40437</v>
      </c>
      <c r="U4" s="146">
        <v>40115</v>
      </c>
      <c r="V4" s="146">
        <v>40633</v>
      </c>
      <c r="W4" s="146">
        <v>40304</v>
      </c>
      <c r="X4" s="146">
        <v>40813</v>
      </c>
      <c r="Y4" s="146">
        <v>40479</v>
      </c>
      <c r="Z4" s="146">
        <v>40997</v>
      </c>
      <c r="AA4" s="146">
        <v>40667</v>
      </c>
      <c r="AB4" s="146">
        <v>41179</v>
      </c>
      <c r="AC4" s="146">
        <v>40849</v>
      </c>
      <c r="AD4" s="146">
        <v>41354</v>
      </c>
      <c r="AE4" s="146">
        <v>41038</v>
      </c>
      <c r="AF4" s="146">
        <v>41179</v>
      </c>
      <c r="AG4" s="146">
        <v>41221</v>
      </c>
      <c r="AH4" s="146">
        <v>41725</v>
      </c>
      <c r="AI4" s="146">
        <v>41402</v>
      </c>
      <c r="AJ4" s="146">
        <v>41493</v>
      </c>
      <c r="AK4" s="146">
        <v>41584</v>
      </c>
      <c r="AL4" s="146">
        <v>41725</v>
      </c>
      <c r="AM4" s="146">
        <v>41773</v>
      </c>
      <c r="AN4" s="146">
        <v>41864</v>
      </c>
      <c r="AO4" s="146">
        <v>41955</v>
      </c>
      <c r="AP4">
        <v>1</v>
      </c>
      <c r="AQ4">
        <v>2</v>
      </c>
      <c r="AR4">
        <v>3</v>
      </c>
      <c r="AS4">
        <v>4</v>
      </c>
      <c r="AT4">
        <v>5</v>
      </c>
      <c r="AU4">
        <v>6</v>
      </c>
      <c r="AV4">
        <v>7</v>
      </c>
      <c r="AW4">
        <v>8</v>
      </c>
      <c r="AX4">
        <v>9</v>
      </c>
      <c r="AY4">
        <v>10</v>
      </c>
      <c r="AZ4">
        <v>11</v>
      </c>
      <c r="BA4">
        <v>12</v>
      </c>
      <c r="BB4">
        <v>13</v>
      </c>
      <c r="BC4">
        <v>14</v>
      </c>
      <c r="BD4">
        <v>15</v>
      </c>
      <c r="BE4">
        <v>16</v>
      </c>
      <c r="BF4">
        <v>17</v>
      </c>
      <c r="BG4">
        <v>18</v>
      </c>
      <c r="BH4">
        <v>19</v>
      </c>
      <c r="BI4" s="9">
        <v>20</v>
      </c>
    </row>
    <row r="6" spans="1:81">
      <c r="B6" t="s">
        <v>218</v>
      </c>
      <c r="C6" t="s">
        <v>214</v>
      </c>
      <c r="D6" t="s">
        <v>245</v>
      </c>
      <c r="E6" t="s">
        <v>222</v>
      </c>
      <c r="F6" t="s">
        <v>244</v>
      </c>
      <c r="G6" t="s">
        <v>214</v>
      </c>
      <c r="H6" t="s">
        <v>245</v>
      </c>
      <c r="I6" t="s">
        <v>216</v>
      </c>
      <c r="J6" t="s">
        <v>245</v>
      </c>
      <c r="K6" t="s">
        <v>214</v>
      </c>
      <c r="L6" t="s">
        <v>245</v>
      </c>
      <c r="M6" t="s">
        <v>216</v>
      </c>
      <c r="N6" t="s">
        <v>244</v>
      </c>
      <c r="O6" t="s">
        <v>214</v>
      </c>
      <c r="P6" t="s">
        <v>245</v>
      </c>
      <c r="Q6" t="s">
        <v>222</v>
      </c>
      <c r="R6" t="s">
        <v>244</v>
      </c>
      <c r="S6" t="s">
        <v>214</v>
      </c>
      <c r="T6" t="s">
        <v>245</v>
      </c>
      <c r="U6" t="s">
        <v>216</v>
      </c>
      <c r="V6" t="s">
        <v>244</v>
      </c>
      <c r="W6" t="s">
        <v>214</v>
      </c>
      <c r="X6" t="s">
        <v>245</v>
      </c>
      <c r="Y6" t="s">
        <v>216</v>
      </c>
      <c r="Z6" t="s">
        <v>244</v>
      </c>
      <c r="AA6" t="s">
        <v>214</v>
      </c>
      <c r="AB6" t="s">
        <v>245</v>
      </c>
      <c r="AC6" t="s">
        <v>222</v>
      </c>
      <c r="AD6" t="s">
        <v>244</v>
      </c>
      <c r="AE6" t="s">
        <v>214</v>
      </c>
      <c r="AF6" t="s">
        <v>245</v>
      </c>
      <c r="AG6" t="s">
        <v>222</v>
      </c>
      <c r="AH6" t="s">
        <v>244</v>
      </c>
      <c r="AI6" t="s">
        <v>214</v>
      </c>
      <c r="AJ6" t="s">
        <v>219</v>
      </c>
      <c r="AK6" t="s">
        <v>222</v>
      </c>
      <c r="AL6" t="s">
        <v>244</v>
      </c>
      <c r="AM6" t="s">
        <v>214</v>
      </c>
      <c r="AN6" t="s">
        <v>219</v>
      </c>
      <c r="AO6" s="9" t="s">
        <v>222</v>
      </c>
      <c r="AP6" t="s">
        <v>244</v>
      </c>
      <c r="AQ6" t="s">
        <v>214</v>
      </c>
      <c r="AR6" t="s">
        <v>219</v>
      </c>
      <c r="AS6" t="s">
        <v>222</v>
      </c>
      <c r="AT6" t="s">
        <v>217</v>
      </c>
      <c r="AU6" t="s">
        <v>220</v>
      </c>
      <c r="AV6" t="s">
        <v>215</v>
      </c>
      <c r="AW6" t="s">
        <v>216</v>
      </c>
      <c r="AX6" t="s">
        <v>217</v>
      </c>
      <c r="AY6" t="s">
        <v>220</v>
      </c>
      <c r="AZ6" t="s">
        <v>215</v>
      </c>
      <c r="BA6" t="s">
        <v>222</v>
      </c>
      <c r="BB6" t="s">
        <v>221</v>
      </c>
      <c r="BC6" t="s">
        <v>214</v>
      </c>
      <c r="BD6" t="s">
        <v>219</v>
      </c>
      <c r="BE6" t="s">
        <v>222</v>
      </c>
      <c r="BF6" t="s">
        <v>221</v>
      </c>
      <c r="BG6" t="s">
        <v>214</v>
      </c>
      <c r="BH6" t="s">
        <v>219</v>
      </c>
      <c r="BI6" s="9" t="s">
        <v>222</v>
      </c>
    </row>
    <row r="7" spans="1:81">
      <c r="A7" t="s">
        <v>98</v>
      </c>
      <c r="B7">
        <v>2</v>
      </c>
      <c r="C7">
        <v>2</v>
      </c>
      <c r="D7">
        <v>3</v>
      </c>
      <c r="E7">
        <v>4</v>
      </c>
      <c r="F7">
        <v>1</v>
      </c>
      <c r="G7">
        <v>2</v>
      </c>
      <c r="H7">
        <v>3</v>
      </c>
      <c r="I7">
        <v>4</v>
      </c>
      <c r="J7">
        <v>3</v>
      </c>
      <c r="K7">
        <v>2</v>
      </c>
      <c r="L7">
        <v>3</v>
      </c>
      <c r="M7">
        <v>4</v>
      </c>
      <c r="N7">
        <v>1</v>
      </c>
      <c r="O7">
        <v>2</v>
      </c>
      <c r="P7">
        <v>3</v>
      </c>
      <c r="Q7">
        <v>4</v>
      </c>
      <c r="R7">
        <v>1</v>
      </c>
      <c r="S7">
        <v>2</v>
      </c>
      <c r="T7">
        <v>3</v>
      </c>
      <c r="U7">
        <v>4</v>
      </c>
      <c r="V7">
        <v>1</v>
      </c>
      <c r="W7">
        <v>2</v>
      </c>
      <c r="X7">
        <v>3</v>
      </c>
      <c r="Y7">
        <v>4</v>
      </c>
      <c r="Z7">
        <v>1</v>
      </c>
      <c r="AA7">
        <v>2</v>
      </c>
      <c r="AB7">
        <v>3</v>
      </c>
      <c r="AC7">
        <v>4</v>
      </c>
      <c r="AD7">
        <v>1</v>
      </c>
      <c r="AE7">
        <v>2</v>
      </c>
      <c r="AF7">
        <v>3</v>
      </c>
      <c r="AG7">
        <v>4</v>
      </c>
      <c r="AH7">
        <v>1</v>
      </c>
      <c r="AI7">
        <v>2</v>
      </c>
      <c r="AJ7">
        <v>3</v>
      </c>
      <c r="AK7">
        <v>4</v>
      </c>
      <c r="AL7">
        <v>1</v>
      </c>
      <c r="AM7">
        <v>2</v>
      </c>
      <c r="AN7">
        <v>3</v>
      </c>
      <c r="AO7" s="9">
        <v>4</v>
      </c>
      <c r="AP7">
        <v>1</v>
      </c>
      <c r="AQ7">
        <v>2</v>
      </c>
      <c r="AR7">
        <v>3</v>
      </c>
      <c r="AS7">
        <v>4</v>
      </c>
      <c r="AT7">
        <v>1</v>
      </c>
      <c r="AU7">
        <v>2</v>
      </c>
      <c r="AV7">
        <v>3</v>
      </c>
      <c r="AW7">
        <v>4</v>
      </c>
      <c r="AX7">
        <v>1</v>
      </c>
      <c r="AY7">
        <v>2</v>
      </c>
      <c r="AZ7">
        <v>3</v>
      </c>
      <c r="BA7">
        <v>4</v>
      </c>
      <c r="BB7">
        <v>1</v>
      </c>
      <c r="BC7">
        <v>2</v>
      </c>
      <c r="BD7">
        <v>3</v>
      </c>
      <c r="BE7">
        <v>4</v>
      </c>
      <c r="BF7">
        <v>1</v>
      </c>
      <c r="BG7">
        <v>2</v>
      </c>
      <c r="BH7">
        <v>3</v>
      </c>
      <c r="BI7" s="9">
        <v>4</v>
      </c>
    </row>
    <row r="8" spans="1:81">
      <c r="A8" t="s">
        <v>97</v>
      </c>
      <c r="B8" t="s">
        <v>224</v>
      </c>
      <c r="C8" t="s">
        <v>223</v>
      </c>
      <c r="D8" t="s">
        <v>224</v>
      </c>
      <c r="E8" t="s">
        <v>223</v>
      </c>
      <c r="F8" t="s">
        <v>225</v>
      </c>
      <c r="G8" t="s">
        <v>224</v>
      </c>
      <c r="H8" t="s">
        <v>225</v>
      </c>
      <c r="I8" t="s">
        <v>224</v>
      </c>
      <c r="J8" t="s">
        <v>246</v>
      </c>
      <c r="K8" t="s">
        <v>225</v>
      </c>
      <c r="L8" t="s">
        <v>246</v>
      </c>
      <c r="M8" t="s">
        <v>225</v>
      </c>
      <c r="N8" t="s">
        <v>226</v>
      </c>
      <c r="O8" t="s">
        <v>246</v>
      </c>
      <c r="P8" t="s">
        <v>226</v>
      </c>
      <c r="Q8" t="s">
        <v>246</v>
      </c>
      <c r="R8" t="s">
        <v>227</v>
      </c>
      <c r="S8" t="s">
        <v>226</v>
      </c>
      <c r="T8" t="s">
        <v>227</v>
      </c>
      <c r="U8" t="s">
        <v>226</v>
      </c>
      <c r="V8" t="s">
        <v>228</v>
      </c>
      <c r="W8" t="s">
        <v>227</v>
      </c>
      <c r="X8" t="s">
        <v>228</v>
      </c>
      <c r="Y8" t="s">
        <v>227</v>
      </c>
      <c r="Z8" t="s">
        <v>229</v>
      </c>
      <c r="AA8" t="s">
        <v>228</v>
      </c>
      <c r="AB8" t="s">
        <v>229</v>
      </c>
      <c r="AC8" t="s">
        <v>228</v>
      </c>
      <c r="AD8" t="s">
        <v>230</v>
      </c>
      <c r="AE8" t="s">
        <v>229</v>
      </c>
      <c r="AF8" t="s">
        <v>229</v>
      </c>
      <c r="AG8" t="s">
        <v>229</v>
      </c>
      <c r="AH8" t="s">
        <v>231</v>
      </c>
      <c r="AI8" t="s">
        <v>230</v>
      </c>
      <c r="AJ8" t="s">
        <v>230</v>
      </c>
      <c r="AK8" t="s">
        <v>230</v>
      </c>
      <c r="AL8" t="s">
        <v>231</v>
      </c>
      <c r="AM8" t="s">
        <v>231</v>
      </c>
      <c r="AN8" t="s">
        <v>231</v>
      </c>
      <c r="AO8" s="9" t="s">
        <v>231</v>
      </c>
      <c r="AP8" t="s">
        <v>232</v>
      </c>
      <c r="AQ8" t="s">
        <v>232</v>
      </c>
      <c r="AR8" t="s">
        <v>232</v>
      </c>
      <c r="AS8" t="s">
        <v>232</v>
      </c>
      <c r="AT8" t="s">
        <v>232</v>
      </c>
      <c r="AU8" t="s">
        <v>232</v>
      </c>
      <c r="AV8" t="s">
        <v>232</v>
      </c>
      <c r="AW8" t="s">
        <v>232</v>
      </c>
      <c r="AX8" t="s">
        <v>233</v>
      </c>
      <c r="AY8" t="s">
        <v>233</v>
      </c>
      <c r="AZ8" t="s">
        <v>233</v>
      </c>
      <c r="BA8" t="s">
        <v>233</v>
      </c>
      <c r="BB8" t="s">
        <v>234</v>
      </c>
      <c r="BC8" t="s">
        <v>234</v>
      </c>
      <c r="BD8" t="s">
        <v>234</v>
      </c>
      <c r="BE8" t="s">
        <v>234</v>
      </c>
      <c r="BF8" t="s">
        <v>235</v>
      </c>
      <c r="BG8" t="s">
        <v>235</v>
      </c>
      <c r="BH8" t="s">
        <v>235</v>
      </c>
      <c r="BI8" s="9" t="s">
        <v>235</v>
      </c>
    </row>
    <row r="9" spans="1:81">
      <c r="B9" s="61">
        <v>38890</v>
      </c>
      <c r="C9" s="61">
        <v>38481</v>
      </c>
      <c r="D9" s="61">
        <v>38989</v>
      </c>
      <c r="E9" s="61">
        <v>38663</v>
      </c>
      <c r="F9" s="61">
        <v>39171</v>
      </c>
      <c r="G9" s="61">
        <v>38841</v>
      </c>
      <c r="H9" s="61">
        <v>39337</v>
      </c>
      <c r="I9" s="61">
        <v>39020</v>
      </c>
      <c r="J9" s="61">
        <v>39709</v>
      </c>
      <c r="K9" s="61">
        <v>39217</v>
      </c>
      <c r="L9" s="61">
        <v>39714</v>
      </c>
      <c r="M9" s="61">
        <v>39385</v>
      </c>
      <c r="N9" s="61">
        <v>39902</v>
      </c>
      <c r="O9" s="61">
        <v>39573</v>
      </c>
      <c r="P9" s="61">
        <v>40080</v>
      </c>
      <c r="Q9" s="61">
        <v>39758</v>
      </c>
      <c r="R9" s="61">
        <v>40262</v>
      </c>
      <c r="S9" s="61">
        <v>39940</v>
      </c>
      <c r="T9" s="61">
        <v>40437</v>
      </c>
      <c r="U9" s="61">
        <v>40115</v>
      </c>
      <c r="V9" s="61">
        <v>40633</v>
      </c>
      <c r="W9" s="61">
        <v>40304</v>
      </c>
      <c r="X9" s="61">
        <v>40813</v>
      </c>
      <c r="Y9" s="61">
        <v>40479</v>
      </c>
      <c r="Z9" s="61">
        <v>40997</v>
      </c>
      <c r="AA9" s="61">
        <v>40667</v>
      </c>
      <c r="AB9" s="61">
        <v>41179</v>
      </c>
      <c r="AC9" s="61">
        <v>40849</v>
      </c>
      <c r="AD9" s="61">
        <v>41354</v>
      </c>
      <c r="AE9" s="61">
        <v>41038</v>
      </c>
      <c r="AF9" s="61">
        <v>41179</v>
      </c>
      <c r="AG9" s="61">
        <v>41221</v>
      </c>
      <c r="AH9" s="61">
        <v>41725</v>
      </c>
      <c r="AI9" s="61">
        <v>41402</v>
      </c>
      <c r="AJ9" s="61">
        <v>41493</v>
      </c>
      <c r="AK9" s="61">
        <v>41584</v>
      </c>
      <c r="AL9" s="61">
        <v>41725</v>
      </c>
      <c r="AM9" s="61">
        <v>41773</v>
      </c>
      <c r="AN9" s="61">
        <v>41864</v>
      </c>
      <c r="AO9" s="62">
        <v>41955</v>
      </c>
      <c r="AP9" s="61">
        <v>42090</v>
      </c>
      <c r="AQ9" s="61">
        <v>42138</v>
      </c>
      <c r="AR9" s="61">
        <v>42229</v>
      </c>
      <c r="AS9" s="61">
        <v>42320</v>
      </c>
      <c r="AT9" s="61">
        <v>42017</v>
      </c>
      <c r="AU9" s="61">
        <v>42111</v>
      </c>
      <c r="AV9" s="61">
        <v>42205</v>
      </c>
      <c r="AW9" s="61">
        <v>42299</v>
      </c>
      <c r="AX9" s="61">
        <v>42393</v>
      </c>
      <c r="AY9" s="61">
        <v>42487</v>
      </c>
      <c r="AZ9" s="61">
        <v>42581</v>
      </c>
      <c r="BA9" s="61">
        <v>42675</v>
      </c>
      <c r="BB9" s="61">
        <v>42769</v>
      </c>
      <c r="BC9" s="61">
        <v>42863</v>
      </c>
      <c r="BD9" s="61">
        <v>42957</v>
      </c>
      <c r="BE9" s="61">
        <v>43051</v>
      </c>
      <c r="BF9" s="61">
        <v>43145</v>
      </c>
      <c r="BG9" s="61">
        <v>43239</v>
      </c>
      <c r="BH9" s="61">
        <v>43333</v>
      </c>
      <c r="BI9" s="62">
        <v>43427</v>
      </c>
      <c r="BJ9" s="61">
        <v>43521</v>
      </c>
      <c r="BK9" s="61">
        <v>43615</v>
      </c>
      <c r="BL9" s="61">
        <v>43709</v>
      </c>
      <c r="BM9" s="61">
        <v>43803</v>
      </c>
      <c r="BN9" s="61">
        <v>43897</v>
      </c>
      <c r="BO9" s="61">
        <v>43991</v>
      </c>
      <c r="BP9" s="61">
        <v>44085</v>
      </c>
      <c r="BQ9" s="61">
        <v>44179</v>
      </c>
      <c r="BR9" s="61">
        <v>44273</v>
      </c>
      <c r="BS9" s="61">
        <v>44367</v>
      </c>
      <c r="BT9" s="61">
        <v>44461</v>
      </c>
      <c r="BU9" s="61">
        <v>44555</v>
      </c>
      <c r="BV9" s="61">
        <v>44649</v>
      </c>
      <c r="BW9" s="61">
        <v>44743</v>
      </c>
      <c r="BX9" s="61">
        <v>44837</v>
      </c>
      <c r="BY9" s="61">
        <v>44931</v>
      </c>
      <c r="BZ9" s="61">
        <v>45025</v>
      </c>
      <c r="CA9" s="61">
        <v>45119</v>
      </c>
      <c r="CB9" s="61">
        <v>45213</v>
      </c>
      <c r="CC9" s="62">
        <v>45307</v>
      </c>
    </row>
    <row r="10" spans="1:81">
      <c r="A10" s="102" t="s">
        <v>236</v>
      </c>
      <c r="B10" s="103">
        <v>1.72</v>
      </c>
      <c r="C10" s="103">
        <v>1.873</v>
      </c>
      <c r="D10" s="103">
        <v>2.0030000000000001</v>
      </c>
      <c r="E10" s="103">
        <v>0.68700000000000006</v>
      </c>
      <c r="F10" s="103">
        <v>1.2849999999999999</v>
      </c>
      <c r="G10" s="103">
        <v>1.4350000000000001</v>
      </c>
      <c r="H10" s="103">
        <v>1.577</v>
      </c>
      <c r="I10" s="103">
        <v>2.0739999999999998</v>
      </c>
      <c r="J10" s="103">
        <v>3.3820000000000001</v>
      </c>
      <c r="K10" s="103">
        <v>3.9049999999999998</v>
      </c>
      <c r="L10" s="103">
        <v>4.6079999999999997</v>
      </c>
      <c r="M10" s="103">
        <v>5.24</v>
      </c>
      <c r="N10" s="103">
        <v>5.7350000000000003</v>
      </c>
      <c r="O10" s="103">
        <v>6.95</v>
      </c>
      <c r="P10" s="103">
        <v>8.0079999999999991</v>
      </c>
      <c r="Q10" s="103">
        <v>9.0229999999999997</v>
      </c>
      <c r="R10" s="103">
        <v>9.5850000000000009</v>
      </c>
      <c r="S10" s="103">
        <v>9.8480000000000008</v>
      </c>
      <c r="T10" s="103">
        <v>6.673</v>
      </c>
      <c r="U10" s="103">
        <v>10.651</v>
      </c>
      <c r="V10" s="103">
        <v>12.874000000000001</v>
      </c>
      <c r="W10" s="103">
        <v>13.587999999999999</v>
      </c>
      <c r="X10" s="103">
        <v>14.897</v>
      </c>
      <c r="Y10" s="103">
        <v>16.376999999999999</v>
      </c>
      <c r="Z10" s="103">
        <v>17.135999999999999</v>
      </c>
      <c r="AA10" s="103">
        <v>13.179</v>
      </c>
      <c r="AB10" s="103">
        <v>17.306000000000001</v>
      </c>
      <c r="AC10" s="103">
        <v>18.702999999999999</v>
      </c>
      <c r="AD10" s="103">
        <v>14.269</v>
      </c>
      <c r="AE10" s="103">
        <v>14.414999999999999</v>
      </c>
      <c r="AF10" s="103">
        <v>15.798</v>
      </c>
      <c r="AG10" s="103">
        <v>9.2870000000000008</v>
      </c>
      <c r="AH10" s="103">
        <v>15.207000000000001</v>
      </c>
      <c r="AI10" s="103">
        <v>15.295999999999999</v>
      </c>
      <c r="AJ10" s="103">
        <v>16.652999999999999</v>
      </c>
      <c r="AK10" s="103">
        <v>18.803999999999998</v>
      </c>
      <c r="AL10" s="103">
        <v>20.097000000000001</v>
      </c>
      <c r="AM10" s="103">
        <v>20.288</v>
      </c>
      <c r="AN10" s="103">
        <v>22.102</v>
      </c>
      <c r="AO10" s="103">
        <v>19.241</v>
      </c>
    </row>
    <row r="11" spans="1:81">
      <c r="A11" t="s">
        <v>237</v>
      </c>
      <c r="B11" s="103">
        <v>-1.0773250000000001</v>
      </c>
      <c r="C11" s="103">
        <v>-0.99279200000000001</v>
      </c>
      <c r="D11" s="103">
        <v>-1.158012</v>
      </c>
      <c r="E11" s="103" t="str">
        <f>""</f>
        <v/>
      </c>
      <c r="F11" s="103">
        <v>-1.320233</v>
      </c>
      <c r="G11" s="103">
        <v>-1.810627</v>
      </c>
      <c r="H11" s="103">
        <v>-1.377615</v>
      </c>
      <c r="I11" s="103">
        <v>-0.93117099999999997</v>
      </c>
      <c r="J11" s="103">
        <v>-0.354597</v>
      </c>
      <c r="K11" s="103">
        <v>-0.257938</v>
      </c>
      <c r="L11" s="103">
        <v>-0.42285099999999998</v>
      </c>
      <c r="M11" s="103">
        <v>-5.9017E-2</v>
      </c>
      <c r="N11" s="103">
        <v>-2.6983E-2</v>
      </c>
      <c r="O11" s="103">
        <v>-0.157805</v>
      </c>
      <c r="P11" s="103">
        <v>3.6088000000000002E-2</v>
      </c>
      <c r="Q11" s="103">
        <v>8.4034999999999999E-2</v>
      </c>
      <c r="R11" s="103">
        <v>0.13888800000000001</v>
      </c>
      <c r="S11" s="103">
        <v>0.18493600000000002</v>
      </c>
      <c r="T11" s="103">
        <v>-2.4575999999999997E-2</v>
      </c>
      <c r="U11" s="103">
        <v>0.22263100000000002</v>
      </c>
      <c r="V11" s="103">
        <v>0.29644999999999999</v>
      </c>
      <c r="W11" s="103">
        <v>0.330291</v>
      </c>
      <c r="X11" s="103">
        <v>0.36698599999999998</v>
      </c>
      <c r="Y11" s="103">
        <v>0.42480299999999999</v>
      </c>
      <c r="Z11" s="103">
        <v>0.39238999999999996</v>
      </c>
      <c r="AA11" s="103">
        <v>0.22824100000000003</v>
      </c>
      <c r="AB11" s="103">
        <v>0.402808</v>
      </c>
      <c r="AC11" s="103">
        <v>0.39287799999999995</v>
      </c>
      <c r="AD11" s="103">
        <v>0.25208400000000003</v>
      </c>
      <c r="AE11" s="103">
        <v>0.32452300000000001</v>
      </c>
      <c r="AF11" s="103">
        <v>0.318268</v>
      </c>
      <c r="AG11" s="103">
        <v>-2.8103E-2</v>
      </c>
      <c r="AH11" s="103">
        <v>0.29164200000000001</v>
      </c>
      <c r="AI11" s="103">
        <v>0.206263</v>
      </c>
      <c r="AJ11" s="103">
        <v>0.28649400000000003</v>
      </c>
      <c r="AK11" s="103">
        <v>0.32966299999999998</v>
      </c>
      <c r="AL11" s="103">
        <v>0.304921</v>
      </c>
      <c r="AM11" s="103">
        <v>0.28558700000000004</v>
      </c>
      <c r="AN11" s="103">
        <v>0.30567299999999997</v>
      </c>
      <c r="AO11" s="103">
        <v>0.22639099999999998</v>
      </c>
    </row>
    <row r="12" spans="1:81">
      <c r="A12" t="s">
        <v>238</v>
      </c>
      <c r="B12">
        <v>-1.8529990000000001</v>
      </c>
      <c r="C12">
        <v>-1.859499416</v>
      </c>
      <c r="D12">
        <v>-2.3194980360000002</v>
      </c>
      <c r="E12" t="str">
        <f>""</f>
        <v/>
      </c>
      <c r="F12">
        <v>-1.696499405</v>
      </c>
      <c r="G12">
        <v>-2.5982497449999999</v>
      </c>
      <c r="H12">
        <v>-2.1724988550000002</v>
      </c>
      <c r="I12">
        <v>-1.9312486539999998</v>
      </c>
      <c r="J12">
        <v>-1.199247054</v>
      </c>
      <c r="K12">
        <v>-1.0072478899999999</v>
      </c>
      <c r="L12">
        <v>-1.9484974079999997</v>
      </c>
      <c r="M12">
        <v>-0.30924908000000001</v>
      </c>
      <c r="N12">
        <v>-0.15474750500000001</v>
      </c>
      <c r="O12">
        <v>-1.09674475</v>
      </c>
      <c r="P12">
        <v>0.28899270399999999</v>
      </c>
      <c r="Q12">
        <v>0.758247805</v>
      </c>
      <c r="R12">
        <v>1.3312414800000003</v>
      </c>
      <c r="S12">
        <v>1.8212497280000004</v>
      </c>
      <c r="T12">
        <v>-0.16399564799999999</v>
      </c>
      <c r="U12">
        <v>2.3712427810000003</v>
      </c>
      <c r="V12">
        <v>3.8164973</v>
      </c>
      <c r="W12">
        <v>4.4879941079999996</v>
      </c>
      <c r="X12">
        <v>5.4669904420000002</v>
      </c>
      <c r="Y12">
        <v>6.9569987309999997</v>
      </c>
      <c r="Z12">
        <v>6.7239950399999993</v>
      </c>
      <c r="AA12">
        <v>3.0079881390000005</v>
      </c>
      <c r="AB12">
        <v>6.9709952480000004</v>
      </c>
      <c r="AC12">
        <v>7.3479972339999984</v>
      </c>
      <c r="AD12">
        <v>3.5969865960000003</v>
      </c>
      <c r="AE12">
        <v>4.677999045</v>
      </c>
      <c r="AF12">
        <v>5.0279978639999996</v>
      </c>
      <c r="AG12">
        <v>-0.26099256100000001</v>
      </c>
      <c r="AH12">
        <v>4.4349998940000006</v>
      </c>
      <c r="AI12">
        <v>3.154998848</v>
      </c>
      <c r="AJ12">
        <v>4.7709845819999996</v>
      </c>
      <c r="AK12">
        <v>6.1989830519999991</v>
      </c>
      <c r="AL12">
        <v>6.127997337</v>
      </c>
      <c r="AM12">
        <v>5.7939890560000009</v>
      </c>
      <c r="AN12">
        <v>6.7559846459999999</v>
      </c>
      <c r="AO12" s="9">
        <v>4.3559892309999997</v>
      </c>
    </row>
    <row r="13" spans="1:81">
      <c r="A13" s="17" t="s">
        <v>239</v>
      </c>
      <c r="B13" s="103" t="str">
        <f>""</f>
        <v/>
      </c>
      <c r="C13" s="103" t="str">
        <f>""</f>
        <v/>
      </c>
      <c r="D13" s="103" t="str">
        <f>""</f>
        <v/>
      </c>
      <c r="E13" s="103" t="str">
        <f>""</f>
        <v/>
      </c>
      <c r="F13" s="103" t="str">
        <f>""</f>
        <v/>
      </c>
      <c r="G13" s="103" t="str">
        <f>""</f>
        <v/>
      </c>
      <c r="H13" s="103" t="str">
        <f>""</f>
        <v/>
      </c>
      <c r="I13" s="103" t="str">
        <f>""</f>
        <v/>
      </c>
      <c r="J13" s="103" t="str">
        <f>""</f>
        <v/>
      </c>
      <c r="K13" s="103" t="str">
        <f>""</f>
        <v/>
      </c>
      <c r="L13" s="103" t="str">
        <f>""</f>
        <v/>
      </c>
      <c r="M13" s="103" t="str">
        <f>""</f>
        <v/>
      </c>
      <c r="N13" s="103">
        <v>125.51311</v>
      </c>
      <c r="O13" s="103" t="str">
        <f>""</f>
        <v/>
      </c>
      <c r="P13" s="103">
        <v>63.191609999999997</v>
      </c>
      <c r="Q13" s="103" t="str">
        <f>""</f>
        <v/>
      </c>
      <c r="R13" s="103">
        <v>50.030500000000004</v>
      </c>
      <c r="S13" s="103">
        <v>56.752139999999997</v>
      </c>
      <c r="T13" s="103">
        <v>34.621200000000002</v>
      </c>
      <c r="U13" s="103">
        <v>38.972050000000003</v>
      </c>
      <c r="V13" s="103">
        <v>27.222529999999999</v>
      </c>
      <c r="W13" s="103">
        <v>31.186160000000001</v>
      </c>
      <c r="X13" s="103">
        <v>33.832509999999999</v>
      </c>
      <c r="Y13" s="103">
        <v>26.3765</v>
      </c>
      <c r="Z13" s="103">
        <v>50.209290000000003</v>
      </c>
      <c r="AA13" s="103">
        <v>33.120449999999998</v>
      </c>
      <c r="AB13" s="103">
        <v>36.091679999999997</v>
      </c>
      <c r="AC13" s="103">
        <v>30.171980000000001</v>
      </c>
      <c r="AD13" s="103">
        <v>38.46564</v>
      </c>
      <c r="AE13" s="103">
        <v>47.047800000000002</v>
      </c>
      <c r="AF13" s="103">
        <v>36.091679999999997</v>
      </c>
      <c r="AG13" s="103">
        <v>59.901649999999997</v>
      </c>
      <c r="AH13" s="103">
        <v>26.60305</v>
      </c>
      <c r="AI13" s="103">
        <v>46.115130000000001</v>
      </c>
      <c r="AJ13" s="103">
        <v>59.125869999999999</v>
      </c>
      <c r="AK13" s="103">
        <v>29.96048</v>
      </c>
      <c r="AL13" s="103">
        <v>26.60305</v>
      </c>
      <c r="AM13" s="103">
        <v>24.44135</v>
      </c>
      <c r="AN13" s="103">
        <v>20.622530000000001</v>
      </c>
      <c r="AO13" s="103">
        <v>15.90823</v>
      </c>
    </row>
    <row r="14" spans="1:81">
      <c r="A14" t="s">
        <v>25</v>
      </c>
      <c r="B14" s="9" t="str">
        <f>""</f>
        <v/>
      </c>
      <c r="C14" s="9" t="str">
        <f>""</f>
        <v/>
      </c>
      <c r="D14" s="9" t="str">
        <f>""</f>
        <v/>
      </c>
      <c r="E14" s="9" t="str">
        <f>""</f>
        <v/>
      </c>
      <c r="F14" s="9" t="str">
        <f>""</f>
        <v/>
      </c>
      <c r="G14" s="9" t="str">
        <f>""</f>
        <v/>
      </c>
      <c r="H14" s="9" t="str">
        <f>""</f>
        <v/>
      </c>
      <c r="I14" s="9" t="str">
        <f>""</f>
        <v/>
      </c>
      <c r="J14" s="9" t="str">
        <f>""</f>
        <v/>
      </c>
      <c r="K14" s="9" t="str">
        <f>""</f>
        <v/>
      </c>
      <c r="L14" s="9" t="str">
        <f>""</f>
        <v/>
      </c>
      <c r="M14" s="9" t="str">
        <f>""</f>
        <v/>
      </c>
      <c r="N14" s="9">
        <v>-77.6913624691622</v>
      </c>
      <c r="O14" s="9" t="str">
        <f>""</f>
        <v/>
      </c>
      <c r="P14" s="9">
        <v>73.047656976053759</v>
      </c>
      <c r="Q14" s="9" t="str">
        <f>""</f>
        <v/>
      </c>
      <c r="R14" s="9">
        <v>266.4107074605601</v>
      </c>
      <c r="S14" s="9">
        <v>413.43927815367175</v>
      </c>
      <c r="T14" s="9">
        <v>-22.7109045141504</v>
      </c>
      <c r="U14" s="9">
        <v>369.64876889308425</v>
      </c>
      <c r="V14" s="9">
        <v>415.578848976676</v>
      </c>
      <c r="W14" s="9">
        <v>559.85320932458114</v>
      </c>
      <c r="X14" s="9">
        <v>739.84803519547768</v>
      </c>
      <c r="Y14" s="9">
        <v>734.00510811288598</v>
      </c>
      <c r="Z14" s="9">
        <v>1350.4280676876863</v>
      </c>
      <c r="AA14" s="9">
        <v>398.50368303337024</v>
      </c>
      <c r="AB14" s="9">
        <v>1006.3797190893465</v>
      </c>
      <c r="AC14" s="9">
        <v>886.81450233721307</v>
      </c>
      <c r="AD14" s="9">
        <v>553.44156594624576</v>
      </c>
      <c r="AE14" s="9">
        <v>880.35825387740408</v>
      </c>
      <c r="AF14" s="9">
        <v>725.87555979268598</v>
      </c>
      <c r="AG14" s="9">
        <v>-62.535540166502599</v>
      </c>
      <c r="AH14" s="9">
        <v>471.93809572030688</v>
      </c>
      <c r="AI14" s="9">
        <v>581.97272810148093</v>
      </c>
      <c r="AJ14" s="9">
        <v>1128.3544566693452</v>
      </c>
      <c r="AK14" s="9">
        <v>742.89803099913979</v>
      </c>
      <c r="AL14" s="9">
        <v>652.09367822431136</v>
      </c>
      <c r="AM14" s="9">
        <v>566.45165765546244</v>
      </c>
      <c r="AN14" s="9">
        <v>557.30198416669759</v>
      </c>
      <c r="AO14" s="9">
        <v>277.18431425708451</v>
      </c>
    </row>
    <row r="17" spans="1:42">
      <c r="A17" t="s">
        <v>240</v>
      </c>
      <c r="AO17" s="103">
        <v>0</v>
      </c>
    </row>
    <row r="18" spans="1:42">
      <c r="A18" t="s">
        <v>241</v>
      </c>
      <c r="AO18" s="103">
        <v>29.376000000000001</v>
      </c>
    </row>
    <row r="19" spans="1:42">
      <c r="A19" t="s">
        <v>242</v>
      </c>
      <c r="AO19" s="103">
        <v>18.75</v>
      </c>
      <c r="AP19">
        <v>200</v>
      </c>
    </row>
    <row r="20" spans="1:42">
      <c r="E20" t="s">
        <v>243</v>
      </c>
    </row>
    <row r="22" spans="1:42">
      <c r="A22" t="s">
        <v>113</v>
      </c>
    </row>
    <row r="24" spans="1:42">
      <c r="A24" t="s">
        <v>116</v>
      </c>
      <c r="B24" s="59">
        <v>8.8953488372093048E-2</v>
      </c>
      <c r="C24" s="59">
        <v>6.9407367859049662E-2</v>
      </c>
      <c r="D24" s="59">
        <v>-0.6570144782825762</v>
      </c>
      <c r="E24" s="59">
        <v>0.87045123726346407</v>
      </c>
      <c r="F24" s="59">
        <v>0.11673151750972766</v>
      </c>
      <c r="G24" s="59">
        <v>9.8954703832752511E-2</v>
      </c>
      <c r="H24" s="59">
        <v>0.31515535827520602</v>
      </c>
      <c r="I24" s="59">
        <v>0.63066538090646107</v>
      </c>
      <c r="J24" s="59">
        <v>0.15464222353636892</v>
      </c>
      <c r="K24" s="59">
        <v>0.18002560819462232</v>
      </c>
      <c r="L24" s="59">
        <v>0.1371527777777779</v>
      </c>
      <c r="M24" s="59">
        <v>9.4465648854961781E-2</v>
      </c>
      <c r="N24" s="59">
        <v>0.21185701830863124</v>
      </c>
      <c r="O24" s="59">
        <v>0.15223021582733787</v>
      </c>
      <c r="P24" s="59">
        <v>0.12674825174825188</v>
      </c>
      <c r="Q24" s="59">
        <v>6.2285270974177243E-2</v>
      </c>
      <c r="R24" s="59">
        <v>2.7438706311945671E-2</v>
      </c>
      <c r="S24" s="59">
        <v>-0.32240048740861094</v>
      </c>
      <c r="T24" s="59">
        <v>0.59613367301063991</v>
      </c>
      <c r="U24" s="59">
        <v>0.20871279692047695</v>
      </c>
      <c r="V24" s="59">
        <v>5.5460618300450459E-2</v>
      </c>
      <c r="W24" s="59">
        <v>9.6335001471887116E-2</v>
      </c>
      <c r="X24" s="59">
        <v>9.9348862187017328E-2</v>
      </c>
      <c r="Y24" s="59">
        <v>4.6345484520974534E-2</v>
      </c>
      <c r="Z24" s="59">
        <v>-0.23091736694677867</v>
      </c>
      <c r="AA24" s="59">
        <v>0.31314970786857876</v>
      </c>
      <c r="AB24" s="59">
        <v>8.0723448514965712E-2</v>
      </c>
      <c r="AC24" s="59">
        <v>-0.23707426616050897</v>
      </c>
      <c r="AD24" s="59">
        <v>1.0231971406545526E-2</v>
      </c>
      <c r="AE24" s="59">
        <v>9.5941727367325758E-2</v>
      </c>
      <c r="AF24" s="59">
        <v>-0.41214077731358389</v>
      </c>
      <c r="AG24" s="59">
        <v>0.63745019920318713</v>
      </c>
      <c r="AH24" s="59">
        <v>5.8525678963634586E-3</v>
      </c>
      <c r="AI24" s="59">
        <v>8.8716004184100417E-2</v>
      </c>
      <c r="AJ24" s="59">
        <v>0.12916591605116201</v>
      </c>
      <c r="AK24" s="59">
        <v>6.8761965539247072E-2</v>
      </c>
      <c r="AL24" s="59">
        <v>9.503906055630118E-3</v>
      </c>
      <c r="AM24" s="59">
        <v>8.941246056782326E-2</v>
      </c>
      <c r="AN24" s="59">
        <v>-0.12944529906795765</v>
      </c>
      <c r="AO24" s="59"/>
    </row>
    <row r="25" spans="1:42">
      <c r="B25" s="121" t="s">
        <v>115</v>
      </c>
    </row>
    <row r="26" spans="1:42">
      <c r="B26">
        <v>16.458867448426137</v>
      </c>
    </row>
    <row r="27" spans="1:42">
      <c r="A27" t="s">
        <v>117</v>
      </c>
      <c r="B27">
        <v>40.99443156166312</v>
      </c>
    </row>
    <row r="29" spans="1:42">
      <c r="A29" t="s">
        <v>169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</row>
    <row r="32" spans="1:42">
      <c r="A32" t="s">
        <v>243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1"/>
  <dimension ref="A1:X116"/>
  <sheetViews>
    <sheetView tabSelected="1" topLeftCell="Q1" workbookViewId="0">
      <selection activeCell="AE6" sqref="AE6"/>
    </sheetView>
  </sheetViews>
  <sheetFormatPr defaultRowHeight="15"/>
  <cols>
    <col min="2" max="2" width="10.7109375" bestFit="1" customWidth="1"/>
    <col min="6" max="6" width="11.7109375" customWidth="1"/>
    <col min="7" max="8" width="10.5703125" customWidth="1"/>
  </cols>
  <sheetData>
    <row r="1" spans="1:20">
      <c r="K1" t="s">
        <v>105</v>
      </c>
      <c r="L1" s="135">
        <f ca="1">L23/L4</f>
        <v>1.1304836991384677</v>
      </c>
    </row>
    <row r="2" spans="1:20" ht="33.75" customHeight="1">
      <c r="C2" s="102" t="s">
        <v>20</v>
      </c>
      <c r="D2" s="102"/>
      <c r="E2" s="102" t="s">
        <v>86</v>
      </c>
      <c r="F2" s="122" t="s">
        <v>118</v>
      </c>
      <c r="G2" s="102" t="s">
        <v>87</v>
      </c>
      <c r="H2" s="102"/>
    </row>
    <row r="3" spans="1:20" ht="45">
      <c r="A3" s="102" t="s">
        <v>111</v>
      </c>
      <c r="B3" s="102" t="str">
        <f>Residuals!D5</f>
        <v>Year</v>
      </c>
      <c r="C3" s="102" t="str">
        <f>Residuals!B5</f>
        <v>Sales</v>
      </c>
      <c r="D3" s="102"/>
      <c r="E3" s="102" t="s">
        <v>83</v>
      </c>
      <c r="F3" s="102" t="str">
        <f>Policies!A20</f>
        <v>Function of sales growth</v>
      </c>
      <c r="G3" s="102" t="str">
        <f>Policies!A21</f>
        <v>Jumps Diffusion</v>
      </c>
      <c r="H3" s="102" t="str">
        <f>Input!A13</f>
        <v>IQ_TEV_EBITDA</v>
      </c>
      <c r="I3" s="102" t="str">
        <f>Input!A12</f>
        <v>IQ_EBITDA</v>
      </c>
      <c r="J3" s="102" t="s">
        <v>112</v>
      </c>
      <c r="K3" s="102" t="s">
        <v>168</v>
      </c>
      <c r="L3" s="102" t="s">
        <v>92</v>
      </c>
      <c r="M3" s="102" t="s">
        <v>94</v>
      </c>
      <c r="N3" s="102" t="s">
        <v>95</v>
      </c>
      <c r="O3" s="102" t="s">
        <v>104</v>
      </c>
      <c r="P3" s="102" t="str">
        <f>Policies!A15</f>
        <v>Multiple Fall</v>
      </c>
      <c r="Q3" s="102" t="str">
        <f>Policies!A14</f>
        <v>% of EBTIDA</v>
      </c>
      <c r="R3" s="102" t="str">
        <f>Policies!A16</f>
        <v>Price Falls</v>
      </c>
      <c r="S3" s="102" t="s">
        <v>109</v>
      </c>
      <c r="T3" s="102" t="s">
        <v>96</v>
      </c>
    </row>
    <row r="4" spans="1:20" s="19" customFormat="1">
      <c r="A4" s="19">
        <f>Residuals!A6</f>
        <v>1</v>
      </c>
      <c r="B4" s="123"/>
      <c r="C4" s="19">
        <f ca="1">INDEX(Projections!$E$28:$X$38,Projections!$B$29,Projections!$A4)</f>
        <v>19.065569951516359</v>
      </c>
      <c r="E4" s="19">
        <f ca="1">INDEX(Projections!$E$41:$X$51,Projections!$B$30,Projections!$A4)</f>
        <v>0.31444485875197281</v>
      </c>
      <c r="F4" s="19" t="str">
        <f>IF(AND(Policies!$B$11=1,$F$3=Policies!$B$19),INDEX(Projections!$E$54:$X$64,Projections!$B$31,Projections!$A4),"")</f>
        <v/>
      </c>
      <c r="G4" s="124" t="str">
        <f>IF(AND(Policies!$B$11=1,$G$3=Policies!$B$19),INDEX(Projections!$E$54:$X$64,Projections!$B$31,Projections!$A4),"")</f>
        <v/>
      </c>
      <c r="H4" s="124">
        <f>IF(Policies!$B$11=0,Input!$AO$13,LastNumber(F4:G4))</f>
        <v>15.90823</v>
      </c>
      <c r="I4" s="19">
        <f t="shared" ref="I4:I23" ca="1" si="0">C4*E4-O4</f>
        <v>5.9950704504304184</v>
      </c>
      <c r="J4" s="19">
        <f>Input!AO17</f>
        <v>0</v>
      </c>
      <c r="K4" s="19">
        <f ca="1">I4*H4*4-J4</f>
        <v>381.48383836660275</v>
      </c>
      <c r="L4" s="19">
        <f ca="1">K4/M4</f>
        <v>12.98624177446224</v>
      </c>
      <c r="M4" s="19">
        <f>Input!AO18</f>
        <v>29.376000000000001</v>
      </c>
      <c r="N4" s="19">
        <f ca="1">O4/L4</f>
        <v>0</v>
      </c>
      <c r="O4" s="125">
        <f>IF(Policies!$B$10=1,Projections!T4,0)</f>
        <v>0</v>
      </c>
      <c r="P4" s="19" t="s">
        <v>110</v>
      </c>
      <c r="Q4" s="19" t="s">
        <v>110</v>
      </c>
      <c r="R4" s="19" t="s">
        <v>110</v>
      </c>
      <c r="S4" s="126"/>
      <c r="T4" s="126"/>
    </row>
    <row r="5" spans="1:20">
      <c r="A5">
        <f>Residuals!A7</f>
        <v>2</v>
      </c>
      <c r="C5">
        <f ca="1">INDEX(Projections!$E$28:$X$38,Projections!$B$29,Projections!$A5)</f>
        <v>19.426896436901874</v>
      </c>
      <c r="D5" s="59">
        <f ca="1">C5/C4-1</f>
        <v>1.895177989980712E-2</v>
      </c>
      <c r="E5">
        <f ca="1">INDEX(Projections!$E$41:$X$51,Projections!$B$30,Projections!$A5)</f>
        <v>0.33968875276452759</v>
      </c>
      <c r="F5" t="str">
        <f>IF(AND(Policies!$B$11=1,$F$3=Policies!$B$19),INDEX(Projections!$E$54:$X$64,Projections!$B$31,Projections!$A5),"")</f>
        <v/>
      </c>
      <c r="G5" s="127" t="str">
        <f>IF(AND(Policies!$B$11=1,$G$3=Policies!$B$19),INDEX(Projections!$E$54:$X$64,Projections!$B$31,Projections!$A5),"")</f>
        <v/>
      </c>
      <c r="H5" s="1">
        <f>IF(Policies!$B$11=0,Input!$AO$13,LastNumber(F5:G5))</f>
        <v>15.90823</v>
      </c>
      <c r="I5">
        <f t="shared" ca="1" si="0"/>
        <v>6.5990982207368427</v>
      </c>
      <c r="J5">
        <f>J4</f>
        <v>0</v>
      </c>
      <c r="K5">
        <f ca="1">I5*H5*4-J5</f>
        <v>419.91988915228984</v>
      </c>
      <c r="L5">
        <f t="shared" ref="L5:L23" ca="1" si="1">K5/M5</f>
        <v>14.294658535957579</v>
      </c>
      <c r="M5">
        <f ca="1">M4-N4</f>
        <v>29.376000000000001</v>
      </c>
      <c r="N5">
        <f t="shared" ref="N5:N23" ca="1" si="2">O5/L5</f>
        <v>0</v>
      </c>
      <c r="O5" s="21">
        <f>IF(Policies!$B$10=1,Projections!T5,0)</f>
        <v>0</v>
      </c>
      <c r="P5" t="str">
        <f>IF(AND(H5&lt;Policies!$B$15, $P$3=Policies!$B$13),Projections!S5,"")</f>
        <v/>
      </c>
      <c r="Q5" t="str">
        <f ca="1">IF(AND(Policies!$B$14*Projections!I4&lt;&gt;0,$Q$3=Policies!$B$13),Policies!$B$14*Projections!I4,"")</f>
        <v/>
      </c>
      <c r="R5" t="str">
        <f ca="1">IF(AND(L4&lt;Policies!$B$16,$R$3=Policies!$B$13),Projections!S5,"")</f>
        <v/>
      </c>
      <c r="S5" s="103">
        <v>250</v>
      </c>
      <c r="T5" s="103" t="str">
        <f>IFERROR(IF(Policies!$B$10=1,LastNumber(P5:R5),""),0)</f>
        <v/>
      </c>
    </row>
    <row r="6" spans="1:20">
      <c r="A6">
        <f>Residuals!A8</f>
        <v>3</v>
      </c>
      <c r="C6">
        <f ca="1">INDEX(Projections!$E$28:$X$38,Projections!$B$29,Projections!$A6)</f>
        <v>18.742611717383049</v>
      </c>
      <c r="D6" s="59">
        <f t="shared" ref="D6:D23" ca="1" si="3">C6/C5-1</f>
        <v>-3.5223573757206528E-2</v>
      </c>
      <c r="E6">
        <f ca="1">INDEX(Projections!$E$41:$X$51,Projections!$B$30,Projections!$A6)</f>
        <v>0.31070944922342897</v>
      </c>
      <c r="F6" t="str">
        <f>IF(AND(Policies!$B$11=1,$F$3=Policies!$B$19),INDEX(Projections!$E$54:$X$64,Projections!$B$31,Projections!$A6),"")</f>
        <v/>
      </c>
      <c r="G6" s="127" t="str">
        <f>IF(AND(Policies!$B$11=1,$G$3=Policies!$B$19),INDEX(Projections!$E$54:$X$64,Projections!$B$31,Projections!$A6),"")</f>
        <v/>
      </c>
      <c r="H6" s="1">
        <f>IF(Policies!$B$11=0,Input!$AO$13,LastNumber(F6:G6))</f>
        <v>15.90823</v>
      </c>
      <c r="I6">
        <f t="shared" ca="1" si="0"/>
        <v>5.8235065637166734</v>
      </c>
      <c r="J6">
        <f t="shared" ref="J6:J23" si="4">J5</f>
        <v>0</v>
      </c>
      <c r="K6">
        <f t="shared" ref="K6:K23" ca="1" si="5">I6*H6*4-J6</f>
        <v>370.56672728845797</v>
      </c>
      <c r="L6">
        <f t="shared" ca="1" si="1"/>
        <v>12.614608091246525</v>
      </c>
      <c r="M6">
        <f t="shared" ref="M6:M23" ca="1" si="6">M5-N5</f>
        <v>29.376000000000001</v>
      </c>
      <c r="N6">
        <f t="shared" ca="1" si="2"/>
        <v>0</v>
      </c>
      <c r="O6" s="21">
        <f>IF(Policies!$B$10=1,Projections!T6,0)</f>
        <v>0</v>
      </c>
      <c r="P6" t="str">
        <f>IF(AND(H6&lt;Policies!$B$15, $P$3=Policies!$B$13),Projections!S6,"")</f>
        <v/>
      </c>
      <c r="Q6" t="str">
        <f ca="1">IF(AND(Policies!$B$14*Projections!I5&lt;&gt;0,$Q$3=Policies!$B$13),Policies!$B$14*Projections!I5,"")</f>
        <v/>
      </c>
      <c r="R6" t="str">
        <f ca="1">IF(AND(L5&lt;Policies!$B$16,$R$3=Policies!$B$13),Projections!S6,"")</f>
        <v/>
      </c>
      <c r="S6" s="103">
        <v>250</v>
      </c>
      <c r="T6" s="103" t="str">
        <f>IFERROR(IF(Policies!$B$10=1,LastNumber(P6:R6),""),0)</f>
        <v/>
      </c>
    </row>
    <row r="7" spans="1:20">
      <c r="A7">
        <f>Residuals!A9</f>
        <v>4</v>
      </c>
      <c r="C7">
        <f ca="1">INDEX(Projections!$E$28:$X$38,Projections!$B$29,Projections!$A7)</f>
        <v>19.860388117489169</v>
      </c>
      <c r="D7" s="59">
        <f t="shared" ca="1" si="3"/>
        <v>5.9638241295338013E-2</v>
      </c>
      <c r="E7">
        <f ca="1">INDEX(Projections!$E$41:$X$51,Projections!$B$30,Projections!$A7)</f>
        <v>0.2982246041684733</v>
      </c>
      <c r="F7" t="str">
        <f>IF(AND(Policies!$B$11=1,$F$3=Policies!$B$19),INDEX(Projections!$E$54:$X$64,Projections!$B$31,Projections!$A7),"")</f>
        <v/>
      </c>
      <c r="G7" s="127" t="str">
        <f>IF(AND(Policies!$B$11=1,$G$3=Policies!$B$19),INDEX(Projections!$E$54:$X$64,Projections!$B$31,Projections!$A7),"")</f>
        <v/>
      </c>
      <c r="H7" s="1">
        <f>IF(Policies!$B$11=0,Input!$AO$13,LastNumber(F7:G7))</f>
        <v>15.90823</v>
      </c>
      <c r="I7">
        <f t="shared" ca="1" si="0"/>
        <v>5.9228563849704576</v>
      </c>
      <c r="J7">
        <f t="shared" si="4"/>
        <v>0</v>
      </c>
      <c r="K7">
        <f t="shared" ca="1" si="5"/>
        <v>376.88864651631434</v>
      </c>
      <c r="L7">
        <f t="shared" ca="1" si="1"/>
        <v>12.829815036639241</v>
      </c>
      <c r="M7">
        <f t="shared" ca="1" si="6"/>
        <v>29.376000000000001</v>
      </c>
      <c r="N7">
        <f t="shared" ca="1" si="2"/>
        <v>0</v>
      </c>
      <c r="O7" s="21">
        <f>IF(Policies!$B$10=1,Projections!T7,0)</f>
        <v>0</v>
      </c>
      <c r="P7" t="str">
        <f>IF(AND(H7&lt;Policies!$B$15, $P$3=Policies!$B$13),Projections!S7,"")</f>
        <v/>
      </c>
      <c r="Q7" t="str">
        <f ca="1">IF(AND(Policies!$B$14*Projections!I6&lt;&gt;0,$Q$3=Policies!$B$13),Policies!$B$14*Projections!I6,"")</f>
        <v/>
      </c>
      <c r="R7" t="str">
        <f ca="1">IF(AND(L6&lt;Policies!$B$16,$R$3=Policies!$B$13),Projections!S7,"")</f>
        <v/>
      </c>
      <c r="S7" s="103">
        <v>250</v>
      </c>
      <c r="T7" s="103" t="str">
        <f>IFERROR(IF(Policies!$B$10=1,LastNumber(P7:R7),""),0)</f>
        <v/>
      </c>
    </row>
    <row r="8" spans="1:20">
      <c r="A8">
        <f>Residuals!A10</f>
        <v>5</v>
      </c>
      <c r="C8">
        <f ca="1">INDEX(Projections!$E$28:$X$38,Projections!$B$29,Projections!$A8)</f>
        <v>19.819826289004823</v>
      </c>
      <c r="D8" s="59">
        <f t="shared" ca="1" si="3"/>
        <v>-2.042348228261881E-3</v>
      </c>
      <c r="E8">
        <f ca="1">INDEX(Projections!$E$41:$X$51,Projections!$B$30,Projections!$A8)</f>
        <v>0.28403243384127541</v>
      </c>
      <c r="F8" t="str">
        <f>IF(AND(Policies!$B$11=1,$F$3=Policies!$B$19),INDEX(Projections!$E$54:$X$64,Projections!$B$31,Projections!$A8),"")</f>
        <v/>
      </c>
      <c r="G8" s="127" t="str">
        <f>IF(AND(Policies!$B$11=1,$G$3=Policies!$B$19),INDEX(Projections!$E$54:$X$64,Projections!$B$31,Projections!$A8),"")</f>
        <v/>
      </c>
      <c r="H8" s="1">
        <f>IF(Policies!$B$11=0,Input!$AO$13,LastNumber(F8:G8))</f>
        <v>15.90823</v>
      </c>
      <c r="I8">
        <f t="shared" ca="1" si="0"/>
        <v>5.6294734991773332</v>
      </c>
      <c r="J8">
        <f t="shared" si="4"/>
        <v>0</v>
      </c>
      <c r="K8">
        <f t="shared" ca="1" si="5"/>
        <v>358.21983681527132</v>
      </c>
      <c r="L8">
        <f t="shared" ca="1" si="1"/>
        <v>12.194302723831404</v>
      </c>
      <c r="M8">
        <f t="shared" ca="1" si="6"/>
        <v>29.376000000000001</v>
      </c>
      <c r="N8">
        <f t="shared" ca="1" si="2"/>
        <v>0</v>
      </c>
      <c r="O8" s="21">
        <f>IF(Policies!$B$10=1,Projections!T8,0)</f>
        <v>0</v>
      </c>
      <c r="P8" t="str">
        <f>IF(AND(H8&lt;Policies!$B$15, $P$3=Policies!$B$13),Projections!S8,"")</f>
        <v/>
      </c>
      <c r="Q8" t="str">
        <f ca="1">IF(AND(Policies!$B$14*Projections!I7&lt;&gt;0,$Q$3=Policies!$B$13),Policies!$B$14*Projections!I7,"")</f>
        <v/>
      </c>
      <c r="R8" t="str">
        <f ca="1">IF(AND(L7&lt;Policies!$B$16,$R$3=Policies!$B$13),Projections!S8,"")</f>
        <v/>
      </c>
      <c r="S8" s="103">
        <v>250</v>
      </c>
      <c r="T8" s="103" t="str">
        <f>IFERROR(IF(Policies!$B$10=1,LastNumber(P8:R8),""),0)</f>
        <v/>
      </c>
    </row>
    <row r="9" spans="1:20">
      <c r="A9">
        <f>Residuals!A11</f>
        <v>6</v>
      </c>
      <c r="C9">
        <f ca="1">INDEX(Projections!$E$28:$X$38,Projections!$B$29,Projections!$A9)</f>
        <v>20.514202310677817</v>
      </c>
      <c r="D9" s="59">
        <f t="shared" ca="1" si="3"/>
        <v>3.5034415112820794E-2</v>
      </c>
      <c r="E9">
        <f ca="1">INDEX(Projections!$E$41:$X$51,Projections!$B$30,Projections!$A9)</f>
        <v>0.34441949939050009</v>
      </c>
      <c r="F9" t="str">
        <f>IF(AND(Policies!$B$11=1,$F$3=Policies!$B$19),INDEX(Projections!$E$54:$X$64,Projections!$B$31,Projections!$A9),"")</f>
        <v/>
      </c>
      <c r="G9" s="127" t="str">
        <f>IF(AND(Policies!$B$11=1,$G$3=Policies!$B$19),INDEX(Projections!$E$54:$X$64,Projections!$B$31,Projections!$A9),"")</f>
        <v/>
      </c>
      <c r="H9" s="1">
        <f>IF(Policies!$B$11=0,Input!$AO$13,LastNumber(F9:G9))</f>
        <v>15.90823</v>
      </c>
      <c r="I9">
        <f t="shared" ca="1" si="0"/>
        <v>7.0654912902390938</v>
      </c>
      <c r="J9">
        <f t="shared" si="4"/>
        <v>0</v>
      </c>
      <c r="K9">
        <f t="shared" ca="1" si="5"/>
        <v>449.59784203248103</v>
      </c>
      <c r="L9">
        <f t="shared" ca="1" si="1"/>
        <v>15.304937433022911</v>
      </c>
      <c r="M9">
        <f t="shared" ca="1" si="6"/>
        <v>29.376000000000001</v>
      </c>
      <c r="N9">
        <f t="shared" ca="1" si="2"/>
        <v>0</v>
      </c>
      <c r="O9" s="21">
        <f>IF(Policies!$B$10=1,Projections!T9,0)</f>
        <v>0</v>
      </c>
      <c r="P9" t="str">
        <f>IF(AND(H9&lt;Policies!$B$15, $P$3=Policies!$B$13),Projections!S9,"")</f>
        <v/>
      </c>
      <c r="Q9" t="str">
        <f ca="1">IF(AND(Policies!$B$14*Projections!I8&lt;&gt;0,$Q$3=Policies!$B$13),Policies!$B$14*Projections!I8,"")</f>
        <v/>
      </c>
      <c r="R9" t="str">
        <f ca="1">IF(AND(L8&lt;Policies!$B$16,$R$3=Policies!$B$13),Projections!S9,"")</f>
        <v/>
      </c>
      <c r="S9" s="103">
        <v>250</v>
      </c>
      <c r="T9" s="103" t="str">
        <f>IFERROR(IF(Policies!$B$10=1,LastNumber(P9:R9),""),0)</f>
        <v/>
      </c>
    </row>
    <row r="10" spans="1:20">
      <c r="A10">
        <f>Residuals!A12</f>
        <v>7</v>
      </c>
      <c r="C10">
        <f ca="1">INDEX(Projections!$E$28:$X$38,Projections!$B$29,Projections!$A10)</f>
        <v>20.317814244164154</v>
      </c>
      <c r="D10" s="59">
        <f t="shared" ca="1" si="3"/>
        <v>-9.5732733615209176E-3</v>
      </c>
      <c r="E10">
        <f ca="1">INDEX(Projections!$E$41:$X$51,Projections!$B$30,Projections!$A10)</f>
        <v>0.27137228494596438</v>
      </c>
      <c r="F10" t="str">
        <f>IF(AND(Policies!$B$11=1,$F$3=Policies!$B$19),INDEX(Projections!$E$54:$X$64,Projections!$B$31,Projections!$A10),"")</f>
        <v/>
      </c>
      <c r="G10" s="127" t="str">
        <f>IF(AND(Policies!$B$11=1,$G$3=Policies!$B$19),INDEX(Projections!$E$54:$X$64,Projections!$B$31,Projections!$A10),"")</f>
        <v/>
      </c>
      <c r="H10" s="1">
        <f>IF(Policies!$B$11=0,Input!$AO$13,LastNumber(F10:G10))</f>
        <v>15.90823</v>
      </c>
      <c r="I10">
        <f t="shared" ca="1" si="0"/>
        <v>5.5136916765464887</v>
      </c>
      <c r="J10">
        <f t="shared" si="4"/>
        <v>0</v>
      </c>
      <c r="K10">
        <f t="shared" ca="1" si="5"/>
        <v>350.8523013583486</v>
      </c>
      <c r="L10">
        <f t="shared" ca="1" si="1"/>
        <v>11.94350154406143</v>
      </c>
      <c r="M10">
        <f t="shared" ca="1" si="6"/>
        <v>29.376000000000001</v>
      </c>
      <c r="N10">
        <f t="shared" ca="1" si="2"/>
        <v>0</v>
      </c>
      <c r="O10" s="21">
        <f>IF(Policies!$B$10=1,Projections!T10,0)</f>
        <v>0</v>
      </c>
      <c r="P10" t="str">
        <f>IF(AND(H10&lt;Policies!$B$15, $P$3=Policies!$B$13),Projections!S10,"")</f>
        <v/>
      </c>
      <c r="Q10" t="str">
        <f ca="1">IF(AND(Policies!$B$14*Projections!I9&lt;&gt;0,$Q$3=Policies!$B$13),Policies!$B$14*Projections!I9,"")</f>
        <v/>
      </c>
      <c r="R10" t="str">
        <f ca="1">IF(AND(L9&lt;Policies!$B$16,$R$3=Policies!$B$13),Projections!S10,"")</f>
        <v/>
      </c>
      <c r="S10" s="103">
        <v>250</v>
      </c>
      <c r="T10" s="103" t="str">
        <f>IFERROR(IF(Policies!$B$10=1,LastNumber(P10:R10),""),0)</f>
        <v/>
      </c>
    </row>
    <row r="11" spans="1:20">
      <c r="A11">
        <f>Residuals!A13</f>
        <v>8</v>
      </c>
      <c r="C11">
        <f ca="1">INDEX(Projections!$E$28:$X$38,Projections!$B$29,Projections!$A11)</f>
        <v>21.071086823592957</v>
      </c>
      <c r="D11" s="59">
        <f t="shared" ca="1" si="3"/>
        <v>3.7074488937468342E-2</v>
      </c>
      <c r="E11">
        <f ca="1">INDEX(Projections!$E$41:$X$51,Projections!$B$30,Projections!$A11)</f>
        <v>0.3165598971416223</v>
      </c>
      <c r="F11" t="str">
        <f>IF(AND(Policies!$B$11=1,$F$3=Policies!$B$19),INDEX(Projections!$E$54:$X$64,Projections!$B$31,Projections!$A11),"")</f>
        <v/>
      </c>
      <c r="G11" s="127" t="str">
        <f>IF(AND(Policies!$B$11=1,$G$3=Policies!$B$19),INDEX(Projections!$E$54:$X$64,Projections!$B$31,Projections!$A11),"")</f>
        <v/>
      </c>
      <c r="H11" s="1">
        <f>IF(Policies!$B$11=0,Input!$AO$13,LastNumber(F11:G11))</f>
        <v>15.90823</v>
      </c>
      <c r="I11">
        <f t="shared" ca="1" si="0"/>
        <v>6.6702610775387798</v>
      </c>
      <c r="J11">
        <f t="shared" si="4"/>
        <v>0</v>
      </c>
      <c r="K11">
        <f t="shared" ca="1" si="5"/>
        <v>424.44818952613895</v>
      </c>
      <c r="L11">
        <f t="shared" ca="1" si="1"/>
        <v>14.448808194653422</v>
      </c>
      <c r="M11">
        <f t="shared" ca="1" si="6"/>
        <v>29.376000000000001</v>
      </c>
      <c r="N11">
        <f t="shared" ca="1" si="2"/>
        <v>0</v>
      </c>
      <c r="O11" s="21">
        <f>IF(Policies!$B$10=1,Projections!T11,0)</f>
        <v>0</v>
      </c>
      <c r="P11" t="str">
        <f>IF(AND(H11&lt;Policies!$B$15, $P$3=Policies!$B$13),Projections!S11,"")</f>
        <v/>
      </c>
      <c r="Q11" t="str">
        <f ca="1">IF(AND(Policies!$B$14*Projections!I10&lt;&gt;0,$Q$3=Policies!$B$13),Policies!$B$14*Projections!I10,"")</f>
        <v/>
      </c>
      <c r="R11" t="str">
        <f ca="1">IF(AND(L10&lt;Policies!$B$16,$R$3=Policies!$B$13),Projections!S11,"")</f>
        <v/>
      </c>
      <c r="S11" s="103">
        <v>250</v>
      </c>
      <c r="T11" s="103" t="str">
        <f>IFERROR(IF(Policies!$B$10=1,LastNumber(P11:R11),""),0)</f>
        <v/>
      </c>
    </row>
    <row r="12" spans="1:20">
      <c r="A12">
        <f>Residuals!A14</f>
        <v>9</v>
      </c>
      <c r="C12">
        <f ca="1">INDEX(Projections!$E$28:$X$38,Projections!$B$29,Projections!$A12)</f>
        <v>20.802490984228434</v>
      </c>
      <c r="D12" s="59">
        <f t="shared" ca="1" si="3"/>
        <v>-1.2747127930002211E-2</v>
      </c>
      <c r="E12">
        <f ca="1">INDEX(Projections!$E$41:$X$51,Projections!$B$30,Projections!$A12)</f>
        <v>0.23633391606141718</v>
      </c>
      <c r="F12" t="str">
        <f>IF(AND(Policies!$B$11=1,$F$3=Policies!$B$19),INDEX(Projections!$E$54:$X$64,Projections!$B$31,Projections!$A12),"")</f>
        <v/>
      </c>
      <c r="G12" s="127" t="str">
        <f>IF(AND(Policies!$B$11=1,$G$3=Policies!$B$19),INDEX(Projections!$E$54:$X$64,Projections!$B$31,Projections!$A12),"")</f>
        <v/>
      </c>
      <c r="H12" s="1">
        <f>IF(Policies!$B$11=0,Input!$AO$13,LastNumber(F12:G12))</f>
        <v>15.90823</v>
      </c>
      <c r="I12">
        <f t="shared" ca="1" si="0"/>
        <v>4.9163341581350304</v>
      </c>
      <c r="J12">
        <f t="shared" si="4"/>
        <v>0</v>
      </c>
      <c r="K12">
        <f t="shared" ca="1" si="5"/>
        <v>312.84069817787372</v>
      </c>
      <c r="L12">
        <f t="shared" ca="1" si="1"/>
        <v>10.649533570869885</v>
      </c>
      <c r="M12">
        <f t="shared" ca="1" si="6"/>
        <v>29.376000000000001</v>
      </c>
      <c r="N12">
        <f t="shared" ca="1" si="2"/>
        <v>0</v>
      </c>
      <c r="O12" s="21">
        <f>IF(Policies!$B$10=1,Projections!T12,0)</f>
        <v>0</v>
      </c>
      <c r="P12" t="str">
        <f>IF(AND(H12&lt;Policies!$B$15, $P$3=Policies!$B$13),Projections!S12,"")</f>
        <v/>
      </c>
      <c r="Q12" t="str">
        <f ca="1">IF(AND(Policies!$B$14*Projections!I11&lt;&gt;0,$Q$3=Policies!$B$13),Policies!$B$14*Projections!I11,"")</f>
        <v/>
      </c>
      <c r="R12" t="str">
        <f ca="1">IF(AND(L11&lt;Policies!$B$16,$R$3=Policies!$B$13),Projections!S12,"")</f>
        <v/>
      </c>
      <c r="S12" s="103">
        <v>250</v>
      </c>
      <c r="T12" s="103" t="str">
        <f>IFERROR(IF(Policies!$B$10=1,LastNumber(P12:R12),""),0)</f>
        <v/>
      </c>
    </row>
    <row r="13" spans="1:20">
      <c r="A13">
        <f>Residuals!A15</f>
        <v>10</v>
      </c>
      <c r="C13">
        <f ca="1">INDEX(Projections!$E$28:$X$38,Projections!$B$29,Projections!$A13)</f>
        <v>20.715137913278983</v>
      </c>
      <c r="D13" s="59">
        <f t="shared" ca="1" si="3"/>
        <v>-4.1991639854899176E-3</v>
      </c>
      <c r="E13">
        <f ca="1">INDEX(Projections!$E$41:$X$51,Projections!$B$30,Projections!$A13)</f>
        <v>0.34748597569342032</v>
      </c>
      <c r="F13" t="str">
        <f>IF(AND(Policies!$B$11=1,$F$3=Policies!$B$19),INDEX(Projections!$E$54:$X$64,Projections!$B$31,Projections!$A13),"")</f>
        <v/>
      </c>
      <c r="G13" s="127" t="str">
        <f>IF(AND(Policies!$B$11=1,$G$3=Policies!$B$19),INDEX(Projections!$E$54:$X$64,Projections!$B$31,Projections!$A13),"")</f>
        <v/>
      </c>
      <c r="H13" s="1">
        <f>IF(Policies!$B$11=0,Input!$AO$13,LastNumber(F13:G13))</f>
        <v>15.90823</v>
      </c>
      <c r="I13">
        <f t="shared" ca="1" si="0"/>
        <v>7.1982199094195103</v>
      </c>
      <c r="J13">
        <f t="shared" si="4"/>
        <v>0</v>
      </c>
      <c r="K13">
        <f t="shared" ca="1" si="5"/>
        <v>458.04375163849892</v>
      </c>
      <c r="L13">
        <f t="shared" ca="1" si="1"/>
        <v>15.592447972443454</v>
      </c>
      <c r="M13">
        <f t="shared" ca="1" si="6"/>
        <v>29.376000000000001</v>
      </c>
      <c r="N13">
        <f t="shared" ca="1" si="2"/>
        <v>0</v>
      </c>
      <c r="O13" s="21">
        <f>IF(Policies!$B$10=1,Projections!T13,0)</f>
        <v>0</v>
      </c>
      <c r="P13" t="str">
        <f>IF(AND(H13&lt;Policies!$B$15, $P$3=Policies!$B$13),Projections!S13,"")</f>
        <v/>
      </c>
      <c r="Q13" t="str">
        <f ca="1">IF(AND(Policies!$B$14*Projections!I12&lt;&gt;0,$Q$3=Policies!$B$13),Policies!$B$14*Projections!I12,"")</f>
        <v/>
      </c>
      <c r="R13" t="str">
        <f ca="1">IF(AND(L12&lt;Policies!$B$16,$R$3=Policies!$B$13),Projections!S13,"")</f>
        <v/>
      </c>
      <c r="S13" s="103">
        <v>250</v>
      </c>
      <c r="T13" s="103" t="str">
        <f>IFERROR(IF(Policies!$B$10=1,LastNumber(P13:R13),""),0)</f>
        <v/>
      </c>
    </row>
    <row r="14" spans="1:20">
      <c r="A14">
        <f>Residuals!A16</f>
        <v>11</v>
      </c>
      <c r="C14">
        <f ca="1">INDEX(Projections!$E$28:$X$38,Projections!$B$29,Projections!$A14)</f>
        <v>20.06294972103488</v>
      </c>
      <c r="D14" s="59">
        <f t="shared" ca="1" si="3"/>
        <v>-3.1483651954160252E-2</v>
      </c>
      <c r="E14">
        <f ca="1">INDEX(Projections!$E$41:$X$51,Projections!$B$30,Projections!$A14)</f>
        <v>0.28372357520851998</v>
      </c>
      <c r="F14" t="str">
        <f>IF(AND(Policies!$B$11=1,$F$3=Policies!$B$19),INDEX(Projections!$E$54:$X$64,Projections!$B$31,Projections!$A14),"")</f>
        <v/>
      </c>
      <c r="G14" s="127" t="str">
        <f>IF(AND(Policies!$B$11=1,$G$3=Policies!$B$19),INDEX(Projections!$E$54:$X$64,Projections!$B$31,Projections!$A14),"")</f>
        <v/>
      </c>
      <c r="H14" s="1">
        <f>IF(Policies!$B$11=0,Input!$AO$13,LastNumber(F14:G14))</f>
        <v>15.90823</v>
      </c>
      <c r="I14">
        <f t="shared" ca="1" si="0"/>
        <v>5.692331824080795</v>
      </c>
      <c r="J14">
        <f t="shared" si="4"/>
        <v>0</v>
      </c>
      <c r="K14">
        <f t="shared" ca="1" si="5"/>
        <v>362.2196955751873</v>
      </c>
      <c r="L14">
        <f t="shared" ca="1" si="1"/>
        <v>12.330463493164055</v>
      </c>
      <c r="M14">
        <f t="shared" ca="1" si="6"/>
        <v>29.376000000000001</v>
      </c>
      <c r="N14">
        <f t="shared" ca="1" si="2"/>
        <v>0</v>
      </c>
      <c r="O14" s="21">
        <f>IF(Policies!$B$10=1,Projections!T14,0)</f>
        <v>0</v>
      </c>
      <c r="P14" t="str">
        <f>IF(AND(H14&lt;Policies!$B$15, $P$3=Policies!$B$13),Projections!S14,"")</f>
        <v/>
      </c>
      <c r="Q14" t="str">
        <f ca="1">IF(AND(Policies!$B$14*Projections!I13&lt;&gt;0,$Q$3=Policies!$B$13),Policies!$B$14*Projections!I13,"")</f>
        <v/>
      </c>
      <c r="R14" t="str">
        <f ca="1">IF(AND(L13&lt;Policies!$B$16,$R$3=Policies!$B$13),Projections!S14,"")</f>
        <v/>
      </c>
      <c r="S14" s="103">
        <v>250</v>
      </c>
      <c r="T14" s="103" t="str">
        <f>IFERROR(IF(Policies!$B$10=1,LastNumber(P14:R14),""),0)</f>
        <v/>
      </c>
    </row>
    <row r="15" spans="1:20">
      <c r="A15">
        <f>Residuals!A17</f>
        <v>12</v>
      </c>
      <c r="C15">
        <f ca="1">INDEX(Projections!$E$28:$X$38,Projections!$B$29,Projections!$A15)</f>
        <v>20.462900681431115</v>
      </c>
      <c r="D15" s="59">
        <f t="shared" ca="1" si="3"/>
        <v>1.9934803503839138E-2</v>
      </c>
      <c r="E15">
        <f ca="1">INDEX(Projections!$E$41:$X$51,Projections!$B$30,Projections!$A15)</f>
        <v>0.35035578478711915</v>
      </c>
      <c r="F15" t="str">
        <f>IF(AND(Policies!$B$11=1,$F$3=Policies!$B$19),INDEX(Projections!$E$54:$X$64,Projections!$B$31,Projections!$A15),"")</f>
        <v/>
      </c>
      <c r="G15" s="127" t="str">
        <f>IF(AND(Policies!$B$11=1,$G$3=Policies!$B$19),INDEX(Projections!$E$54:$X$64,Projections!$B$31,Projections!$A15),"")</f>
        <v/>
      </c>
      <c r="H15" s="1">
        <f>IF(Policies!$B$11=0,Input!$AO$13,LastNumber(F15:G15))</f>
        <v>15.90823</v>
      </c>
      <c r="I15">
        <f t="shared" ca="1" si="0"/>
        <v>7.1692956272636739</v>
      </c>
      <c r="J15">
        <f t="shared" si="4"/>
        <v>0</v>
      </c>
      <c r="K15">
        <f t="shared" ca="1" si="5"/>
        <v>456.20321510601917</v>
      </c>
      <c r="L15">
        <f t="shared" ca="1" si="1"/>
        <v>15.529793542552396</v>
      </c>
      <c r="M15">
        <f t="shared" ca="1" si="6"/>
        <v>29.376000000000001</v>
      </c>
      <c r="N15">
        <f t="shared" ca="1" si="2"/>
        <v>0</v>
      </c>
      <c r="O15" s="21">
        <f>IF(Policies!$B$10=1,Projections!T15,0)</f>
        <v>0</v>
      </c>
      <c r="P15" t="str">
        <f>IF(AND(H15&lt;Policies!$B$15, $P$3=Policies!$B$13),Projections!S15,"")</f>
        <v/>
      </c>
      <c r="Q15" t="str">
        <f ca="1">IF(AND(Policies!$B$14*Projections!I14&lt;&gt;0,$Q$3=Policies!$B$13),Policies!$B$14*Projections!I14,"")</f>
        <v/>
      </c>
      <c r="R15" t="str">
        <f ca="1">IF(AND(L14&lt;Policies!$B$16,$R$3=Policies!$B$13),Projections!S15,"")</f>
        <v/>
      </c>
      <c r="S15" s="103">
        <v>250</v>
      </c>
      <c r="T15" s="103" t="str">
        <f>IFERROR(IF(Policies!$B$10=1,LastNumber(P15:R15),""),0)</f>
        <v/>
      </c>
    </row>
    <row r="16" spans="1:20">
      <c r="A16">
        <f>Residuals!A18</f>
        <v>13</v>
      </c>
      <c r="C16">
        <f ca="1">INDEX(Projections!$E$28:$X$38,Projections!$B$29,Projections!$A16)</f>
        <v>20.075021104728332</v>
      </c>
      <c r="D16" s="59">
        <f t="shared" ca="1" si="3"/>
        <v>-1.895525872608872E-2</v>
      </c>
      <c r="E16">
        <f ca="1">INDEX(Projections!$E$41:$X$51,Projections!$B$30,Projections!$A16)</f>
        <v>0.28300207076658945</v>
      </c>
      <c r="F16" t="str">
        <f>IF(AND(Policies!$B$11=1,$F$3=Policies!$B$19),INDEX(Projections!$E$54:$X$64,Projections!$B$31,Projections!$A16),"")</f>
        <v/>
      </c>
      <c r="G16" s="127" t="str">
        <f>IF(AND(Policies!$B$11=1,$G$3=Policies!$B$19),INDEX(Projections!$E$54:$X$64,Projections!$B$31,Projections!$A16),"")</f>
        <v/>
      </c>
      <c r="H16" s="1">
        <f>IF(Policies!$B$11=0,Input!$AO$13,LastNumber(F16:G16))</f>
        <v>15.90823</v>
      </c>
      <c r="I16">
        <f t="shared" ca="1" si="0"/>
        <v>5.6812725433211044</v>
      </c>
      <c r="J16">
        <f t="shared" si="4"/>
        <v>0</v>
      </c>
      <c r="K16">
        <f t="shared" ca="1" si="5"/>
        <v>361.51596124734834</v>
      </c>
      <c r="L16">
        <f t="shared" ca="1" si="1"/>
        <v>12.306507395402653</v>
      </c>
      <c r="M16">
        <f t="shared" ca="1" si="6"/>
        <v>29.376000000000001</v>
      </c>
      <c r="N16">
        <f t="shared" ca="1" si="2"/>
        <v>0</v>
      </c>
      <c r="O16" s="21">
        <f>IF(Policies!$B$10=1,Projections!T16,0)</f>
        <v>0</v>
      </c>
      <c r="P16" t="str">
        <f>IF(AND(H16&lt;Policies!$B$15, $P$3=Policies!$B$13),Projections!S16,"")</f>
        <v/>
      </c>
      <c r="Q16" t="str">
        <f ca="1">IF(AND(Policies!$B$14*Projections!I15&lt;&gt;0,$Q$3=Policies!$B$13),Policies!$B$14*Projections!I15,"")</f>
        <v/>
      </c>
      <c r="R16" t="str">
        <f ca="1">IF(AND(L15&lt;Policies!$B$16,$R$3=Policies!$B$13),Projections!S16,"")</f>
        <v/>
      </c>
      <c r="S16" s="103">
        <v>250</v>
      </c>
      <c r="T16" s="103" t="str">
        <f>IFERROR(IF(Policies!$B$10=1,LastNumber(P16:R16),""),0)</f>
        <v/>
      </c>
    </row>
    <row r="17" spans="1:24">
      <c r="A17">
        <f>Residuals!A19</f>
        <v>14</v>
      </c>
      <c r="C17">
        <f ca="1">INDEX(Projections!$E$28:$X$38,Projections!$B$29,Projections!$A17)</f>
        <v>19.762488239850821</v>
      </c>
      <c r="D17" s="59">
        <f t="shared" ca="1" si="3"/>
        <v>-1.5568245893594512E-2</v>
      </c>
      <c r="E17">
        <f ca="1">INDEX(Projections!$E$41:$X$51,Projections!$B$30,Projections!$A17)</f>
        <v>0.32862379180014534</v>
      </c>
      <c r="F17" t="str">
        <f>IF(AND(Policies!$B$11=1,$F$3=Policies!$B$19),INDEX(Projections!$E$54:$X$64,Projections!$B$31,Projections!$A17),"")</f>
        <v/>
      </c>
      <c r="G17" s="127" t="str">
        <f>IF(AND(Policies!$B$11=1,$G$3=Policies!$B$19),INDEX(Projections!$E$54:$X$64,Projections!$B$31,Projections!$A17),"")</f>
        <v/>
      </c>
      <c r="H17" s="1">
        <f>IF(Policies!$B$11=0,Input!$AO$13,LastNumber(F17:G17))</f>
        <v>15.90823</v>
      </c>
      <c r="I17">
        <f t="shared" ca="1" si="0"/>
        <v>6.4944238207855571</v>
      </c>
      <c r="J17">
        <f t="shared" si="4"/>
        <v>0</v>
      </c>
      <c r="K17">
        <f t="shared" ca="1" si="5"/>
        <v>413.2591514341417</v>
      </c>
      <c r="L17">
        <f t="shared" ca="1" si="1"/>
        <v>14.067917736728679</v>
      </c>
      <c r="M17">
        <f t="shared" ca="1" si="6"/>
        <v>29.376000000000001</v>
      </c>
      <c r="N17">
        <f t="shared" ca="1" si="2"/>
        <v>0</v>
      </c>
      <c r="O17" s="21">
        <f>IF(Policies!$B$10=1,Projections!T17,0)</f>
        <v>0</v>
      </c>
      <c r="P17" t="str">
        <f>IF(AND(H17&lt;Policies!$B$15, $P$3=Policies!$B$13),Projections!S17,"")</f>
        <v/>
      </c>
      <c r="Q17" t="str">
        <f ca="1">IF(AND(Policies!$B$14*Projections!I16&lt;&gt;0,$Q$3=Policies!$B$13),Policies!$B$14*Projections!I16,"")</f>
        <v/>
      </c>
      <c r="R17" t="str">
        <f ca="1">IF(AND(L16&lt;Policies!$B$16,$R$3=Policies!$B$13),Projections!S17,"")</f>
        <v/>
      </c>
      <c r="S17" s="103">
        <v>250</v>
      </c>
      <c r="T17" s="103" t="str">
        <f>IFERROR(IF(Policies!$B$10=1,LastNumber(P17:R17),""),0)</f>
        <v/>
      </c>
    </row>
    <row r="18" spans="1:24">
      <c r="A18">
        <f>Residuals!A20</f>
        <v>15</v>
      </c>
      <c r="C18">
        <f ca="1">INDEX(Projections!$E$28:$X$38,Projections!$B$29,Projections!$A18)</f>
        <v>19.468596960764394</v>
      </c>
      <c r="D18" s="59">
        <f t="shared" ca="1" si="3"/>
        <v>-1.4871167816499886E-2</v>
      </c>
      <c r="E18">
        <f ca="1">INDEX(Projections!$E$41:$X$51,Projections!$B$30,Projections!$A18)</f>
        <v>0.28241657083874511</v>
      </c>
      <c r="F18" t="str">
        <f>IF(AND(Policies!$B$11=1,$F$3=Policies!$B$19),INDEX(Projections!$E$54:$X$64,Projections!$B$31,Projections!$A18),"")</f>
        <v/>
      </c>
      <c r="G18" s="127" t="str">
        <f>IF(AND(Policies!$B$11=1,$G$3=Policies!$B$19),INDEX(Projections!$E$54:$X$64,Projections!$B$31,Projections!$A18),"")</f>
        <v/>
      </c>
      <c r="H18" s="1">
        <f>IF(Policies!$B$11=0,Input!$AO$13,LastNumber(F18:G18))</f>
        <v>15.90823</v>
      </c>
      <c r="I18">
        <f t="shared" ca="1" si="0"/>
        <v>5.4982543927006953</v>
      </c>
      <c r="J18">
        <f t="shared" si="4"/>
        <v>0</v>
      </c>
      <c r="K18">
        <f t="shared" ca="1" si="5"/>
        <v>349.86998191037191</v>
      </c>
      <c r="L18">
        <f t="shared" ca="1" si="1"/>
        <v>11.910062020369413</v>
      </c>
      <c r="M18">
        <f t="shared" ca="1" si="6"/>
        <v>29.376000000000001</v>
      </c>
      <c r="N18">
        <f t="shared" ca="1" si="2"/>
        <v>0</v>
      </c>
      <c r="O18" s="21">
        <f>IF(Policies!$B$10=1,Projections!T18,0)</f>
        <v>0</v>
      </c>
      <c r="P18" t="str">
        <f>IF(AND(H18&lt;Policies!$B$15, $P$3=Policies!$B$13),Projections!S18,"")</f>
        <v/>
      </c>
      <c r="Q18" t="str">
        <f ca="1">IF(AND(Policies!$B$14*Projections!I17&lt;&gt;0,$Q$3=Policies!$B$13),Policies!$B$14*Projections!I17,"")</f>
        <v/>
      </c>
      <c r="R18" t="str">
        <f ca="1">IF(AND(L17&lt;Policies!$B$16,$R$3=Policies!$B$13),Projections!S18,"")</f>
        <v/>
      </c>
      <c r="S18" s="103">
        <v>250</v>
      </c>
      <c r="T18" s="103" t="str">
        <f>IFERROR(IF(Policies!$B$10=1,LastNumber(P18:R18),""),0)</f>
        <v/>
      </c>
    </row>
    <row r="19" spans="1:24">
      <c r="A19">
        <f>Residuals!A21</f>
        <v>16</v>
      </c>
      <c r="C19">
        <f ca="1">INDEX(Projections!$E$28:$X$38,Projections!$B$29,Projections!$A19)</f>
        <v>19.492281168736209</v>
      </c>
      <c r="D19" s="59">
        <f t="shared" ca="1" si="3"/>
        <v>1.2165338888849853E-3</v>
      </c>
      <c r="E19">
        <f ca="1">INDEX(Projections!$E$41:$X$51,Projections!$B$30,Projections!$A19)</f>
        <v>0.34408534264588675</v>
      </c>
      <c r="F19" t="str">
        <f>IF(AND(Policies!$B$11=1,$F$3=Policies!$B$19),INDEX(Projections!$E$54:$X$64,Projections!$B$31,Projections!$A19),"")</f>
        <v/>
      </c>
      <c r="G19" s="127" t="str">
        <f>IF(AND(Policies!$B$11=1,$G$3=Policies!$B$19),INDEX(Projections!$E$54:$X$64,Projections!$B$31,Projections!$A19),"")</f>
        <v/>
      </c>
      <c r="H19" s="1">
        <f>IF(Policies!$B$11=0,Input!$AO$13,LastNumber(F19:G19))</f>
        <v>15.90823</v>
      </c>
      <c r="I19">
        <f t="shared" ca="1" si="0"/>
        <v>6.7070082448945643</v>
      </c>
      <c r="J19">
        <f t="shared" si="4"/>
        <v>0</v>
      </c>
      <c r="K19">
        <f t="shared" ca="1" si="5"/>
        <v>426.78651908671623</v>
      </c>
      <c r="L19">
        <f t="shared" ca="1" si="1"/>
        <v>14.528408193311417</v>
      </c>
      <c r="M19">
        <f t="shared" ca="1" si="6"/>
        <v>29.376000000000001</v>
      </c>
      <c r="N19">
        <f t="shared" ca="1" si="2"/>
        <v>0</v>
      </c>
      <c r="O19" s="21">
        <f>IF(Policies!$B$10=1,Projections!T19,0)</f>
        <v>0</v>
      </c>
      <c r="P19" t="str">
        <f>IF(AND(H19&lt;Policies!$B$15, $P$3=Policies!$B$13),Projections!S19,"")</f>
        <v/>
      </c>
      <c r="Q19" t="str">
        <f ca="1">IF(AND(Policies!$B$14*Projections!I18&lt;&gt;0,$Q$3=Policies!$B$13),Policies!$B$14*Projections!I18,"")</f>
        <v/>
      </c>
      <c r="R19" t="str">
        <f ca="1">IF(AND(L18&lt;Policies!$B$16,$R$3=Policies!$B$13),Projections!S19,"")</f>
        <v/>
      </c>
      <c r="S19" s="103">
        <v>250</v>
      </c>
      <c r="T19" s="103" t="str">
        <f>IFERROR(IF(Policies!$B$10=1,LastNumber(P19:R19),""),0)</f>
        <v/>
      </c>
    </row>
    <row r="20" spans="1:24">
      <c r="A20">
        <f>Residuals!A22</f>
        <v>17</v>
      </c>
      <c r="C20">
        <f ca="1">INDEX(Projections!$E$28:$X$38,Projections!$B$29,Projections!$A20)</f>
        <v>20.228239792513584</v>
      </c>
      <c r="D20" s="59">
        <f t="shared" ca="1" si="3"/>
        <v>3.7756413290291668E-2</v>
      </c>
      <c r="E20">
        <f ca="1">INDEX(Projections!$E$41:$X$51,Projections!$B$30,Projections!$A20)</f>
        <v>0.20378211942441607</v>
      </c>
      <c r="F20" t="str">
        <f>IF(AND(Policies!$B$11=1,$F$3=Policies!$B$19),INDEX(Projections!$E$54:$X$64,Projections!$B$31,Projections!$A20),"")</f>
        <v/>
      </c>
      <c r="G20" s="127" t="str">
        <f>IF(AND(Policies!$B$11=1,$G$3=Policies!$B$19),INDEX(Projections!$E$54:$X$64,Projections!$B$31,Projections!$A20),"")</f>
        <v/>
      </c>
      <c r="H20" s="1">
        <f>IF(Policies!$B$11=0,Input!$AO$13,LastNumber(F20:G20))</f>
        <v>15.90823</v>
      </c>
      <c r="I20">
        <f t="shared" ca="1" si="0"/>
        <v>4.1221535771437283</v>
      </c>
      <c r="J20">
        <f t="shared" si="4"/>
        <v>0</v>
      </c>
      <c r="K20">
        <f t="shared" ca="1" si="5"/>
        <v>262.30466880210071</v>
      </c>
      <c r="L20">
        <f t="shared" ca="1" si="1"/>
        <v>8.9292166667381778</v>
      </c>
      <c r="M20">
        <f t="shared" ca="1" si="6"/>
        <v>29.376000000000001</v>
      </c>
      <c r="N20">
        <f t="shared" ca="1" si="2"/>
        <v>0</v>
      </c>
      <c r="O20" s="21">
        <f>IF(Policies!$B$10=1,Projections!T20,0)</f>
        <v>0</v>
      </c>
      <c r="P20" t="str">
        <f>IF(AND(H20&lt;Policies!$B$15, $P$3=Policies!$B$13),Projections!S20,"")</f>
        <v/>
      </c>
      <c r="Q20" t="str">
        <f ca="1">IF(AND(Policies!$B$14*Projections!I19&lt;&gt;0,$Q$3=Policies!$B$13),Policies!$B$14*Projections!I19,"")</f>
        <v/>
      </c>
      <c r="R20" t="str">
        <f ca="1">IF(AND(L19&lt;Policies!$B$16,$R$3=Policies!$B$13),Projections!S20,"")</f>
        <v/>
      </c>
      <c r="S20" s="103">
        <v>250</v>
      </c>
      <c r="T20" s="103" t="str">
        <f>IFERROR(IF(Policies!$B$10=1,LastNumber(P20:R20),""),0)</f>
        <v/>
      </c>
    </row>
    <row r="21" spans="1:24">
      <c r="A21">
        <f>Residuals!A23</f>
        <v>18</v>
      </c>
      <c r="C21">
        <f ca="1">INDEX(Projections!$E$28:$X$38,Projections!$B$29,Projections!$A21)</f>
        <v>19.554509619297157</v>
      </c>
      <c r="D21" s="59">
        <f t="shared" ca="1" si="3"/>
        <v>-3.3306416184851306E-2</v>
      </c>
      <c r="E21">
        <f ca="1">INDEX(Projections!$E$41:$X$51,Projections!$B$30,Projections!$A21)</f>
        <v>0.40141508526878322</v>
      </c>
      <c r="F21" t="str">
        <f>IF(AND(Policies!$B$11=1,$F$3=Policies!$B$19),INDEX(Projections!$E$54:$X$64,Projections!$B$31,Projections!$A21),"")</f>
        <v/>
      </c>
      <c r="G21" s="127" t="str">
        <f>IF(AND(Policies!$B$11=1,$G$3=Policies!$B$19),INDEX(Projections!$E$54:$X$64,Projections!$B$31,Projections!$A21),"")</f>
        <v/>
      </c>
      <c r="H21" s="1">
        <f>IF(Policies!$B$11=0,Input!$AO$13,LastNumber(F21:G21))</f>
        <v>15.90823</v>
      </c>
      <c r="I21">
        <f t="shared" ca="1" si="0"/>
        <v>7.8494751462194099</v>
      </c>
      <c r="J21">
        <f t="shared" si="4"/>
        <v>0</v>
      </c>
      <c r="K21">
        <f t="shared" ca="1" si="5"/>
        <v>499.48502402136802</v>
      </c>
      <c r="L21">
        <f t="shared" ca="1" si="1"/>
        <v>17.003166667394062</v>
      </c>
      <c r="M21">
        <f t="shared" ca="1" si="6"/>
        <v>29.376000000000001</v>
      </c>
      <c r="N21">
        <f t="shared" ca="1" si="2"/>
        <v>0</v>
      </c>
      <c r="O21" s="21">
        <f>IF(Policies!$B$10=1,Projections!T21,0)</f>
        <v>0</v>
      </c>
      <c r="P21" t="str">
        <f>IF(AND(H21&lt;Policies!$B$15, $P$3=Policies!$B$13),Projections!S21,"")</f>
        <v/>
      </c>
      <c r="Q21" t="str">
        <f ca="1">IF(AND(Policies!$B$14*Projections!I20&lt;&gt;0,$Q$3=Policies!$B$13),Policies!$B$14*Projections!I20,"")</f>
        <v/>
      </c>
      <c r="R21" t="str">
        <f ca="1">IF(AND(L20&lt;Policies!$B$16,$R$3=Policies!$B$13),Projections!S21,"")</f>
        <v/>
      </c>
      <c r="S21" s="103">
        <v>250</v>
      </c>
      <c r="T21" s="103" t="str">
        <f>IFERROR(IF(Policies!$B$10=1,LastNumber(P21:R21),""),0)</f>
        <v/>
      </c>
    </row>
    <row r="22" spans="1:24">
      <c r="A22">
        <f>Residuals!A24</f>
        <v>19</v>
      </c>
      <c r="C22">
        <f ca="1">INDEX(Projections!$E$28:$X$38,Projections!$B$29,Projections!$A22)</f>
        <v>17.495835517888022</v>
      </c>
      <c r="D22" s="59">
        <f t="shared" ca="1" si="3"/>
        <v>-0.10527873833141566</v>
      </c>
      <c r="E22">
        <f ca="1">INDEX(Projections!$E$41:$X$51,Projections!$B$30,Projections!$A22)</f>
        <v>0.17756634566372331</v>
      </c>
      <c r="F22" t="str">
        <f>IF(AND(Policies!$B$11=1,$F$3=Policies!$B$19),INDEX(Projections!$E$54:$X$64,Projections!$B$31,Projections!$A22),"")</f>
        <v/>
      </c>
      <c r="G22" s="127" t="str">
        <f>IF(AND(Policies!$B$11=1,$G$3=Policies!$B$19),INDEX(Projections!$E$54:$X$64,Projections!$B$31,Projections!$A22),"")</f>
        <v/>
      </c>
      <c r="H22" s="1">
        <f>IF(Policies!$B$11=0,Input!$AO$13,LastNumber(F22:G22))</f>
        <v>15.90823</v>
      </c>
      <c r="I22">
        <f t="shared" ca="1" si="0"/>
        <v>3.1066715772449522</v>
      </c>
      <c r="J22">
        <f t="shared" si="4"/>
        <v>0</v>
      </c>
      <c r="K22">
        <f t="shared" ca="1" si="5"/>
        <v>197.68658394110187</v>
      </c>
      <c r="L22">
        <f t="shared" ca="1" si="1"/>
        <v>6.7295269587793394</v>
      </c>
      <c r="M22">
        <f t="shared" ca="1" si="6"/>
        <v>29.376000000000001</v>
      </c>
      <c r="N22">
        <f t="shared" ca="1" si="2"/>
        <v>0</v>
      </c>
      <c r="O22" s="21">
        <f>IF(Policies!$B$10=1,Projections!T22,0)</f>
        <v>0</v>
      </c>
      <c r="P22" t="str">
        <f>IF(AND(H22&lt;Policies!$B$15, $P$3=Policies!$B$13),Projections!S22,"")</f>
        <v/>
      </c>
      <c r="Q22" t="str">
        <f ca="1">IF(AND(Policies!$B$14*Projections!I21&lt;&gt;0,$Q$3=Policies!$B$13),Policies!$B$14*Projections!I21,"")</f>
        <v/>
      </c>
      <c r="R22" t="str">
        <f ca="1">IF(AND(L21&lt;Policies!$B$16,$R$3=Policies!$B$13),Projections!S22,"")</f>
        <v/>
      </c>
      <c r="S22" s="103">
        <v>250</v>
      </c>
      <c r="T22" s="103" t="str">
        <f>IFERROR(IF(Policies!$B$10=1,LastNumber(P22:R22),""),0)</f>
        <v/>
      </c>
    </row>
    <row r="23" spans="1:24">
      <c r="A23">
        <f>Residuals!A25</f>
        <v>20</v>
      </c>
      <c r="C23">
        <f ca="1">INDEX(Projections!$E$28:$X$38,Projections!$B$29,Projections!$A23)</f>
        <v>18.362315967973263</v>
      </c>
      <c r="D23" s="59">
        <f t="shared" ca="1" si="3"/>
        <v>4.9524954049741554E-2</v>
      </c>
      <c r="E23">
        <f ca="1">INDEX(Projections!$E$41:$X$51,Projections!$B$30,Projections!$A23)</f>
        <v>0.36908903164606344</v>
      </c>
      <c r="F23" t="str">
        <f>IF(AND(Policies!$B$11=1,$F$3=Policies!$B$19),INDEX(Projections!$E$54:$X$64,Projections!$B$31,Projections!$A23),"")</f>
        <v/>
      </c>
      <c r="G23" s="127" t="str">
        <f>IF(AND(Policies!$B$11=1,$G$3=Policies!$B$19),INDEX(Projections!$E$54:$X$64,Projections!$B$31,Projections!$A23),"")</f>
        <v/>
      </c>
      <c r="H23" s="1">
        <f>IF(Policies!$B$11=0,Input!$AO$13,LastNumber(F23:G23))</f>
        <v>15.90823</v>
      </c>
      <c r="I23">
        <f t="shared" ca="1" si="0"/>
        <v>6.7773294193983</v>
      </c>
      <c r="J23">
        <f t="shared" si="4"/>
        <v>0</v>
      </c>
      <c r="K23">
        <f t="shared" ca="1" si="5"/>
        <v>431.26126075821844</v>
      </c>
      <c r="L23">
        <f t="shared" ca="1" si="1"/>
        <v>14.680734639100573</v>
      </c>
      <c r="M23">
        <f t="shared" ca="1" si="6"/>
        <v>29.376000000000001</v>
      </c>
      <c r="N23">
        <f t="shared" ca="1" si="2"/>
        <v>0</v>
      </c>
      <c r="O23" s="21">
        <f>IF(Policies!$B$10=1,Projections!T23,0)</f>
        <v>0</v>
      </c>
      <c r="P23" t="str">
        <f>IF(AND(H23&lt;Policies!$B$15, $P$3=Policies!$B$13),Projections!S23,"")</f>
        <v/>
      </c>
      <c r="Q23" t="str">
        <f ca="1">IF(AND(Policies!$B$14*Projections!I22&lt;&gt;0,$Q$3=Policies!$B$13),Policies!$B$14*Projections!I22,"")</f>
        <v/>
      </c>
      <c r="R23" t="str">
        <f ca="1">IF(AND(L22&lt;Policies!$B$16,$R$3=Policies!$B$13),Projections!S23,"")</f>
        <v/>
      </c>
      <c r="S23" s="103">
        <v>250</v>
      </c>
      <c r="T23" s="103" t="str">
        <f>IFERROR(IF(Policies!$B$10=1,LastNumber(P23:R23),""),0)</f>
        <v/>
      </c>
    </row>
    <row r="24" spans="1:24">
      <c r="T24">
        <f>SUM(T5:T23)</f>
        <v>0</v>
      </c>
    </row>
    <row r="26" spans="1:24">
      <c r="D26" t="s">
        <v>3</v>
      </c>
    </row>
    <row r="27" spans="1:24">
      <c r="D27" s="7" t="s">
        <v>102</v>
      </c>
      <c r="E27" s="18">
        <f t="array" ref="E27:X27">TRANSPOSE(A4:A23)</f>
        <v>1</v>
      </c>
      <c r="F27" s="18">
        <v>2</v>
      </c>
      <c r="G27" s="18">
        <v>3</v>
      </c>
      <c r="H27" s="18">
        <v>4</v>
      </c>
      <c r="I27" s="18">
        <v>5</v>
      </c>
      <c r="J27" s="18">
        <v>6</v>
      </c>
      <c r="K27" s="18">
        <v>7</v>
      </c>
      <c r="L27" s="18">
        <v>8</v>
      </c>
      <c r="M27" s="18">
        <v>9</v>
      </c>
      <c r="N27" s="18">
        <v>10</v>
      </c>
      <c r="O27" s="18">
        <v>11</v>
      </c>
      <c r="P27" s="18">
        <v>12</v>
      </c>
      <c r="Q27" s="18">
        <v>13</v>
      </c>
      <c r="R27" s="18">
        <v>14</v>
      </c>
      <c r="S27" s="18">
        <v>15</v>
      </c>
      <c r="T27" s="18">
        <v>16</v>
      </c>
      <c r="U27" s="18">
        <v>17</v>
      </c>
      <c r="V27" s="18">
        <v>18</v>
      </c>
      <c r="W27" s="18">
        <v>19</v>
      </c>
      <c r="X27" s="8">
        <v>20</v>
      </c>
    </row>
    <row r="28" spans="1:24">
      <c r="A28" t="s">
        <v>146</v>
      </c>
      <c r="D28" s="22">
        <v>1</v>
      </c>
      <c r="E28" s="13">
        <f ca="1">VLOOKUP($D28,Paths!$I$8:$AD$18,Projections!E$27+2,FALSE)</f>
        <v>19.43822886507439</v>
      </c>
      <c r="F28" s="13">
        <f ca="1">VLOOKUP($D28,Paths!$I$8:$AD$18,Projections!F$27+2,FALSE)</f>
        <v>22.132093005521543</v>
      </c>
      <c r="G28" s="13">
        <f ca="1">VLOOKUP($D28,Paths!$I$8:$AD$18,Projections!G$27+2,FALSE)</f>
        <v>21.449965849828487</v>
      </c>
      <c r="H28" s="13">
        <f ca="1">VLOOKUP($D28,Paths!$I$8:$AD$18,Projections!H$27+2,FALSE)</f>
        <v>23.233089334111391</v>
      </c>
      <c r="I28" s="13">
        <f ca="1">VLOOKUP($D28,Paths!$I$8:$AD$18,Projections!I$27+2,FALSE)</f>
        <v>20.255242041414608</v>
      </c>
      <c r="J28" s="13">
        <f ca="1">VLOOKUP($D28,Paths!$I$8:$AD$18,Projections!J$27+2,FALSE)</f>
        <v>19.32313960359286</v>
      </c>
      <c r="K28" s="13">
        <f ca="1">VLOOKUP($D28,Paths!$I$8:$AD$18,Projections!K$27+2,FALSE)</f>
        <v>22.599153481554911</v>
      </c>
      <c r="L28" s="13">
        <f ca="1">VLOOKUP($D28,Paths!$I$8:$AD$18,Projections!L$27+2,FALSE)</f>
        <v>20.504071528146763</v>
      </c>
      <c r="M28" s="13">
        <f ca="1">VLOOKUP($D28,Paths!$I$8:$AD$18,Projections!M$27+2,FALSE)</f>
        <v>17.273096902727353</v>
      </c>
      <c r="N28" s="13">
        <f ca="1">VLOOKUP($D28,Paths!$I$8:$AD$18,Projections!N$27+2,FALSE)</f>
        <v>16.369960973480147</v>
      </c>
      <c r="O28" s="13">
        <f ca="1">VLOOKUP($D28,Paths!$I$8:$AD$18,Projections!O$27+2,FALSE)</f>
        <v>12.974633367537665</v>
      </c>
      <c r="P28" s="13">
        <f ca="1">VLOOKUP($D28,Paths!$I$8:$AD$18,Projections!P$27+2,FALSE)</f>
        <v>11.360512876667594</v>
      </c>
      <c r="Q28" s="13">
        <f ca="1">VLOOKUP($D28,Paths!$I$8:$AD$18,Projections!Q$27+2,FALSE)</f>
        <v>9.8053951716064756</v>
      </c>
      <c r="R28" s="13">
        <f ca="1">VLOOKUP($D28,Paths!$I$8:$AD$18,Projections!R$27+2,FALSE)</f>
        <v>9.0011212540185159</v>
      </c>
      <c r="S28" s="13">
        <f ca="1">VLOOKUP($D28,Paths!$I$8:$AD$18,Projections!S$27+2,FALSE)</f>
        <v>9.2879293255113282</v>
      </c>
      <c r="T28" s="13">
        <f ca="1">VLOOKUP($D28,Paths!$I$8:$AD$18,Projections!T$27+2,FALSE)</f>
        <v>6.8800886774505123</v>
      </c>
      <c r="U28" s="13">
        <f ca="1">VLOOKUP($D28,Paths!$I$8:$AD$18,Projections!U$27+2,FALSE)</f>
        <v>4.8674494287233223</v>
      </c>
      <c r="V28" s="13">
        <f ca="1">VLOOKUP($D28,Paths!$I$8:$AD$18,Projections!V$27+2,FALSE)</f>
        <v>6.7420963249787942</v>
      </c>
      <c r="W28" s="13">
        <f ca="1">VLOOKUP($D28,Paths!$I$8:$AD$18,Projections!W$27+2,FALSE)</f>
        <v>5.5017031735966153</v>
      </c>
      <c r="X28" s="9">
        <f ca="1">VLOOKUP($D28,Paths!$I$8:$AD$18,Projections!X$27+2,FALSE)</f>
        <v>5.5956261335696613</v>
      </c>
    </row>
    <row r="29" spans="1:24">
      <c r="A29" t="s">
        <v>3</v>
      </c>
      <c r="B29" s="137">
        <v>11</v>
      </c>
      <c r="D29" s="22">
        <v>2</v>
      </c>
      <c r="E29" s="13">
        <f ca="1">VLOOKUP($D29,Paths!$I$8:$AD$18,Projections!E$27+2,FALSE)</f>
        <v>19.971072852330707</v>
      </c>
      <c r="F29" s="13">
        <f ca="1">VLOOKUP($D29,Paths!$I$8:$AD$18,Projections!F$27+2,FALSE)</f>
        <v>22.473219317252976</v>
      </c>
      <c r="G29" s="13">
        <f ca="1">VLOOKUP($D29,Paths!$I$8:$AD$18,Projections!G$27+2,FALSE)</f>
        <v>20.624211020011909</v>
      </c>
      <c r="H29" s="13">
        <f ca="1">VLOOKUP($D29,Paths!$I$8:$AD$18,Projections!H$27+2,FALSE)</f>
        <v>25.185676509290197</v>
      </c>
      <c r="I29" s="13">
        <f ca="1">VLOOKUP($D29,Paths!$I$8:$AD$18,Projections!I$27+2,FALSE)</f>
        <v>24.962337246881688</v>
      </c>
      <c r="J29" s="13">
        <f ca="1">VLOOKUP($D29,Paths!$I$8:$AD$18,Projections!J$27+2,FALSE)</f>
        <v>25.220126259382447</v>
      </c>
      <c r="K29" s="13">
        <f ca="1">VLOOKUP($D29,Paths!$I$8:$AD$18,Projections!K$27+2,FALSE)</f>
        <v>22.896837847053586</v>
      </c>
      <c r="L29" s="13">
        <f ca="1">VLOOKUP($D29,Paths!$I$8:$AD$18,Projections!L$27+2,FALSE)</f>
        <v>22.324724874120804</v>
      </c>
      <c r="M29" s="13">
        <f ca="1">VLOOKUP($D29,Paths!$I$8:$AD$18,Projections!M$27+2,FALSE)</f>
        <v>19.835410530122729</v>
      </c>
      <c r="N29" s="13">
        <f ca="1">VLOOKUP($D29,Paths!$I$8:$AD$18,Projections!N$27+2,FALSE)</f>
        <v>17.639699147357913</v>
      </c>
      <c r="O29" s="13">
        <f ca="1">VLOOKUP($D29,Paths!$I$8:$AD$18,Projections!O$27+2,FALSE)</f>
        <v>20.087888399933846</v>
      </c>
      <c r="P29" s="13">
        <f ca="1">VLOOKUP($D29,Paths!$I$8:$AD$18,Projections!P$27+2,FALSE)</f>
        <v>19.69665152391164</v>
      </c>
      <c r="Q29" s="13">
        <f ca="1">VLOOKUP($D29,Paths!$I$8:$AD$18,Projections!Q$27+2,FALSE)</f>
        <v>19.883108095915304</v>
      </c>
      <c r="R29" s="13">
        <f ca="1">VLOOKUP($D29,Paths!$I$8:$AD$18,Projections!R$27+2,FALSE)</f>
        <v>20.620298161718829</v>
      </c>
      <c r="S29" s="13">
        <f ca="1">VLOOKUP($D29,Paths!$I$8:$AD$18,Projections!S$27+2,FALSE)</f>
        <v>19.320063912064477</v>
      </c>
      <c r="T29" s="13">
        <f ca="1">VLOOKUP($D29,Paths!$I$8:$AD$18,Projections!T$27+2,FALSE)</f>
        <v>20.888979682801146</v>
      </c>
      <c r="U29" s="13">
        <f ca="1">VLOOKUP($D29,Paths!$I$8:$AD$18,Projections!U$27+2,FALSE)</f>
        <v>20.982926291186175</v>
      </c>
      <c r="V29" s="13">
        <f ca="1">VLOOKUP($D29,Paths!$I$8:$AD$18,Projections!V$27+2,FALSE)</f>
        <v>20.760816210144348</v>
      </c>
      <c r="W29" s="13">
        <f ca="1">VLOOKUP($D29,Paths!$I$8:$AD$18,Projections!W$27+2,FALSE)</f>
        <v>17.506497361102205</v>
      </c>
      <c r="X29" s="9">
        <f ca="1">VLOOKUP($D29,Paths!$I$8:$AD$18,Projections!X$27+2,FALSE)</f>
        <v>18.768830576940843</v>
      </c>
    </row>
    <row r="30" spans="1:24">
      <c r="A30" t="s">
        <v>83</v>
      </c>
      <c r="B30" s="137">
        <v>11</v>
      </c>
      <c r="D30" s="22">
        <v>3</v>
      </c>
      <c r="E30" s="13">
        <f ca="1">VLOOKUP($D30,Paths!$I$8:$AD$18,Projections!E$27+2,FALSE)</f>
        <v>17.959499597513016</v>
      </c>
      <c r="F30" s="13">
        <f ca="1">VLOOKUP($D30,Paths!$I$8:$AD$18,Projections!F$27+2,FALSE)</f>
        <v>18.080514605899584</v>
      </c>
      <c r="G30" s="13">
        <f ca="1">VLOOKUP($D30,Paths!$I$8:$AD$18,Projections!G$27+2,FALSE)</f>
        <v>17.813118829536087</v>
      </c>
      <c r="H30" s="13">
        <f ca="1">VLOOKUP($D30,Paths!$I$8:$AD$18,Projections!H$27+2,FALSE)</f>
        <v>17.384440960214828</v>
      </c>
      <c r="I30" s="13">
        <f ca="1">VLOOKUP($D30,Paths!$I$8:$AD$18,Projections!I$27+2,FALSE)</f>
        <v>18.166356600382855</v>
      </c>
      <c r="J30" s="13">
        <f ca="1">VLOOKUP($D30,Paths!$I$8:$AD$18,Projections!J$27+2,FALSE)</f>
        <v>18.320863175281744</v>
      </c>
      <c r="K30" s="13">
        <f ca="1">VLOOKUP($D30,Paths!$I$8:$AD$18,Projections!K$27+2,FALSE)</f>
        <v>18.588050437544702</v>
      </c>
      <c r="L30" s="13">
        <f ca="1">VLOOKUP($D30,Paths!$I$8:$AD$18,Projections!L$27+2,FALSE)</f>
        <v>19.460761824557594</v>
      </c>
      <c r="M30" s="13">
        <f ca="1">VLOOKUP($D30,Paths!$I$8:$AD$18,Projections!M$27+2,FALSE)</f>
        <v>20.421002437283516</v>
      </c>
      <c r="N30" s="13">
        <f ca="1">VLOOKUP($D30,Paths!$I$8:$AD$18,Projections!N$27+2,FALSE)</f>
        <v>18.827649953643018</v>
      </c>
      <c r="O30" s="13">
        <f ca="1">VLOOKUP($D30,Paths!$I$8:$AD$18,Projections!O$27+2,FALSE)</f>
        <v>15.435997486127869</v>
      </c>
      <c r="P30" s="13">
        <f ca="1">VLOOKUP($D30,Paths!$I$8:$AD$18,Projections!P$27+2,FALSE)</f>
        <v>16.754570822632896</v>
      </c>
      <c r="Q30" s="13">
        <f ca="1">VLOOKUP($D30,Paths!$I$8:$AD$18,Projections!Q$27+2,FALSE)</f>
        <v>16.743142119253829</v>
      </c>
      <c r="R30" s="13">
        <f ca="1">VLOOKUP($D30,Paths!$I$8:$AD$18,Projections!R$27+2,FALSE)</f>
        <v>15.841968036618294</v>
      </c>
      <c r="S30" s="13">
        <f ca="1">VLOOKUP($D30,Paths!$I$8:$AD$18,Projections!S$27+2,FALSE)</f>
        <v>15.899430539915318</v>
      </c>
      <c r="T30" s="13">
        <f ca="1">VLOOKUP($D30,Paths!$I$8:$AD$18,Projections!T$27+2,FALSE)</f>
        <v>15.463231604319139</v>
      </c>
      <c r="U30" s="13">
        <f ca="1">VLOOKUP($D30,Paths!$I$8:$AD$18,Projections!U$27+2,FALSE)</f>
        <v>17.561344102715655</v>
      </c>
      <c r="V30" s="13">
        <f ca="1">VLOOKUP($D30,Paths!$I$8:$AD$18,Projections!V$27+2,FALSE)</f>
        <v>18.302848365245261</v>
      </c>
      <c r="W30" s="13">
        <f ca="1">VLOOKUP($D30,Paths!$I$8:$AD$18,Projections!W$27+2,FALSE)</f>
        <v>15.200306537097266</v>
      </c>
      <c r="X30" s="9">
        <f ca="1">VLOOKUP($D30,Paths!$I$8:$AD$18,Projections!X$27+2,FALSE)</f>
        <v>15.01935209232068</v>
      </c>
    </row>
    <row r="31" spans="1:24">
      <c r="A31" t="s">
        <v>145</v>
      </c>
      <c r="B31" s="137">
        <v>11</v>
      </c>
      <c r="D31" s="22">
        <v>4</v>
      </c>
      <c r="E31" s="13">
        <f ca="1">VLOOKUP($D31,Paths!$I$8:$AD$18,Projections!E$27+2,FALSE)</f>
        <v>19.764472637874878</v>
      </c>
      <c r="F31" s="13">
        <f ca="1">VLOOKUP($D31,Paths!$I$8:$AD$18,Projections!F$27+2,FALSE)</f>
        <v>20.353746845100908</v>
      </c>
      <c r="G31" s="13">
        <f ca="1">VLOOKUP($D31,Paths!$I$8:$AD$18,Projections!G$27+2,FALSE)</f>
        <v>19.230518235239735</v>
      </c>
      <c r="H31" s="13">
        <f ca="1">VLOOKUP($D31,Paths!$I$8:$AD$18,Projections!H$27+2,FALSE)</f>
        <v>21.010671290765213</v>
      </c>
      <c r="I31" s="13">
        <f ca="1">VLOOKUP($D31,Paths!$I$8:$AD$18,Projections!I$27+2,FALSE)</f>
        <v>19.461171069640095</v>
      </c>
      <c r="J31" s="13">
        <f ca="1">VLOOKUP($D31,Paths!$I$8:$AD$18,Projections!J$27+2,FALSE)</f>
        <v>23.4655599459422</v>
      </c>
      <c r="K31" s="13">
        <f ca="1">VLOOKUP($D31,Paths!$I$8:$AD$18,Projections!K$27+2,FALSE)</f>
        <v>20.663440696288689</v>
      </c>
      <c r="L31" s="13">
        <f ca="1">VLOOKUP($D31,Paths!$I$8:$AD$18,Projections!L$27+2,FALSE)</f>
        <v>21.101497054187089</v>
      </c>
      <c r="M31" s="13">
        <f ca="1">VLOOKUP($D31,Paths!$I$8:$AD$18,Projections!M$27+2,FALSE)</f>
        <v>18.599136302841629</v>
      </c>
      <c r="N31" s="13">
        <f ca="1">VLOOKUP($D31,Paths!$I$8:$AD$18,Projections!N$27+2,FALSE)</f>
        <v>16.91647230566338</v>
      </c>
      <c r="O31" s="13">
        <f ca="1">VLOOKUP($D31,Paths!$I$8:$AD$18,Projections!O$27+2,FALSE)</f>
        <v>19.454587586594865</v>
      </c>
      <c r="P31" s="13">
        <f ca="1">VLOOKUP($D31,Paths!$I$8:$AD$18,Projections!P$27+2,FALSE)</f>
        <v>19.988489484807481</v>
      </c>
      <c r="Q31" s="13">
        <f ca="1">VLOOKUP($D31,Paths!$I$8:$AD$18,Projections!Q$27+2,FALSE)</f>
        <v>18.647261336760899</v>
      </c>
      <c r="R31" s="13">
        <f ca="1">VLOOKUP($D31,Paths!$I$8:$AD$18,Projections!R$27+2,FALSE)</f>
        <v>19.621719630085288</v>
      </c>
      <c r="S31" s="13">
        <f ca="1">VLOOKUP($D31,Paths!$I$8:$AD$18,Projections!S$27+2,FALSE)</f>
        <v>20.790470668859093</v>
      </c>
      <c r="T31" s="13">
        <f ca="1">VLOOKUP($D31,Paths!$I$8:$AD$18,Projections!T$27+2,FALSE)</f>
        <v>23.033014310815808</v>
      </c>
      <c r="U31" s="13">
        <f ca="1">VLOOKUP($D31,Paths!$I$8:$AD$18,Projections!U$27+2,FALSE)</f>
        <v>24.205482072216558</v>
      </c>
      <c r="V31" s="13">
        <f ca="1">VLOOKUP($D31,Paths!$I$8:$AD$18,Projections!V$27+2,FALSE)</f>
        <v>23.200323380100045</v>
      </c>
      <c r="W31" s="13">
        <f ca="1">VLOOKUP($D31,Paths!$I$8:$AD$18,Projections!W$27+2,FALSE)</f>
        <v>22.904960185095412</v>
      </c>
      <c r="X31" s="9">
        <f ca="1">VLOOKUP($D31,Paths!$I$8:$AD$18,Projections!X$27+2,FALSE)</f>
        <v>26.147921442369103</v>
      </c>
    </row>
    <row r="32" spans="1:24">
      <c r="D32" s="22">
        <v>5</v>
      </c>
      <c r="E32" s="13">
        <f ca="1">VLOOKUP($D32,Paths!$I$8:$AD$18,Projections!E$27+2,FALSE)</f>
        <v>16.126318001464682</v>
      </c>
      <c r="F32" s="13">
        <f ca="1">VLOOKUP($D32,Paths!$I$8:$AD$18,Projections!F$27+2,FALSE)</f>
        <v>14.534814493482623</v>
      </c>
      <c r="G32" s="13">
        <f ca="1">VLOOKUP($D32,Paths!$I$8:$AD$18,Projections!G$27+2,FALSE)</f>
        <v>14.825862963603443</v>
      </c>
      <c r="H32" s="13">
        <f ca="1">VLOOKUP($D32,Paths!$I$8:$AD$18,Projections!H$27+2,FALSE)</f>
        <v>18.7563564245016</v>
      </c>
      <c r="I32" s="13">
        <f ca="1">VLOOKUP($D32,Paths!$I$8:$AD$18,Projections!I$27+2,FALSE)</f>
        <v>16.54582614738786</v>
      </c>
      <c r="J32" s="13">
        <f ca="1">VLOOKUP($D32,Paths!$I$8:$AD$18,Projections!J$27+2,FALSE)</f>
        <v>19.21203799744066</v>
      </c>
      <c r="K32" s="13">
        <f ca="1">VLOOKUP($D32,Paths!$I$8:$AD$18,Projections!K$27+2,FALSE)</f>
        <v>16.257149387589443</v>
      </c>
      <c r="L32" s="13">
        <f ca="1">VLOOKUP($D32,Paths!$I$8:$AD$18,Projections!L$27+2,FALSE)</f>
        <v>17.875144601386079</v>
      </c>
      <c r="M32" s="13">
        <f ca="1">VLOOKUP($D32,Paths!$I$8:$AD$18,Projections!M$27+2,FALSE)</f>
        <v>19.474412369422776</v>
      </c>
      <c r="N32" s="13">
        <f ca="1">VLOOKUP($D32,Paths!$I$8:$AD$18,Projections!N$27+2,FALSE)</f>
        <v>22.553515006372145</v>
      </c>
      <c r="O32" s="13">
        <f ca="1">VLOOKUP($D32,Paths!$I$8:$AD$18,Projections!O$27+2,FALSE)</f>
        <v>24.469081741624514</v>
      </c>
      <c r="P32" s="13">
        <f ca="1">VLOOKUP($D32,Paths!$I$8:$AD$18,Projections!P$27+2,FALSE)</f>
        <v>25.142605230425662</v>
      </c>
      <c r="Q32" s="13">
        <f ca="1">VLOOKUP($D32,Paths!$I$8:$AD$18,Projections!Q$27+2,FALSE)</f>
        <v>24.695902329052743</v>
      </c>
      <c r="R32" s="13">
        <f ca="1">VLOOKUP($D32,Paths!$I$8:$AD$18,Projections!R$27+2,FALSE)</f>
        <v>22.171530395175655</v>
      </c>
      <c r="S32" s="13">
        <f ca="1">VLOOKUP($D32,Paths!$I$8:$AD$18,Projections!S$27+2,FALSE)</f>
        <v>20.617009661861925</v>
      </c>
      <c r="T32" s="13">
        <f ca="1">VLOOKUP($D32,Paths!$I$8:$AD$18,Projections!T$27+2,FALSE)</f>
        <v>22.28761070163317</v>
      </c>
      <c r="U32" s="13">
        <f ca="1">VLOOKUP($D32,Paths!$I$8:$AD$18,Projections!U$27+2,FALSE)</f>
        <v>24.092865210137681</v>
      </c>
      <c r="V32" s="13">
        <f ca="1">VLOOKUP($D32,Paths!$I$8:$AD$18,Projections!V$27+2,FALSE)</f>
        <v>23.847955715334379</v>
      </c>
      <c r="W32" s="13">
        <f ca="1">VLOOKUP($D32,Paths!$I$8:$AD$18,Projections!W$27+2,FALSE)</f>
        <v>19.023505133663917</v>
      </c>
      <c r="X32" s="9">
        <f ca="1">VLOOKUP($D32,Paths!$I$8:$AD$18,Projections!X$27+2,FALSE)</f>
        <v>19.001876126928387</v>
      </c>
    </row>
    <row r="33" spans="3:24">
      <c r="D33" s="22">
        <v>6</v>
      </c>
      <c r="E33" s="13">
        <f ca="1">VLOOKUP($D33,Paths!$I$8:$AD$18,Projections!E$27+2,FALSE)</f>
        <v>19.318317454039985</v>
      </c>
      <c r="F33" s="13">
        <f ca="1">VLOOKUP($D33,Paths!$I$8:$AD$18,Projections!F$27+2,FALSE)</f>
        <v>19.8600092314663</v>
      </c>
      <c r="G33" s="13">
        <f ca="1">VLOOKUP($D33,Paths!$I$8:$AD$18,Projections!G$27+2,FALSE)</f>
        <v>17.524549646046445</v>
      </c>
      <c r="H33" s="13">
        <f ca="1">VLOOKUP($D33,Paths!$I$8:$AD$18,Projections!H$27+2,FALSE)</f>
        <v>19.521694658720886</v>
      </c>
      <c r="I33" s="13">
        <f ca="1">VLOOKUP($D33,Paths!$I$8:$AD$18,Projections!I$27+2,FALSE)</f>
        <v>22.505505546802308</v>
      </c>
      <c r="J33" s="13">
        <f ca="1">VLOOKUP($D33,Paths!$I$8:$AD$18,Projections!J$27+2,FALSE)</f>
        <v>21.408646579018257</v>
      </c>
      <c r="K33" s="13">
        <f ca="1">VLOOKUP($D33,Paths!$I$8:$AD$18,Projections!K$27+2,FALSE)</f>
        <v>21.55199886856219</v>
      </c>
      <c r="L33" s="13">
        <f ca="1">VLOOKUP($D33,Paths!$I$8:$AD$18,Projections!L$27+2,FALSE)</f>
        <v>19.814418605459753</v>
      </c>
      <c r="M33" s="13">
        <f ca="1">VLOOKUP($D33,Paths!$I$8:$AD$18,Projections!M$27+2,FALSE)</f>
        <v>16.60283826105217</v>
      </c>
      <c r="N33" s="13">
        <f ca="1">VLOOKUP($D33,Paths!$I$8:$AD$18,Projections!N$27+2,FALSE)</f>
        <v>14.797832749303073</v>
      </c>
      <c r="O33" s="13">
        <f ca="1">VLOOKUP($D33,Paths!$I$8:$AD$18,Projections!O$27+2,FALSE)</f>
        <v>14.259889907036511</v>
      </c>
      <c r="P33" s="13">
        <f ca="1">VLOOKUP($D33,Paths!$I$8:$AD$18,Projections!P$27+2,FALSE)</f>
        <v>15.570508694876059</v>
      </c>
      <c r="Q33" s="13">
        <f ca="1">VLOOKUP($D33,Paths!$I$8:$AD$18,Projections!Q$27+2,FALSE)</f>
        <v>14.004747746675561</v>
      </c>
      <c r="R33" s="13">
        <f ca="1">VLOOKUP($D33,Paths!$I$8:$AD$18,Projections!R$27+2,FALSE)</f>
        <v>14.829273341541857</v>
      </c>
      <c r="S33" s="13">
        <f ca="1">VLOOKUP($D33,Paths!$I$8:$AD$18,Projections!S$27+2,FALSE)</f>
        <v>12.192046765787239</v>
      </c>
      <c r="T33" s="13">
        <f ca="1">VLOOKUP($D33,Paths!$I$8:$AD$18,Projections!T$27+2,FALSE)</f>
        <v>11.816488738383187</v>
      </c>
      <c r="U33" s="13">
        <f ca="1">VLOOKUP($D33,Paths!$I$8:$AD$18,Projections!U$27+2,FALSE)</f>
        <v>14.631701722650012</v>
      </c>
      <c r="V33" s="13">
        <f ca="1">VLOOKUP($D33,Paths!$I$8:$AD$18,Projections!V$27+2,FALSE)</f>
        <v>12.078486454983913</v>
      </c>
      <c r="W33" s="13">
        <f ca="1">VLOOKUP($D33,Paths!$I$8:$AD$18,Projections!W$27+2,FALSE)</f>
        <v>13.466196795300853</v>
      </c>
      <c r="X33" s="9">
        <f ca="1">VLOOKUP($D33,Paths!$I$8:$AD$18,Projections!X$27+2,FALSE)</f>
        <v>14.772362360774201</v>
      </c>
    </row>
    <row r="34" spans="3:24">
      <c r="D34" s="22">
        <v>7</v>
      </c>
      <c r="E34" s="13">
        <f ca="1">VLOOKUP($D34,Paths!$I$8:$AD$18,Projections!E$27+2,FALSE)</f>
        <v>19.092899286207004</v>
      </c>
      <c r="F34" s="13">
        <f ca="1">VLOOKUP($D34,Paths!$I$8:$AD$18,Projections!F$27+2,FALSE)</f>
        <v>22.969455387808207</v>
      </c>
      <c r="G34" s="13">
        <f ca="1">VLOOKUP($D34,Paths!$I$8:$AD$18,Projections!G$27+2,FALSE)</f>
        <v>24.380010573381576</v>
      </c>
      <c r="H34" s="13">
        <f ca="1">VLOOKUP($D34,Paths!$I$8:$AD$18,Projections!H$27+2,FALSE)</f>
        <v>22.848730819286718</v>
      </c>
      <c r="I34" s="13">
        <f ca="1">VLOOKUP($D34,Paths!$I$8:$AD$18,Projections!I$27+2,FALSE)</f>
        <v>24.208096083869624</v>
      </c>
      <c r="J34" s="13">
        <f ca="1">VLOOKUP($D34,Paths!$I$8:$AD$18,Projections!J$27+2,FALSE)</f>
        <v>24.048083003303958</v>
      </c>
      <c r="K34" s="13">
        <f ca="1">VLOOKUP($D34,Paths!$I$8:$AD$18,Projections!K$27+2,FALSE)</f>
        <v>22.261132641150869</v>
      </c>
      <c r="L34" s="13">
        <f ca="1">VLOOKUP($D34,Paths!$I$8:$AD$18,Projections!L$27+2,FALSE)</f>
        <v>26.014499469309275</v>
      </c>
      <c r="M34" s="13">
        <f ca="1">VLOOKUP($D34,Paths!$I$8:$AD$18,Projections!M$27+2,FALSE)</f>
        <v>24.606262133236115</v>
      </c>
      <c r="N34" s="13">
        <f ca="1">VLOOKUP($D34,Paths!$I$8:$AD$18,Projections!N$27+2,FALSE)</f>
        <v>27.473951913679471</v>
      </c>
      <c r="O34" s="13">
        <f ca="1">VLOOKUP($D34,Paths!$I$8:$AD$18,Projections!O$27+2,FALSE)</f>
        <v>26.658882684289569</v>
      </c>
      <c r="P34" s="13">
        <f ca="1">VLOOKUP($D34,Paths!$I$8:$AD$18,Projections!P$27+2,FALSE)</f>
        <v>24.294257821745653</v>
      </c>
      <c r="Q34" s="13">
        <f ca="1">VLOOKUP($D34,Paths!$I$8:$AD$18,Projections!Q$27+2,FALSE)</f>
        <v>24.555093950640416</v>
      </c>
      <c r="R34" s="13">
        <f ca="1">VLOOKUP($D34,Paths!$I$8:$AD$18,Projections!R$27+2,FALSE)</f>
        <v>23.71472328549989</v>
      </c>
      <c r="S34" s="13">
        <f ca="1">VLOOKUP($D34,Paths!$I$8:$AD$18,Projections!S$27+2,FALSE)</f>
        <v>24.533232800277663</v>
      </c>
      <c r="T34" s="13">
        <f ca="1">VLOOKUP($D34,Paths!$I$8:$AD$18,Projections!T$27+2,FALSE)</f>
        <v>22.907259585356197</v>
      </c>
      <c r="U34" s="13">
        <f ca="1">VLOOKUP($D34,Paths!$I$8:$AD$18,Projections!U$27+2,FALSE)</f>
        <v>21.584376765498416</v>
      </c>
      <c r="V34" s="13">
        <f ca="1">VLOOKUP($D34,Paths!$I$8:$AD$18,Projections!V$27+2,FALSE)</f>
        <v>16.45174910156187</v>
      </c>
      <c r="W34" s="13">
        <f ca="1">VLOOKUP($D34,Paths!$I$8:$AD$18,Projections!W$27+2,FALSE)</f>
        <v>15.805233553204499</v>
      </c>
      <c r="X34" s="9">
        <f ca="1">VLOOKUP($D34,Paths!$I$8:$AD$18,Projections!X$27+2,FALSE)</f>
        <v>16.167828959104995</v>
      </c>
    </row>
    <row r="35" spans="3:24">
      <c r="D35" s="22">
        <v>8</v>
      </c>
      <c r="E35" s="13">
        <f ca="1">VLOOKUP($D35,Paths!$I$8:$AD$18,Projections!E$27+2,FALSE)</f>
        <v>18.647722297036982</v>
      </c>
      <c r="F35" s="13">
        <f ca="1">VLOOKUP($D35,Paths!$I$8:$AD$18,Projections!F$27+2,FALSE)</f>
        <v>17.69706501589344</v>
      </c>
      <c r="G35" s="13">
        <f ca="1">VLOOKUP($D35,Paths!$I$8:$AD$18,Projections!G$27+2,FALSE)</f>
        <v>16.930108518976965</v>
      </c>
      <c r="H35" s="13">
        <f ca="1">VLOOKUP($D35,Paths!$I$8:$AD$18,Projections!H$27+2,FALSE)</f>
        <v>13.185341360609925</v>
      </c>
      <c r="I35" s="13">
        <f ca="1">VLOOKUP($D35,Paths!$I$8:$AD$18,Projections!I$27+2,FALSE)</f>
        <v>11.718759526377436</v>
      </c>
      <c r="J35" s="13">
        <f ca="1">VLOOKUP($D35,Paths!$I$8:$AD$18,Projections!J$27+2,FALSE)</f>
        <v>12.546707389315861</v>
      </c>
      <c r="K35" s="13">
        <f ca="1">VLOOKUP($D35,Paths!$I$8:$AD$18,Projections!K$27+2,FALSE)</f>
        <v>13.863513165417523</v>
      </c>
      <c r="L35" s="13">
        <f ca="1">VLOOKUP($D35,Paths!$I$8:$AD$18,Projections!L$27+2,FALSE)</f>
        <v>14.793817855527545</v>
      </c>
      <c r="M35" s="13">
        <f ca="1">VLOOKUP($D35,Paths!$I$8:$AD$18,Projections!M$27+2,FALSE)</f>
        <v>17.639037658811386</v>
      </c>
      <c r="N35" s="13">
        <f ca="1">VLOOKUP($D35,Paths!$I$8:$AD$18,Projections!N$27+2,FALSE)</f>
        <v>20.820488106879466</v>
      </c>
      <c r="O35" s="13">
        <f ca="1">VLOOKUP($D35,Paths!$I$8:$AD$18,Projections!O$27+2,FALSE)</f>
        <v>19.776941462695202</v>
      </c>
      <c r="P35" s="13">
        <f ca="1">VLOOKUP($D35,Paths!$I$8:$AD$18,Projections!P$27+2,FALSE)</f>
        <v>20.951261410349151</v>
      </c>
      <c r="Q35" s="13">
        <f ca="1">VLOOKUP($D35,Paths!$I$8:$AD$18,Projections!Q$27+2,FALSE)</f>
        <v>23.397213631347967</v>
      </c>
      <c r="R35" s="13">
        <f ca="1">VLOOKUP($D35,Paths!$I$8:$AD$18,Projections!R$27+2,FALSE)</f>
        <v>22.278959078079858</v>
      </c>
      <c r="S35" s="13">
        <f ca="1">VLOOKUP($D35,Paths!$I$8:$AD$18,Projections!S$27+2,FALSE)</f>
        <v>21.033226773224431</v>
      </c>
      <c r="T35" s="13">
        <f ca="1">VLOOKUP($D35,Paths!$I$8:$AD$18,Projections!T$27+2,FALSE)</f>
        <v>23.436518103193841</v>
      </c>
      <c r="U35" s="13">
        <f ca="1">VLOOKUP($D35,Paths!$I$8:$AD$18,Projections!U$27+2,FALSE)</f>
        <v>26.305155457648262</v>
      </c>
      <c r="V35" s="13">
        <f ca="1">VLOOKUP($D35,Paths!$I$8:$AD$18,Projections!V$27+2,FALSE)</f>
        <v>24.917396631953306</v>
      </c>
      <c r="W35" s="13">
        <f ca="1">VLOOKUP($D35,Paths!$I$8:$AD$18,Projections!W$27+2,FALSE)</f>
        <v>21.948507548946015</v>
      </c>
      <c r="X35" s="9">
        <f ca="1">VLOOKUP($D35,Paths!$I$8:$AD$18,Projections!X$27+2,FALSE)</f>
        <v>24.529128048036668</v>
      </c>
    </row>
    <row r="36" spans="3:24">
      <c r="D36" s="22">
        <v>9</v>
      </c>
      <c r="E36" s="13">
        <f ca="1">VLOOKUP($D36,Paths!$I$8:$AD$18,Projections!E$27+2,FALSE)</f>
        <v>20.737494534405048</v>
      </c>
      <c r="F36" s="13">
        <f ca="1">VLOOKUP($D36,Paths!$I$8:$AD$18,Projections!F$27+2,FALSE)</f>
        <v>20.007843278940292</v>
      </c>
      <c r="G36" s="13">
        <f ca="1">VLOOKUP($D36,Paths!$I$8:$AD$18,Projections!G$27+2,FALSE)</f>
        <v>19.015163110091425</v>
      </c>
      <c r="H36" s="13">
        <f ca="1">VLOOKUP($D36,Paths!$I$8:$AD$18,Projections!H$27+2,FALSE)</f>
        <v>20.039224959653389</v>
      </c>
      <c r="I36" s="13">
        <f ca="1">VLOOKUP($D36,Paths!$I$8:$AD$18,Projections!I$27+2,FALSE)</f>
        <v>20.487667085038144</v>
      </c>
      <c r="J36" s="13">
        <f ca="1">VLOOKUP($D36,Paths!$I$8:$AD$18,Projections!J$27+2,FALSE)</f>
        <v>22.453460013643156</v>
      </c>
      <c r="K36" s="13">
        <f ca="1">VLOOKUP($D36,Paths!$I$8:$AD$18,Projections!K$27+2,FALSE)</f>
        <v>25.91583020439181</v>
      </c>
      <c r="L36" s="13">
        <f ca="1">VLOOKUP($D36,Paths!$I$8:$AD$18,Projections!L$27+2,FALSE)</f>
        <v>27.408539198568029</v>
      </c>
      <c r="M36" s="13">
        <f ca="1">VLOOKUP($D36,Paths!$I$8:$AD$18,Projections!M$27+2,FALSE)</f>
        <v>30.971751768579814</v>
      </c>
      <c r="N36" s="13">
        <f ca="1">VLOOKUP($D36,Paths!$I$8:$AD$18,Projections!N$27+2,FALSE)</f>
        <v>26.954759754754679</v>
      </c>
      <c r="O36" s="13">
        <f ca="1">VLOOKUP($D36,Paths!$I$8:$AD$18,Projections!O$27+2,FALSE)</f>
        <v>24.946018242169544</v>
      </c>
      <c r="P36" s="13">
        <f ca="1">VLOOKUP($D36,Paths!$I$8:$AD$18,Projections!P$27+2,FALSE)</f>
        <v>25.625268613886853</v>
      </c>
      <c r="Q36" s="13">
        <f ca="1">VLOOKUP($D36,Paths!$I$8:$AD$18,Projections!Q$27+2,FALSE)</f>
        <v>26.626851995257706</v>
      </c>
      <c r="R36" s="13">
        <f ca="1">VLOOKUP($D36,Paths!$I$8:$AD$18,Projections!R$27+2,FALSE)</f>
        <v>28.583570013750677</v>
      </c>
      <c r="S36" s="13">
        <f ca="1">VLOOKUP($D36,Paths!$I$8:$AD$18,Projections!S$27+2,FALSE)</f>
        <v>27.188211117787223</v>
      </c>
      <c r="T36" s="13">
        <f ca="1">VLOOKUP($D36,Paths!$I$8:$AD$18,Projections!T$27+2,FALSE)</f>
        <v>23.954277253284996</v>
      </c>
      <c r="U36" s="13">
        <f ca="1">VLOOKUP($D36,Paths!$I$8:$AD$18,Projections!U$27+2,FALSE)</f>
        <v>24.813717268381389</v>
      </c>
      <c r="V36" s="13">
        <f ca="1">VLOOKUP($D36,Paths!$I$8:$AD$18,Projections!V$27+2,FALSE)</f>
        <v>24.140437302972146</v>
      </c>
      <c r="W36" s="13">
        <f ca="1">VLOOKUP($D36,Paths!$I$8:$AD$18,Projections!W$27+2,FALSE)</f>
        <v>20.192521509098839</v>
      </c>
      <c r="X36" s="9">
        <f ca="1">VLOOKUP($D36,Paths!$I$8:$AD$18,Projections!X$27+2,FALSE)</f>
        <v>22.474130322254613</v>
      </c>
    </row>
    <row r="37" spans="3:24">
      <c r="D37" s="10">
        <v>10</v>
      </c>
      <c r="E37" s="19">
        <f ca="1">VLOOKUP($D37,Paths!$I$8:$AD$18,Projections!E$27+2,FALSE)</f>
        <v>19.599673989216889</v>
      </c>
      <c r="F37" s="19">
        <f ca="1">VLOOKUP($D37,Paths!$I$8:$AD$18,Projections!F$27+2,FALSE)</f>
        <v>16.160203187652865</v>
      </c>
      <c r="G37" s="19">
        <f ca="1">VLOOKUP($D37,Paths!$I$8:$AD$18,Projections!G$27+2,FALSE)</f>
        <v>15.632608427114413</v>
      </c>
      <c r="H37" s="19">
        <f ca="1">VLOOKUP($D37,Paths!$I$8:$AD$18,Projections!H$27+2,FALSE)</f>
        <v>17.438654857737536</v>
      </c>
      <c r="I37" s="19">
        <f ca="1">VLOOKUP($D37,Paths!$I$8:$AD$18,Projections!I$27+2,FALSE)</f>
        <v>19.887301542253631</v>
      </c>
      <c r="J37" s="19">
        <f ca="1">VLOOKUP($D37,Paths!$I$8:$AD$18,Projections!J$27+2,FALSE)</f>
        <v>19.143399139857021</v>
      </c>
      <c r="K37" s="19">
        <f ca="1">VLOOKUP($D37,Paths!$I$8:$AD$18,Projections!K$27+2,FALSE)</f>
        <v>18.581035712087804</v>
      </c>
      <c r="L37" s="19">
        <f ca="1">VLOOKUP($D37,Paths!$I$8:$AD$18,Projections!L$27+2,FALSE)</f>
        <v>21.413393224666638</v>
      </c>
      <c r="M37" s="19">
        <f ca="1">VLOOKUP($D37,Paths!$I$8:$AD$18,Projections!M$27+2,FALSE)</f>
        <v>22.601961478206881</v>
      </c>
      <c r="N37" s="19">
        <f ca="1">VLOOKUP($D37,Paths!$I$8:$AD$18,Projections!N$27+2,FALSE)</f>
        <v>24.797049221656525</v>
      </c>
      <c r="O37" s="19">
        <f ca="1">VLOOKUP($D37,Paths!$I$8:$AD$18,Projections!O$27+2,FALSE)</f>
        <v>22.565576332339241</v>
      </c>
      <c r="P37" s="19">
        <f ca="1">VLOOKUP($D37,Paths!$I$8:$AD$18,Projections!P$27+2,FALSE)</f>
        <v>25.244880335008201</v>
      </c>
      <c r="Q37" s="19">
        <f ca="1">VLOOKUP($D37,Paths!$I$8:$AD$18,Projections!Q$27+2,FALSE)</f>
        <v>22.391494670772438</v>
      </c>
      <c r="R37" s="19">
        <f ca="1">VLOOKUP($D37,Paths!$I$8:$AD$18,Projections!R$27+2,FALSE)</f>
        <v>20.96171920201936</v>
      </c>
      <c r="S37" s="19">
        <f ca="1">VLOOKUP($D37,Paths!$I$8:$AD$18,Projections!S$27+2,FALSE)</f>
        <v>23.824348042355233</v>
      </c>
      <c r="T37" s="19">
        <f ca="1">VLOOKUP($D37,Paths!$I$8:$AD$18,Projections!T$27+2,FALSE)</f>
        <v>24.255343030124088</v>
      </c>
      <c r="U37" s="19">
        <f ca="1">VLOOKUP($D37,Paths!$I$8:$AD$18,Projections!U$27+2,FALSE)</f>
        <v>23.237379605978337</v>
      </c>
      <c r="V37" s="19">
        <f ca="1">VLOOKUP($D37,Paths!$I$8:$AD$18,Projections!V$27+2,FALSE)</f>
        <v>25.1029867056975</v>
      </c>
      <c r="W37" s="19">
        <f ca="1">VLOOKUP($D37,Paths!$I$8:$AD$18,Projections!W$27+2,FALSE)</f>
        <v>23.408923381774592</v>
      </c>
      <c r="X37" s="11">
        <f ca="1">VLOOKUP($D37,Paths!$I$8:$AD$18,Projections!X$27+2,FALSE)</f>
        <v>21.146103617433479</v>
      </c>
    </row>
    <row r="38" spans="3:24">
      <c r="C38" t="s">
        <v>122</v>
      </c>
      <c r="D38" s="143">
        <v>0</v>
      </c>
      <c r="E38">
        <f ca="1">AVERAGE(E28:E37)</f>
        <v>19.065569951516359</v>
      </c>
      <c r="F38">
        <f t="shared" ref="F38:X38" ca="1" si="7">AVERAGE(F28:F37)</f>
        <v>19.426896436901874</v>
      </c>
      <c r="G38">
        <f t="shared" ca="1" si="7"/>
        <v>18.742611717383049</v>
      </c>
      <c r="H38">
        <f t="shared" ca="1" si="7"/>
        <v>19.860388117489169</v>
      </c>
      <c r="I38">
        <f t="shared" ca="1" si="7"/>
        <v>19.819826289004823</v>
      </c>
      <c r="J38">
        <f t="shared" ca="1" si="7"/>
        <v>20.514202310677817</v>
      </c>
      <c r="K38">
        <f t="shared" ca="1" si="7"/>
        <v>20.317814244164154</v>
      </c>
      <c r="L38">
        <f t="shared" ca="1" si="7"/>
        <v>21.071086823592957</v>
      </c>
      <c r="M38">
        <f t="shared" ca="1" si="7"/>
        <v>20.802490984228434</v>
      </c>
      <c r="N38">
        <f t="shared" ca="1" si="7"/>
        <v>20.715137913278983</v>
      </c>
      <c r="O38">
        <f t="shared" ca="1" si="7"/>
        <v>20.06294972103488</v>
      </c>
      <c r="P38">
        <f t="shared" ca="1" si="7"/>
        <v>20.462900681431115</v>
      </c>
      <c r="Q38">
        <f t="shared" ca="1" si="7"/>
        <v>20.075021104728332</v>
      </c>
      <c r="R38">
        <f t="shared" ca="1" si="7"/>
        <v>19.762488239850821</v>
      </c>
      <c r="S38">
        <f t="shared" ca="1" si="7"/>
        <v>19.468596960764394</v>
      </c>
      <c r="T38">
        <f t="shared" ca="1" si="7"/>
        <v>19.492281168736209</v>
      </c>
      <c r="U38">
        <f t="shared" ca="1" si="7"/>
        <v>20.228239792513584</v>
      </c>
      <c r="V38">
        <f t="shared" ca="1" si="7"/>
        <v>19.554509619297157</v>
      </c>
      <c r="W38">
        <f t="shared" ca="1" si="7"/>
        <v>17.495835517888022</v>
      </c>
      <c r="X38">
        <f t="shared" ca="1" si="7"/>
        <v>18.362315967973263</v>
      </c>
    </row>
    <row r="39" spans="3:24">
      <c r="D39" t="s">
        <v>83</v>
      </c>
    </row>
    <row r="40" spans="3:24">
      <c r="D40" s="7" t="s">
        <v>102</v>
      </c>
      <c r="E40" s="18">
        <f>E27</f>
        <v>1</v>
      </c>
      <c r="F40" s="18">
        <f t="shared" ref="F40:X40" si="8">F27</f>
        <v>2</v>
      </c>
      <c r="G40" s="18">
        <f t="shared" si="8"/>
        <v>3</v>
      </c>
      <c r="H40" s="18">
        <f t="shared" si="8"/>
        <v>4</v>
      </c>
      <c r="I40" s="18">
        <f t="shared" si="8"/>
        <v>5</v>
      </c>
      <c r="J40" s="18">
        <f t="shared" si="8"/>
        <v>6</v>
      </c>
      <c r="K40" s="18">
        <f t="shared" si="8"/>
        <v>7</v>
      </c>
      <c r="L40" s="18">
        <f t="shared" si="8"/>
        <v>8</v>
      </c>
      <c r="M40" s="18">
        <f t="shared" si="8"/>
        <v>9</v>
      </c>
      <c r="N40" s="18">
        <f t="shared" si="8"/>
        <v>10</v>
      </c>
      <c r="O40" s="18">
        <f t="shared" si="8"/>
        <v>11</v>
      </c>
      <c r="P40" s="18">
        <f t="shared" si="8"/>
        <v>12</v>
      </c>
      <c r="Q40" s="18">
        <f t="shared" si="8"/>
        <v>13</v>
      </c>
      <c r="R40" s="18">
        <f t="shared" si="8"/>
        <v>14</v>
      </c>
      <c r="S40" s="18">
        <f t="shared" si="8"/>
        <v>15</v>
      </c>
      <c r="T40" s="18">
        <f t="shared" si="8"/>
        <v>16</v>
      </c>
      <c r="U40" s="18">
        <f t="shared" si="8"/>
        <v>17</v>
      </c>
      <c r="V40" s="18">
        <f t="shared" si="8"/>
        <v>18</v>
      </c>
      <c r="W40" s="18">
        <f t="shared" si="8"/>
        <v>19</v>
      </c>
      <c r="X40" s="18">
        <f t="shared" si="8"/>
        <v>20</v>
      </c>
    </row>
    <row r="41" spans="3:24">
      <c r="D41" s="22">
        <v>1</v>
      </c>
      <c r="E41" s="13">
        <f ca="1">INDEX(Mean_Reversion!$L$15:$U$34,Projections!E$40,Projections!$D41)</f>
        <v>0.31444485875197281</v>
      </c>
      <c r="F41" s="13">
        <f ca="1">INDEX(Mean_Reversion!$L$15:$U$34,Projections!F$40,Projections!$D41)</f>
        <v>0.33968875276452759</v>
      </c>
      <c r="G41" s="13">
        <f ca="1">INDEX(Mean_Reversion!$L$15:$U$34,Projections!G$40,Projections!$D41)</f>
        <v>0.31070944922342897</v>
      </c>
      <c r="H41" s="13">
        <f ca="1">INDEX(Mean_Reversion!$L$15:$U$34,Projections!H$40,Projections!$D41)</f>
        <v>0.2982246041684733</v>
      </c>
      <c r="I41" s="13">
        <f ca="1">INDEX(Mean_Reversion!$L$15:$U$34,Projections!I$40,Projections!$D41)</f>
        <v>0.28403243384127541</v>
      </c>
      <c r="J41" s="13">
        <f ca="1">INDEX(Mean_Reversion!$L$15:$U$34,Projections!J$40,Projections!$D41)</f>
        <v>0.34441949939050009</v>
      </c>
      <c r="K41" s="13">
        <f ca="1">INDEX(Mean_Reversion!$L$15:$U$34,Projections!K$40,Projections!$D41)</f>
        <v>0.27137228494596438</v>
      </c>
      <c r="L41" s="13">
        <f ca="1">INDEX(Mean_Reversion!$L$15:$U$34,Projections!L$40,Projections!$D41)</f>
        <v>0.3165598971416223</v>
      </c>
      <c r="M41" s="13">
        <f ca="1">INDEX(Mean_Reversion!$L$15:$U$34,Projections!M$40,Projections!$D41)</f>
        <v>0.23633391606141718</v>
      </c>
      <c r="N41" s="13">
        <f ca="1">INDEX(Mean_Reversion!$L$15:$U$34,Projections!N$40,Projections!$D41)</f>
        <v>0.34748597569342032</v>
      </c>
      <c r="O41" s="13">
        <f ca="1">INDEX(Mean_Reversion!$L$15:$U$34,Projections!O$40,Projections!$D41)</f>
        <v>0.28372357520851998</v>
      </c>
      <c r="P41" s="13">
        <f ca="1">INDEX(Mean_Reversion!$L$15:$U$34,Projections!P$40,Projections!$D41)</f>
        <v>0.35035578478711915</v>
      </c>
      <c r="Q41" s="13">
        <f ca="1">INDEX(Mean_Reversion!$L$15:$U$34,Projections!Q$40,Projections!$D41)</f>
        <v>0.28300207076658945</v>
      </c>
      <c r="R41" s="13">
        <f ca="1">INDEX(Mean_Reversion!$L$15:$U$34,Projections!R$40,Projections!$D41)</f>
        <v>0.32862379180014534</v>
      </c>
      <c r="S41" s="13">
        <f ca="1">INDEX(Mean_Reversion!$L$15:$U$34,Projections!S$40,Projections!$D41)</f>
        <v>0.28241657083874511</v>
      </c>
      <c r="T41" s="13">
        <f ca="1">INDEX(Mean_Reversion!$L$15:$U$34,Projections!T$40,Projections!$D41)</f>
        <v>0.34408534264588675</v>
      </c>
      <c r="U41" s="13">
        <f ca="1">INDEX(Mean_Reversion!$L$15:$U$34,Projections!U$40,Projections!$D41)</f>
        <v>0.20378211942441607</v>
      </c>
      <c r="V41" s="13">
        <f ca="1">INDEX(Mean_Reversion!$L$15:$U$34,Projections!V$40,Projections!$D41)</f>
        <v>0.40141508526878322</v>
      </c>
      <c r="W41" s="13">
        <f ca="1">INDEX(Mean_Reversion!$L$15:$U$34,Projections!W$40,Projections!$D41)</f>
        <v>0.17756634566372331</v>
      </c>
      <c r="X41" s="9">
        <f ca="1">INDEX(Mean_Reversion!$L$15:$U$34,Projections!X$40,Projections!$D41)</f>
        <v>0.36908903164606344</v>
      </c>
    </row>
    <row r="42" spans="3:24">
      <c r="D42" s="22">
        <v>2</v>
      </c>
      <c r="E42" s="13">
        <f ca="1">INDEX(Mean_Reversion!$L$15:$U$34,Projections!E$40,Projections!$D42)</f>
        <v>0.35370122313632313</v>
      </c>
      <c r="F42" s="13">
        <f ca="1">INDEX(Mean_Reversion!$L$15:$U$34,Projections!F$40,Projections!$D42)</f>
        <v>0.2657981447746845</v>
      </c>
      <c r="G42" s="13">
        <f ca="1">INDEX(Mean_Reversion!$L$15:$U$34,Projections!G$40,Projections!$D42)</f>
        <v>0.28664733314494978</v>
      </c>
      <c r="H42" s="13">
        <f ca="1">INDEX(Mean_Reversion!$L$15:$U$34,Projections!H$40,Projections!$D42)</f>
        <v>0.28442615774899938</v>
      </c>
      <c r="I42" s="13">
        <f ca="1">INDEX(Mean_Reversion!$L$15:$U$34,Projections!I$40,Projections!$D42)</f>
        <v>0.34946525161691111</v>
      </c>
      <c r="J42" s="13">
        <f ca="1">INDEX(Mean_Reversion!$L$15:$U$34,Projections!J$40,Projections!$D42)</f>
        <v>0.26413725941633726</v>
      </c>
      <c r="K42" s="13">
        <f ca="1">INDEX(Mean_Reversion!$L$15:$U$34,Projections!K$40,Projections!$D42)</f>
        <v>0.31809838501673615</v>
      </c>
      <c r="L42" s="13">
        <f ca="1">INDEX(Mean_Reversion!$L$15:$U$34,Projections!L$40,Projections!$D42)</f>
        <v>0.29275603702191993</v>
      </c>
      <c r="M42" s="13">
        <f ca="1">INDEX(Mean_Reversion!$L$15:$U$34,Projections!M$40,Projections!$D42)</f>
        <v>0.28778470235360876</v>
      </c>
      <c r="N42" s="13">
        <f ca="1">INDEX(Mean_Reversion!$L$15:$U$34,Projections!N$40,Projections!$D42)</f>
        <v>0.30806856347034001</v>
      </c>
      <c r="O42" s="13">
        <f ca="1">INDEX(Mean_Reversion!$L$15:$U$34,Projections!O$40,Projections!$D42)</f>
        <v>0.28265438525340392</v>
      </c>
      <c r="P42" s="13">
        <f ca="1">INDEX(Mean_Reversion!$L$15:$U$34,Projections!P$40,Projections!$D42)</f>
        <v>0.32783247310925673</v>
      </c>
      <c r="Q42" s="13">
        <f ca="1">INDEX(Mean_Reversion!$L$15:$U$34,Projections!Q$40,Projections!$D42)</f>
        <v>0.30141636916225933</v>
      </c>
      <c r="R42" s="13">
        <f ca="1">INDEX(Mean_Reversion!$L$15:$U$34,Projections!R$40,Projections!$D42)</f>
        <v>0.27432917937199325</v>
      </c>
      <c r="S42" s="13">
        <f ca="1">INDEX(Mean_Reversion!$L$15:$U$34,Projections!S$40,Projections!$D42)</f>
        <v>0.3246305662633906</v>
      </c>
      <c r="T42" s="13">
        <f ca="1">INDEX(Mean_Reversion!$L$15:$U$34,Projections!T$40,Projections!$D42)</f>
        <v>0.29156517975614005</v>
      </c>
      <c r="U42" s="13">
        <f ca="1">INDEX(Mean_Reversion!$L$15:$U$34,Projections!U$40,Projections!$D42)</f>
        <v>0.31923512997705111</v>
      </c>
      <c r="V42" s="13">
        <f ca="1">INDEX(Mean_Reversion!$L$15:$U$34,Projections!V$40,Projections!$D42)</f>
        <v>0.27016313394804747</v>
      </c>
      <c r="W42" s="13">
        <f ca="1">INDEX(Mean_Reversion!$L$15:$U$34,Projections!W$40,Projections!$D42)</f>
        <v>0.27019381875107734</v>
      </c>
      <c r="X42" s="9">
        <f ca="1">INDEX(Mean_Reversion!$L$15:$U$34,Projections!X$40,Projections!$D42)</f>
        <v>0.34326950542844081</v>
      </c>
    </row>
    <row r="43" spans="3:24">
      <c r="D43" s="22">
        <v>3</v>
      </c>
      <c r="E43" s="13">
        <f ca="1">INDEX(Mean_Reversion!$L$15:$U$34,Projections!E$40,Projections!$D43)</f>
        <v>0.35687381197695889</v>
      </c>
      <c r="F43" s="13">
        <f ca="1">INDEX(Mean_Reversion!$L$15:$U$34,Projections!F$40,Projections!$D43)</f>
        <v>0.19642587161372649</v>
      </c>
      <c r="G43" s="13">
        <f ca="1">INDEX(Mean_Reversion!$L$15:$U$34,Projections!G$40,Projections!$D43)</f>
        <v>0.34846941697146588</v>
      </c>
      <c r="H43" s="13">
        <f ca="1">INDEX(Mean_Reversion!$L$15:$U$34,Projections!H$40,Projections!$D43)</f>
        <v>0.28465284987075901</v>
      </c>
      <c r="I43" s="13">
        <f ca="1">INDEX(Mean_Reversion!$L$15:$U$34,Projections!I$40,Projections!$D43)</f>
        <v>0.26480652134152061</v>
      </c>
      <c r="J43" s="13">
        <f ca="1">INDEX(Mean_Reversion!$L$15:$U$34,Projections!J$40,Projections!$D43)</f>
        <v>0.35664019288233922</v>
      </c>
      <c r="K43" s="13">
        <f ca="1">INDEX(Mean_Reversion!$L$15:$U$34,Projections!K$40,Projections!$D43)</f>
        <v>0.22041792471685787</v>
      </c>
      <c r="L43" s="13">
        <f ca="1">INDEX(Mean_Reversion!$L$15:$U$34,Projections!L$40,Projections!$D43)</f>
        <v>0.39879013681294478</v>
      </c>
      <c r="M43" s="13">
        <f ca="1">INDEX(Mean_Reversion!$L$15:$U$34,Projections!M$40,Projections!$D43)</f>
        <v>0.16317477188780166</v>
      </c>
      <c r="N43" s="13">
        <f ca="1">INDEX(Mean_Reversion!$L$15:$U$34,Projections!N$40,Projections!$D43)</f>
        <v>0.42904173541286017</v>
      </c>
      <c r="O43" s="13">
        <f ca="1">INDEX(Mean_Reversion!$L$15:$U$34,Projections!O$40,Projections!$D43)</f>
        <v>0.15715037080986516</v>
      </c>
      <c r="P43" s="13">
        <f ca="1">INDEX(Mean_Reversion!$L$15:$U$34,Projections!P$40,Projections!$D43)</f>
        <v>0.41461768769516694</v>
      </c>
      <c r="Q43" s="13">
        <f ca="1">INDEX(Mean_Reversion!$L$15:$U$34,Projections!Q$40,Projections!$D43)</f>
        <v>0.22518243336463156</v>
      </c>
      <c r="R43" s="13">
        <f ca="1">INDEX(Mean_Reversion!$L$15:$U$34,Projections!R$40,Projections!$D43)</f>
        <v>0.41587829016880606</v>
      </c>
      <c r="S43" s="13">
        <f ca="1">INDEX(Mean_Reversion!$L$15:$U$34,Projections!S$40,Projections!$D43)</f>
        <v>0.1666887883514068</v>
      </c>
      <c r="T43" s="13">
        <f ca="1">INDEX(Mean_Reversion!$L$15:$U$34,Projections!T$40,Projections!$D43)</f>
        <v>0.38554560829837448</v>
      </c>
      <c r="U43" s="13">
        <f ca="1">INDEX(Mean_Reversion!$L$15:$U$34,Projections!U$40,Projections!$D43)</f>
        <v>0.23242219580844098</v>
      </c>
      <c r="V43" s="13">
        <f ca="1">INDEX(Mean_Reversion!$L$15:$U$34,Projections!V$40,Projections!$D43)</f>
        <v>0.37551962679112905</v>
      </c>
      <c r="W43" s="13">
        <f ca="1">INDEX(Mean_Reversion!$L$15:$U$34,Projections!W$40,Projections!$D43)</f>
        <v>0.27328296821858694</v>
      </c>
      <c r="X43" s="9">
        <f ca="1">INDEX(Mean_Reversion!$L$15:$U$34,Projections!X$40,Projections!$D43)</f>
        <v>0.28250920329777374</v>
      </c>
    </row>
    <row r="44" spans="3:24">
      <c r="D44" s="22">
        <v>4</v>
      </c>
      <c r="E44" s="13">
        <f ca="1">INDEX(Mean_Reversion!$L$15:$U$34,Projections!E$40,Projections!$D44)</f>
        <v>0.30980007683641592</v>
      </c>
      <c r="F44" s="13">
        <f ca="1">INDEX(Mean_Reversion!$L$15:$U$34,Projections!F$40,Projections!$D44)</f>
        <v>0.26084573598272448</v>
      </c>
      <c r="G44" s="13">
        <f ca="1">INDEX(Mean_Reversion!$L$15:$U$34,Projections!G$40,Projections!$D44)</f>
        <v>0.35163058491481619</v>
      </c>
      <c r="H44" s="13">
        <f ca="1">INDEX(Mean_Reversion!$L$15:$U$34,Projections!H$40,Projections!$D44)</f>
        <v>0.28504039142099258</v>
      </c>
      <c r="I44" s="13">
        <f ca="1">INDEX(Mean_Reversion!$L$15:$U$34,Projections!I$40,Projections!$D44)</f>
        <v>0.36165304935464304</v>
      </c>
      <c r="J44" s="13">
        <f ca="1">INDEX(Mean_Reversion!$L$15:$U$34,Projections!J$40,Projections!$D44)</f>
        <v>0.21783828923649104</v>
      </c>
      <c r="K44" s="13">
        <f ca="1">INDEX(Mean_Reversion!$L$15:$U$34,Projections!K$40,Projections!$D44)</f>
        <v>0.38434702038080421</v>
      </c>
      <c r="L44" s="13">
        <f ca="1">INDEX(Mean_Reversion!$L$15:$U$34,Projections!L$40,Projections!$D44)</f>
        <v>0.25651459199346222</v>
      </c>
      <c r="M44" s="13">
        <f ca="1">INDEX(Mean_Reversion!$L$15:$U$34,Projections!M$40,Projections!$D44)</f>
        <v>0.3931373533623142</v>
      </c>
      <c r="N44" s="13">
        <f ca="1">INDEX(Mean_Reversion!$L$15:$U$34,Projections!N$40,Projections!$D44)</f>
        <v>0.22843728354335491</v>
      </c>
      <c r="O44" s="13">
        <f ca="1">INDEX(Mean_Reversion!$L$15:$U$34,Projections!O$40,Projections!$D44)</f>
        <v>0.34095802256031721</v>
      </c>
      <c r="P44" s="13">
        <f ca="1">INDEX(Mean_Reversion!$L$15:$U$34,Projections!P$40,Projections!$D44)</f>
        <v>0.29768669573834033</v>
      </c>
      <c r="Q44" s="13">
        <f ca="1">INDEX(Mean_Reversion!$L$15:$U$34,Projections!Q$40,Projections!$D44)</f>
        <v>0.31900908167516828</v>
      </c>
      <c r="R44" s="13">
        <f ca="1">INDEX(Mean_Reversion!$L$15:$U$34,Projections!R$40,Projections!$D44)</f>
        <v>0.31308351407645302</v>
      </c>
      <c r="S44" s="13">
        <f ca="1">INDEX(Mean_Reversion!$L$15:$U$34,Projections!S$40,Projections!$D44)</f>
        <v>0.26549165018059995</v>
      </c>
      <c r="T44" s="13">
        <f ca="1">INDEX(Mean_Reversion!$L$15:$U$34,Projections!T$40,Projections!$D44)</f>
        <v>0.30667874418525104</v>
      </c>
      <c r="U44" s="13">
        <f ca="1">INDEX(Mean_Reversion!$L$15:$U$34,Projections!U$40,Projections!$D44)</f>
        <v>0.32076505280001855</v>
      </c>
      <c r="V44" s="13">
        <f ca="1">INDEX(Mean_Reversion!$L$15:$U$34,Projections!V$40,Projections!$D44)</f>
        <v>0.25417889566288626</v>
      </c>
      <c r="W44" s="13">
        <f ca="1">INDEX(Mean_Reversion!$L$15:$U$34,Projections!W$40,Projections!$D44)</f>
        <v>0.39501376151363149</v>
      </c>
      <c r="X44" s="9">
        <f ca="1">INDEX(Mean_Reversion!$L$15:$U$34,Projections!X$40,Projections!$D44)</f>
        <v>0.1949752662760563</v>
      </c>
    </row>
    <row r="45" spans="3:24">
      <c r="D45" s="22">
        <v>5</v>
      </c>
      <c r="E45" s="13">
        <f ca="1">INDEX(Mean_Reversion!$L$15:$U$34,Projections!E$40,Projections!$D45)</f>
        <v>0.34532479363375251</v>
      </c>
      <c r="F45" s="13">
        <f ca="1">INDEX(Mean_Reversion!$L$15:$U$34,Projections!F$40,Projections!$D45)</f>
        <v>0.2714474708250883</v>
      </c>
      <c r="G45" s="13">
        <f ca="1">INDEX(Mean_Reversion!$L$15:$U$34,Projections!G$40,Projections!$D45)</f>
        <v>0.33329309574239968</v>
      </c>
      <c r="H45" s="13">
        <f ca="1">INDEX(Mean_Reversion!$L$15:$U$34,Projections!H$40,Projections!$D45)</f>
        <v>0.21392692356009055</v>
      </c>
      <c r="I45" s="13">
        <f ca="1">INDEX(Mean_Reversion!$L$15:$U$34,Projections!I$40,Projections!$D45)</f>
        <v>0.41063488262782594</v>
      </c>
      <c r="J45" s="13">
        <f ca="1">INDEX(Mean_Reversion!$L$15:$U$34,Projections!J$40,Projections!$D45)</f>
        <v>0.22138919464725115</v>
      </c>
      <c r="K45" s="13">
        <f ca="1">INDEX(Mean_Reversion!$L$15:$U$34,Projections!K$40,Projections!$D45)</f>
        <v>0.34052800452622572</v>
      </c>
      <c r="L45" s="13">
        <f ca="1">INDEX(Mean_Reversion!$L$15:$U$34,Projections!L$40,Projections!$D45)</f>
        <v>0.23188909500173904</v>
      </c>
      <c r="M45" s="13">
        <f ca="1">INDEX(Mean_Reversion!$L$15:$U$34,Projections!M$40,Projections!$D45)</f>
        <v>0.37242267101042059</v>
      </c>
      <c r="N45" s="13">
        <f ca="1">INDEX(Mean_Reversion!$L$15:$U$34,Projections!N$40,Projections!$D45)</f>
        <v>0.2869499459308279</v>
      </c>
      <c r="O45" s="13">
        <f ca="1">INDEX(Mean_Reversion!$L$15:$U$34,Projections!O$40,Projections!$D45)</f>
        <v>0.34317115156754613</v>
      </c>
      <c r="P45" s="13">
        <f ca="1">INDEX(Mean_Reversion!$L$15:$U$34,Projections!P$40,Projections!$D45)</f>
        <v>0.22188159598805815</v>
      </c>
      <c r="Q45" s="13">
        <f ca="1">INDEX(Mean_Reversion!$L$15:$U$34,Projections!Q$40,Projections!$D45)</f>
        <v>0.39007626508734239</v>
      </c>
      <c r="R45" s="13">
        <f ca="1">INDEX(Mean_Reversion!$L$15:$U$34,Projections!R$40,Projections!$D45)</f>
        <v>0.17316472586656473</v>
      </c>
      <c r="S45" s="13">
        <f ca="1">INDEX(Mean_Reversion!$L$15:$U$34,Projections!S$40,Projections!$D45)</f>
        <v>0.41716080049705279</v>
      </c>
      <c r="T45" s="13">
        <f ca="1">INDEX(Mean_Reversion!$L$15:$U$34,Projections!T$40,Projections!$D45)</f>
        <v>0.18226628702636855</v>
      </c>
      <c r="U45" s="13">
        <f ca="1">INDEX(Mean_Reversion!$L$15:$U$34,Projections!U$40,Projections!$D45)</f>
        <v>0.44594782830821694</v>
      </c>
      <c r="V45" s="13">
        <f ca="1">INDEX(Mean_Reversion!$L$15:$U$34,Projections!V$40,Projections!$D45)</f>
        <v>0.19212737510226435</v>
      </c>
      <c r="W45" s="13">
        <f ca="1">INDEX(Mean_Reversion!$L$15:$U$34,Projections!W$40,Projections!$D45)</f>
        <v>0.37475803902182597</v>
      </c>
      <c r="X45" s="9">
        <f ca="1">INDEX(Mean_Reversion!$L$15:$U$34,Projections!X$40,Projections!$D45)</f>
        <v>0.19377248550805667</v>
      </c>
    </row>
    <row r="46" spans="3:24">
      <c r="D46" s="22">
        <v>6</v>
      </c>
      <c r="E46" s="13">
        <f ca="1">INDEX(Mean_Reversion!$L$15:$U$34,Projections!E$40,Projections!$D46)</f>
        <v>0.32741559685115429</v>
      </c>
      <c r="F46" s="13">
        <f ca="1">INDEX(Mean_Reversion!$L$15:$U$34,Projections!F$40,Projections!$D46)</f>
        <v>0.23114701251405387</v>
      </c>
      <c r="G46" s="13">
        <f ca="1">INDEX(Mean_Reversion!$L$15:$U$34,Projections!G$40,Projections!$D46)</f>
        <v>0.34672756033547381</v>
      </c>
      <c r="H46" s="13">
        <f ca="1">INDEX(Mean_Reversion!$L$15:$U$34,Projections!H$40,Projections!$D46)</f>
        <v>0.22813060444424565</v>
      </c>
      <c r="I46" s="13">
        <f ca="1">INDEX(Mean_Reversion!$L$15:$U$34,Projections!I$40,Projections!$D46)</f>
        <v>0.41494405135404222</v>
      </c>
      <c r="J46" s="13">
        <f ca="1">INDEX(Mean_Reversion!$L$15:$U$34,Projections!J$40,Projections!$D46)</f>
        <v>0.17782996025279518</v>
      </c>
      <c r="K46" s="13">
        <f ca="1">INDEX(Mean_Reversion!$L$15:$U$34,Projections!K$40,Projections!$D46)</f>
        <v>0.46040353480320434</v>
      </c>
      <c r="L46" s="13">
        <f ca="1">INDEX(Mean_Reversion!$L$15:$U$34,Projections!L$40,Projections!$D46)</f>
        <v>0.14513824788943883</v>
      </c>
      <c r="M46" s="13">
        <f ca="1">INDEX(Mean_Reversion!$L$15:$U$34,Projections!M$40,Projections!$D46)</f>
        <v>0.46985201930918608</v>
      </c>
      <c r="N46" s="13">
        <f ca="1">INDEX(Mean_Reversion!$L$15:$U$34,Projections!N$40,Projections!$D46)</f>
        <v>0.13104774052241361</v>
      </c>
      <c r="O46" s="13">
        <f ca="1">INDEX(Mean_Reversion!$L$15:$U$34,Projections!O$40,Projections!$D46)</f>
        <v>0.409611274175542</v>
      </c>
      <c r="P46" s="13">
        <f ca="1">INDEX(Mean_Reversion!$L$15:$U$34,Projections!P$40,Projections!$D46)</f>
        <v>0.22737273073440545</v>
      </c>
      <c r="Q46" s="13">
        <f ca="1">INDEX(Mean_Reversion!$L$15:$U$34,Projections!Q$40,Projections!$D46)</f>
        <v>0.35474159171074326</v>
      </c>
      <c r="R46" s="13">
        <f ca="1">INDEX(Mean_Reversion!$L$15:$U$34,Projections!R$40,Projections!$D46)</f>
        <v>0.23721200556713384</v>
      </c>
      <c r="S46" s="13">
        <f ca="1">INDEX(Mean_Reversion!$L$15:$U$34,Projections!S$40,Projections!$D46)</f>
        <v>0.36818817996376491</v>
      </c>
      <c r="T46" s="13">
        <f ca="1">INDEX(Mean_Reversion!$L$15:$U$34,Projections!T$40,Projections!$D46)</f>
        <v>0.23750071260522526</v>
      </c>
      <c r="U46" s="13">
        <f ca="1">INDEX(Mean_Reversion!$L$15:$U$34,Projections!U$40,Projections!$D46)</f>
        <v>0.32821918009864093</v>
      </c>
      <c r="V46" s="13">
        <f ca="1">INDEX(Mean_Reversion!$L$15:$U$34,Projections!V$40,Projections!$D46)</f>
        <v>0.28494867610595392</v>
      </c>
      <c r="W46" s="13">
        <f ca="1">INDEX(Mean_Reversion!$L$15:$U$34,Projections!W$40,Projections!$D46)</f>
        <v>0.3122419488230942</v>
      </c>
      <c r="X46" s="9">
        <f ca="1">INDEX(Mean_Reversion!$L$15:$U$34,Projections!X$40,Projections!$D46)</f>
        <v>0.27485797079315016</v>
      </c>
    </row>
    <row r="47" spans="3:24">
      <c r="D47" s="22">
        <v>7</v>
      </c>
      <c r="E47" s="13">
        <f ca="1">INDEX(Mean_Reversion!$L$15:$U$34,Projections!E$40,Projections!$D47)</f>
        <v>0.28282388215182858</v>
      </c>
      <c r="F47" s="13">
        <f ca="1">INDEX(Mean_Reversion!$L$15:$U$34,Projections!F$40,Projections!$D47)</f>
        <v>0.37008019209492965</v>
      </c>
      <c r="G47" s="13">
        <f ca="1">INDEX(Mean_Reversion!$L$15:$U$34,Projections!G$40,Projections!$D47)</f>
        <v>0.25302721943405621</v>
      </c>
      <c r="H47" s="13">
        <f ca="1">INDEX(Mean_Reversion!$L$15:$U$34,Projections!H$40,Projections!$D47)</f>
        <v>0.29426540782242161</v>
      </c>
      <c r="I47" s="13">
        <f ca="1">INDEX(Mean_Reversion!$L$15:$U$34,Projections!I$40,Projections!$D47)</f>
        <v>0.28240631416228679</v>
      </c>
      <c r="J47" s="13">
        <f ca="1">INDEX(Mean_Reversion!$L$15:$U$34,Projections!J$40,Projections!$D47)</f>
        <v>0.26739461071075238</v>
      </c>
      <c r="K47" s="13">
        <f ca="1">INDEX(Mean_Reversion!$L$15:$U$34,Projections!K$40,Projections!$D47)</f>
        <v>0.32490596688746104</v>
      </c>
      <c r="L47" s="13">
        <f ca="1">INDEX(Mean_Reversion!$L$15:$U$34,Projections!L$40,Projections!$D47)</f>
        <v>0.2391484975212321</v>
      </c>
      <c r="M47" s="13">
        <f ca="1">INDEX(Mean_Reversion!$L$15:$U$34,Projections!M$40,Projections!$D47)</f>
        <v>0.30809462665611825</v>
      </c>
      <c r="N47" s="13">
        <f ca="1">INDEX(Mean_Reversion!$L$15:$U$34,Projections!N$40,Projections!$D47)</f>
        <v>0.25730059259454197</v>
      </c>
      <c r="O47" s="13">
        <f ca="1">INDEX(Mean_Reversion!$L$15:$U$34,Projections!O$40,Projections!$D47)</f>
        <v>0.3729894036794183</v>
      </c>
      <c r="P47" s="13">
        <f ca="1">INDEX(Mean_Reversion!$L$15:$U$34,Projections!P$40,Projections!$D47)</f>
        <v>0.26274725453438263</v>
      </c>
      <c r="Q47" s="13">
        <f ca="1">INDEX(Mean_Reversion!$L$15:$U$34,Projections!Q$40,Projections!$D47)</f>
        <v>0.31036178488699362</v>
      </c>
      <c r="R47" s="13">
        <f ca="1">INDEX(Mean_Reversion!$L$15:$U$34,Projections!R$40,Projections!$D47)</f>
        <v>0.31296191386317229</v>
      </c>
      <c r="S47" s="13">
        <f ca="1">INDEX(Mean_Reversion!$L$15:$U$34,Projections!S$40,Projections!$D47)</f>
        <v>0.29507389350648594</v>
      </c>
      <c r="T47" s="13">
        <f ca="1">INDEX(Mean_Reversion!$L$15:$U$34,Projections!T$40,Projections!$D47)</f>
        <v>0.30468015155342115</v>
      </c>
      <c r="U47" s="13">
        <f ca="1">INDEX(Mean_Reversion!$L$15:$U$34,Projections!U$40,Projections!$D47)</f>
        <v>0.35019155532155494</v>
      </c>
      <c r="V47" s="13">
        <f ca="1">INDEX(Mean_Reversion!$L$15:$U$34,Projections!V$40,Projections!$D47)</f>
        <v>0.22856340692956861</v>
      </c>
      <c r="W47" s="13">
        <f ca="1">INDEX(Mean_Reversion!$L$15:$U$34,Projections!W$40,Projections!$D47)</f>
        <v>0.36584189948647988</v>
      </c>
      <c r="X47" s="9">
        <f ca="1">INDEX(Mean_Reversion!$L$15:$U$34,Projections!X$40,Projections!$D47)</f>
        <v>0.28305673934720194</v>
      </c>
    </row>
    <row r="48" spans="3:24">
      <c r="D48" s="22">
        <v>8</v>
      </c>
      <c r="E48" s="13">
        <f ca="1">INDEX(Mean_Reversion!$L$15:$U$34,Projections!E$40,Projections!$D48)</f>
        <v>0.28181064372107933</v>
      </c>
      <c r="F48" s="13">
        <f ca="1">INDEX(Mean_Reversion!$L$15:$U$34,Projections!F$40,Projections!$D48)</f>
        <v>0.35191160560742252</v>
      </c>
      <c r="G48" s="13">
        <f ca="1">INDEX(Mean_Reversion!$L$15:$U$34,Projections!G$40,Projections!$D48)</f>
        <v>0.23395293288586475</v>
      </c>
      <c r="H48" s="13">
        <f ca="1">INDEX(Mean_Reversion!$L$15:$U$34,Projections!H$40,Projections!$D48)</f>
        <v>0.31535324315656676</v>
      </c>
      <c r="I48" s="13">
        <f ca="1">INDEX(Mean_Reversion!$L$15:$U$34,Projections!I$40,Projections!$D48)</f>
        <v>0.30587487096361354</v>
      </c>
      <c r="J48" s="13">
        <f ca="1">INDEX(Mean_Reversion!$L$15:$U$34,Projections!J$40,Projections!$D48)</f>
        <v>0.3054038366828728</v>
      </c>
      <c r="K48" s="13">
        <f ca="1">INDEX(Mean_Reversion!$L$15:$U$34,Projections!K$40,Projections!$D48)</f>
        <v>0.33653115240524584</v>
      </c>
      <c r="L48" s="13">
        <f ca="1">INDEX(Mean_Reversion!$L$15:$U$34,Projections!L$40,Projections!$D48)</f>
        <v>0.22935645110593722</v>
      </c>
      <c r="M48" s="13">
        <f ca="1">INDEX(Mean_Reversion!$L$15:$U$34,Projections!M$40,Projections!$D48)</f>
        <v>0.3951203184651037</v>
      </c>
      <c r="N48" s="13">
        <f ca="1">INDEX(Mean_Reversion!$L$15:$U$34,Projections!N$40,Projections!$D48)</f>
        <v>0.1827508445590513</v>
      </c>
      <c r="O48" s="13">
        <f ca="1">INDEX(Mean_Reversion!$L$15:$U$34,Projections!O$40,Projections!$D48)</f>
        <v>0.40991269202971919</v>
      </c>
      <c r="P48" s="13">
        <f ca="1">INDEX(Mean_Reversion!$L$15:$U$34,Projections!P$40,Projections!$D48)</f>
        <v>0.21896288195361452</v>
      </c>
      <c r="Q48" s="13">
        <f ca="1">INDEX(Mean_Reversion!$L$15:$U$34,Projections!Q$40,Projections!$D48)</f>
        <v>0.39493232048304849</v>
      </c>
      <c r="R48" s="13">
        <f ca="1">INDEX(Mean_Reversion!$L$15:$U$34,Projections!R$40,Projections!$D48)</f>
        <v>0.2446698221066558</v>
      </c>
      <c r="S48" s="13">
        <f ca="1">INDEX(Mean_Reversion!$L$15:$U$34,Projections!S$40,Projections!$D48)</f>
        <v>0.37845500539130028</v>
      </c>
      <c r="T48" s="13">
        <f ca="1">INDEX(Mean_Reversion!$L$15:$U$34,Projections!T$40,Projections!$D48)</f>
        <v>0.17949685159337433</v>
      </c>
      <c r="U48" s="13">
        <f ca="1">INDEX(Mean_Reversion!$L$15:$U$34,Projections!U$40,Projections!$D48)</f>
        <v>0.35417640548032164</v>
      </c>
      <c r="V48" s="13">
        <f ca="1">INDEX(Mean_Reversion!$L$15:$U$34,Projections!V$40,Projections!$D48)</f>
        <v>0.23917863921957966</v>
      </c>
      <c r="W48" s="13">
        <f ca="1">INDEX(Mean_Reversion!$L$15:$U$34,Projections!W$40,Projections!$D48)</f>
        <v>0.3781539298347445</v>
      </c>
      <c r="X48" s="9">
        <f ca="1">INDEX(Mean_Reversion!$L$15:$U$34,Projections!X$40,Projections!$D48)</f>
        <v>0.22410767740913953</v>
      </c>
    </row>
    <row r="49" spans="3:24">
      <c r="D49" s="22">
        <v>9</v>
      </c>
      <c r="E49" s="13">
        <f ca="1">INDEX(Mean_Reversion!$L$15:$U$34,Projections!E$40,Projections!$D49)</f>
        <v>0.34706881486841828</v>
      </c>
      <c r="F49" s="13">
        <f ca="1">INDEX(Mean_Reversion!$L$15:$U$34,Projections!F$40,Projections!$D49)</f>
        <v>0.26780706989032588</v>
      </c>
      <c r="G49" s="13">
        <f ca="1">INDEX(Mean_Reversion!$L$15:$U$34,Projections!G$40,Projections!$D49)</f>
        <v>0.28822782883043002</v>
      </c>
      <c r="H49" s="13">
        <f ca="1">INDEX(Mean_Reversion!$L$15:$U$34,Projections!H$40,Projections!$D49)</f>
        <v>0.31867853134751062</v>
      </c>
      <c r="I49" s="13">
        <f ca="1">INDEX(Mean_Reversion!$L$15:$U$34,Projections!I$40,Projections!$D49)</f>
        <v>0.2617039647901831</v>
      </c>
      <c r="J49" s="13">
        <f ca="1">INDEX(Mean_Reversion!$L$15:$U$34,Projections!J$40,Projections!$D49)</f>
        <v>0.37476411658345721</v>
      </c>
      <c r="K49" s="13">
        <f ca="1">INDEX(Mean_Reversion!$L$15:$U$34,Projections!K$40,Projections!$D49)</f>
        <v>0.27907721339863312</v>
      </c>
      <c r="L49" s="13">
        <f ca="1">INDEX(Mean_Reversion!$L$15:$U$34,Projections!L$40,Projections!$D49)</f>
        <v>0.33499611001964602</v>
      </c>
      <c r="M49" s="13">
        <f ca="1">INDEX(Mean_Reversion!$L$15:$U$34,Projections!M$40,Projections!$D49)</f>
        <v>0.30379379179905691</v>
      </c>
      <c r="N49" s="13">
        <f ca="1">INDEX(Mean_Reversion!$L$15:$U$34,Projections!N$40,Projections!$D49)</f>
        <v>0.30355734058647954</v>
      </c>
      <c r="O49" s="13">
        <f ca="1">INDEX(Mean_Reversion!$L$15:$U$34,Projections!O$40,Projections!$D49)</f>
        <v>0.30575957634381062</v>
      </c>
      <c r="P49" s="13">
        <f ca="1">INDEX(Mean_Reversion!$L$15:$U$34,Projections!P$40,Projections!$D49)</f>
        <v>0.30327108531150848</v>
      </c>
      <c r="Q49" s="13">
        <f ca="1">INDEX(Mean_Reversion!$L$15:$U$34,Projections!Q$40,Projections!$D49)</f>
        <v>0.26307410936357045</v>
      </c>
      <c r="R49" s="13">
        <f ca="1">INDEX(Mean_Reversion!$L$15:$U$34,Projections!R$40,Projections!$D49)</f>
        <v>0.3785248347029167</v>
      </c>
      <c r="S49" s="13">
        <f ca="1">INDEX(Mean_Reversion!$L$15:$U$34,Projections!S$40,Projections!$D49)</f>
        <v>0.21947028437443306</v>
      </c>
      <c r="T49" s="13">
        <f ca="1">INDEX(Mean_Reversion!$L$15:$U$34,Projections!T$40,Projections!$D49)</f>
        <v>0.41466888565313476</v>
      </c>
      <c r="U49" s="13">
        <f ca="1">INDEX(Mean_Reversion!$L$15:$U$34,Projections!U$40,Projections!$D49)</f>
        <v>0.19784904549166685</v>
      </c>
      <c r="V49" s="13">
        <f ca="1">INDEX(Mean_Reversion!$L$15:$U$34,Projections!V$40,Projections!$D49)</f>
        <v>0.42751314116477424</v>
      </c>
      <c r="W49" s="13">
        <f ca="1">INDEX(Mean_Reversion!$L$15:$U$34,Projections!W$40,Projections!$D49)</f>
        <v>0.19874620420206485</v>
      </c>
      <c r="X49" s="9">
        <f ca="1">INDEX(Mean_Reversion!$L$15:$U$34,Projections!X$40,Projections!$D49)</f>
        <v>0.39837694020285808</v>
      </c>
    </row>
    <row r="50" spans="3:24">
      <c r="D50" s="10">
        <v>10</v>
      </c>
      <c r="E50" s="19">
        <f ca="1">INDEX(Mean_Reversion!$L$15:$U$34,Projections!E$40,Projections!$D50)</f>
        <v>0.31792515186834608</v>
      </c>
      <c r="F50" s="19">
        <f ca="1">INDEX(Mean_Reversion!$L$15:$U$34,Projections!F$40,Projections!$D50)</f>
        <v>0.31673560400451262</v>
      </c>
      <c r="G50" s="19">
        <f ca="1">INDEX(Mean_Reversion!$L$15:$U$34,Projections!G$40,Projections!$D50)</f>
        <v>0.2938729960202337</v>
      </c>
      <c r="H50" s="19">
        <f ca="1">INDEX(Mean_Reversion!$L$15:$U$34,Projections!H$40,Projections!$D50)</f>
        <v>0.27772432864309898</v>
      </c>
      <c r="I50" s="19">
        <f ca="1">INDEX(Mean_Reversion!$L$15:$U$34,Projections!I$40,Projections!$D50)</f>
        <v>0.3582400773457397</v>
      </c>
      <c r="J50" s="19">
        <f ca="1">INDEX(Mean_Reversion!$L$15:$U$34,Projections!J$40,Projections!$D50)</f>
        <v>0.29992001984703659</v>
      </c>
      <c r="K50" s="19">
        <f ca="1">INDEX(Mean_Reversion!$L$15:$U$34,Projections!K$40,Projections!$D50)</f>
        <v>0.29105730914226674</v>
      </c>
      <c r="L50" s="19">
        <f ca="1">INDEX(Mean_Reversion!$L$15:$U$34,Projections!L$40,Projections!$D50)</f>
        <v>0.34931203268351618</v>
      </c>
      <c r="M50" s="19">
        <f ca="1">INDEX(Mean_Reversion!$L$15:$U$34,Projections!M$40,Projections!$D50)</f>
        <v>0.25458990490927808</v>
      </c>
      <c r="N50" s="19">
        <f ca="1">INDEX(Mean_Reversion!$L$15:$U$34,Projections!N$40,Projections!$D50)</f>
        <v>0.28582499099284853</v>
      </c>
      <c r="O50" s="19">
        <f ca="1">INDEX(Mean_Reversion!$L$15:$U$34,Projections!O$40,Projections!$D50)</f>
        <v>0.30604971793885072</v>
      </c>
      <c r="P50" s="19">
        <f ca="1">INDEX(Mean_Reversion!$L$15:$U$34,Projections!P$40,Projections!$D50)</f>
        <v>0.24946318408749318</v>
      </c>
      <c r="Q50" s="19">
        <f ca="1">INDEX(Mean_Reversion!$L$15:$U$34,Projections!Q$40,Projections!$D50)</f>
        <v>0.30184100251792562</v>
      </c>
      <c r="R50" s="19">
        <f ca="1">INDEX(Mean_Reversion!$L$15:$U$34,Projections!R$40,Projections!$D50)</f>
        <v>0.31122718371739544</v>
      </c>
      <c r="S50" s="19">
        <f ca="1">INDEX(Mean_Reversion!$L$15:$U$34,Projections!S$40,Projections!$D50)</f>
        <v>0.33474561494029886</v>
      </c>
      <c r="T50" s="19">
        <f ca="1">INDEX(Mean_Reversion!$L$15:$U$34,Projections!T$40,Projections!$D50)</f>
        <v>0.2146366013278056</v>
      </c>
      <c r="U50" s="19">
        <f ca="1">INDEX(Mean_Reversion!$L$15:$U$34,Projections!U$40,Projections!$D50)</f>
        <v>0.43092234803368901</v>
      </c>
      <c r="V50" s="19">
        <f ca="1">INDEX(Mean_Reversion!$L$15:$U$34,Projections!V$40,Projections!$D50)</f>
        <v>0.207209116323192</v>
      </c>
      <c r="W50" s="19">
        <f ca="1">INDEX(Mean_Reversion!$L$15:$U$34,Projections!W$40,Projections!$D50)</f>
        <v>0.32967447885933648</v>
      </c>
      <c r="X50" s="11">
        <f ca="1">INDEX(Mean_Reversion!$L$15:$U$34,Projections!X$40,Projections!$D50)</f>
        <v>0.23433810847336892</v>
      </c>
    </row>
    <row r="51" spans="3:24">
      <c r="C51" t="s">
        <v>122</v>
      </c>
      <c r="D51" s="143">
        <v>0</v>
      </c>
      <c r="E51">
        <f ca="1">AVERAGE(E41:E50)</f>
        <v>0.32371888537962495</v>
      </c>
      <c r="F51">
        <f t="shared" ref="F51" ca="1" si="9">AVERAGE(F41:F50)</f>
        <v>0.28718874600719957</v>
      </c>
      <c r="G51">
        <f t="shared" ref="G51" ca="1" si="10">AVERAGE(G41:G50)</f>
        <v>0.30465584175031191</v>
      </c>
      <c r="H51">
        <f t="shared" ref="H51" ca="1" si="11">AVERAGE(H41:H50)</f>
        <v>0.28004230421831589</v>
      </c>
      <c r="I51">
        <f t="shared" ref="I51" ca="1" si="12">AVERAGE(I41:I50)</f>
        <v>0.32937614173980412</v>
      </c>
      <c r="J51">
        <f t="shared" ref="J51" ca="1" si="13">AVERAGE(J41:J50)</f>
        <v>0.28297369796498323</v>
      </c>
      <c r="K51">
        <f t="shared" ref="K51" ca="1" si="14">AVERAGE(K41:K50)</f>
        <v>0.32267387962233995</v>
      </c>
      <c r="L51">
        <f t="shared" ref="L51" ca="1" si="15">AVERAGE(L41:L50)</f>
        <v>0.27944610971914585</v>
      </c>
      <c r="M51">
        <f t="shared" ref="M51" ca="1" si="16">AVERAGE(M41:M50)</f>
        <v>0.31843040758143049</v>
      </c>
      <c r="N51">
        <f t="shared" ref="N51" ca="1" si="17">AVERAGE(N41:N50)</f>
        <v>0.27604650133061381</v>
      </c>
      <c r="O51">
        <f t="shared" ref="O51" ca="1" si="18">AVERAGE(O41:O50)</f>
        <v>0.32119801695669936</v>
      </c>
      <c r="P51">
        <f t="shared" ref="P51" ca="1" si="19">AVERAGE(P41:P50)</f>
        <v>0.28741913739393454</v>
      </c>
      <c r="Q51">
        <f t="shared" ref="Q51" ca="1" si="20">AVERAGE(Q41:Q50)</f>
        <v>0.31436370290182719</v>
      </c>
      <c r="R51">
        <f t="shared" ref="R51" ca="1" si="21">AVERAGE(R41:R50)</f>
        <v>0.29896752612412358</v>
      </c>
      <c r="S51">
        <f t="shared" ref="S51" ca="1" si="22">AVERAGE(S41:S50)</f>
        <v>0.30523213543074784</v>
      </c>
      <c r="T51">
        <f t="shared" ref="T51" ca="1" si="23">AVERAGE(T41:T50)</f>
        <v>0.28611243646449819</v>
      </c>
      <c r="U51">
        <f t="shared" ref="U51" ca="1" si="24">AVERAGE(U41:U50)</f>
        <v>0.31835108607440177</v>
      </c>
      <c r="V51">
        <f t="shared" ref="V51" ca="1" si="25">AVERAGE(V41:V50)</f>
        <v>0.28808170965161789</v>
      </c>
      <c r="W51">
        <f t="shared" ref="W51" ca="1" si="26">AVERAGE(W41:W50)</f>
        <v>0.30754733943745649</v>
      </c>
      <c r="X51">
        <f t="shared" ref="X51" ca="1" si="27">AVERAGE(X41:X50)</f>
        <v>0.27983529283821096</v>
      </c>
    </row>
    <row r="52" spans="3:24">
      <c r="D52" t="s">
        <v>125</v>
      </c>
    </row>
    <row r="53" spans="3:24">
      <c r="D53" s="7" t="s">
        <v>102</v>
      </c>
      <c r="E53" s="18">
        <f>E40</f>
        <v>1</v>
      </c>
      <c r="F53" s="18">
        <f t="shared" ref="F53:X53" si="28">F40</f>
        <v>2</v>
      </c>
      <c r="G53" s="18">
        <f t="shared" si="28"/>
        <v>3</v>
      </c>
      <c r="H53" s="18">
        <f t="shared" si="28"/>
        <v>4</v>
      </c>
      <c r="I53" s="18">
        <f t="shared" si="28"/>
        <v>5</v>
      </c>
      <c r="J53" s="18">
        <f t="shared" si="28"/>
        <v>6</v>
      </c>
      <c r="K53" s="18">
        <f t="shared" si="28"/>
        <v>7</v>
      </c>
      <c r="L53" s="18">
        <f t="shared" si="28"/>
        <v>8</v>
      </c>
      <c r="M53" s="18">
        <f t="shared" si="28"/>
        <v>9</v>
      </c>
      <c r="N53" s="18">
        <f t="shared" si="28"/>
        <v>10</v>
      </c>
      <c r="O53" s="18">
        <f t="shared" si="28"/>
        <v>11</v>
      </c>
      <c r="P53" s="18">
        <f t="shared" si="28"/>
        <v>12</v>
      </c>
      <c r="Q53" s="18">
        <f t="shared" si="28"/>
        <v>13</v>
      </c>
      <c r="R53" s="18">
        <f t="shared" si="28"/>
        <v>14</v>
      </c>
      <c r="S53" s="18">
        <f t="shared" si="28"/>
        <v>15</v>
      </c>
      <c r="T53" s="18">
        <f t="shared" si="28"/>
        <v>16</v>
      </c>
      <c r="U53" s="18">
        <f t="shared" si="28"/>
        <v>17</v>
      </c>
      <c r="V53" s="18">
        <f t="shared" si="28"/>
        <v>18</v>
      </c>
      <c r="W53" s="18">
        <f t="shared" si="28"/>
        <v>19</v>
      </c>
      <c r="X53" s="18">
        <f t="shared" si="28"/>
        <v>20</v>
      </c>
    </row>
    <row r="54" spans="3:24">
      <c r="D54" s="22">
        <v>1</v>
      </c>
      <c r="E54" s="13">
        <f ca="1">INDEX(Jumps!$M$38:$V$57,Projections!E$40,Projections!$D54)</f>
        <v>42.857200420755824</v>
      </c>
      <c r="F54" s="13">
        <f ca="1">INDEX(Jumps!$M$38:$V$57,Projections!F$40,Projections!$D54)</f>
        <v>30.853981869688305</v>
      </c>
      <c r="G54" s="13">
        <f ca="1">INDEX(Jumps!$M$38:$V$57,Projections!G$40,Projections!$D54)</f>
        <v>42.804268821652904</v>
      </c>
      <c r="H54" s="13">
        <f ca="1">INDEX(Jumps!$M$38:$V$57,Projections!H$40,Projections!$D54)</f>
        <v>43.624418809369445</v>
      </c>
      <c r="I54" s="13">
        <f ca="1">INDEX(Jumps!$M$38:$V$57,Projections!I$40,Projections!$D54)</f>
        <v>36.918394204564457</v>
      </c>
      <c r="J54" s="13">
        <f ca="1">INDEX(Jumps!$M$38:$V$57,Projections!J$40,Projections!$D54)</f>
        <v>47.372082983616622</v>
      </c>
      <c r="K54" s="13">
        <f ca="1">INDEX(Jumps!$M$38:$V$57,Projections!K$40,Projections!$D54)</f>
        <v>25.392151252450134</v>
      </c>
      <c r="L54" s="13">
        <f ca="1">INDEX(Jumps!$M$38:$V$57,Projections!L$40,Projections!$D54)</f>
        <v>26.329296913589928</v>
      </c>
      <c r="M54" s="13">
        <f ca="1">INDEX(Jumps!$M$38:$V$57,Projections!M$40,Projections!$D54)</f>
        <v>32.322607706941263</v>
      </c>
      <c r="N54" s="13">
        <f ca="1">INDEX(Jumps!$M$38:$V$57,Projections!N$40,Projections!$D54)</f>
        <v>26.126136274854666</v>
      </c>
      <c r="O54" s="13">
        <f ca="1">INDEX(Jumps!$M$38:$V$57,Projections!O$40,Projections!$D54)</f>
        <v>34.21059479958938</v>
      </c>
      <c r="P54" s="13">
        <f ca="1">INDEX(Jumps!$M$38:$V$57,Projections!P$40,Projections!$D54)</f>
        <v>36.943520704022347</v>
      </c>
      <c r="Q54" s="13">
        <f ca="1">INDEX(Jumps!$M$38:$V$57,Projections!Q$40,Projections!$D54)</f>
        <v>28.874692322706281</v>
      </c>
      <c r="R54" s="13">
        <f ca="1">INDEX(Jumps!$M$38:$V$57,Projections!R$40,Projections!$D54)</f>
        <v>49.631868449007996</v>
      </c>
      <c r="S54" s="13">
        <f ca="1">INDEX(Jumps!$M$38:$V$57,Projections!S$40,Projections!$D54)</f>
        <v>51.805750699327604</v>
      </c>
      <c r="T54" s="13">
        <f ca="1">INDEX(Jumps!$M$38:$V$57,Projections!T$40,Projections!$D54)</f>
        <v>28.111870137984269</v>
      </c>
      <c r="U54" s="13">
        <f ca="1">INDEX(Jumps!$M$38:$V$57,Projections!U$40,Projections!$D54)</f>
        <v>31.689766792120835</v>
      </c>
      <c r="V54" s="13">
        <f ca="1">INDEX(Jumps!$M$38:$V$57,Projections!V$40,Projections!$D54)</f>
        <v>16.926592167038145</v>
      </c>
      <c r="W54" s="13">
        <f ca="1">INDEX(Jumps!$M$38:$V$57,Projections!W$40,Projections!$D54)</f>
        <v>26.790104002552656</v>
      </c>
      <c r="X54" s="9">
        <f ca="1">INDEX(Jumps!$M$38:$V$57,Projections!X$40,Projections!$D54)</f>
        <v>9.5657558137628573</v>
      </c>
    </row>
    <row r="55" spans="3:24">
      <c r="D55" s="22">
        <v>2</v>
      </c>
      <c r="E55" s="13">
        <f ca="1">INDEX(Jumps!$M$38:$V$57,Projections!E$40,Projections!$D55)</f>
        <v>32.808674078714844</v>
      </c>
      <c r="F55" s="13">
        <f ca="1">INDEX(Jumps!$M$38:$V$57,Projections!F$40,Projections!$D55)</f>
        <v>41.985810309856696</v>
      </c>
      <c r="G55" s="13">
        <f ca="1">INDEX(Jumps!$M$38:$V$57,Projections!G$40,Projections!$D55)</f>
        <v>57.180398299277755</v>
      </c>
      <c r="H55" s="13">
        <f ca="1">INDEX(Jumps!$M$38:$V$57,Projections!H$40,Projections!$D55)</f>
        <v>51.351731702039764</v>
      </c>
      <c r="I55" s="13">
        <f ca="1">INDEX(Jumps!$M$38:$V$57,Projections!I$40,Projections!$D55)</f>
        <v>31.922300454090148</v>
      </c>
      <c r="J55" s="13">
        <f ca="1">INDEX(Jumps!$M$38:$V$57,Projections!J$40,Projections!$D55)</f>
        <v>32.89689539338918</v>
      </c>
      <c r="K55" s="13">
        <f ca="1">INDEX(Jumps!$M$38:$V$57,Projections!K$40,Projections!$D55)</f>
        <v>33.950616207030627</v>
      </c>
      <c r="L55" s="13">
        <f ca="1">INDEX(Jumps!$M$38:$V$57,Projections!L$40,Projections!$D55)</f>
        <v>49.855823558019992</v>
      </c>
      <c r="M55" s="13">
        <f ca="1">INDEX(Jumps!$M$38:$V$57,Projections!M$40,Projections!$D55)</f>
        <v>57.815256406949374</v>
      </c>
      <c r="N55" s="13">
        <f ca="1">INDEX(Jumps!$M$38:$V$57,Projections!N$40,Projections!$D55)</f>
        <v>31.22369373218271</v>
      </c>
      <c r="O55" s="13">
        <f ca="1">INDEX(Jumps!$M$38:$V$57,Projections!O$40,Projections!$D55)</f>
        <v>37.49580183522832</v>
      </c>
      <c r="P55" s="13">
        <f ca="1">INDEX(Jumps!$M$38:$V$57,Projections!P$40,Projections!$D55)</f>
        <v>47.665337683268071</v>
      </c>
      <c r="Q55" s="13">
        <f ca="1">INDEX(Jumps!$M$38:$V$57,Projections!Q$40,Projections!$D55)</f>
        <v>34.81324489655016</v>
      </c>
      <c r="R55" s="13">
        <f ca="1">INDEX(Jumps!$M$38:$V$57,Projections!R$40,Projections!$D55)</f>
        <v>33.986335107051403</v>
      </c>
      <c r="S55" s="13">
        <f ca="1">INDEX(Jumps!$M$38:$V$57,Projections!S$40,Projections!$D55)</f>
        <v>26.479868668010877</v>
      </c>
      <c r="T55" s="13">
        <f ca="1">INDEX(Jumps!$M$38:$V$57,Projections!T$40,Projections!$D55)</f>
        <v>40.152714389843098</v>
      </c>
      <c r="U55" s="13">
        <f ca="1">INDEX(Jumps!$M$38:$V$57,Projections!U$40,Projections!$D55)</f>
        <v>41.568017986157699</v>
      </c>
      <c r="V55" s="13">
        <f ca="1">INDEX(Jumps!$M$38:$V$57,Projections!V$40,Projections!$D55)</f>
        <v>29.93235709943675</v>
      </c>
      <c r="W55" s="13">
        <f ca="1">INDEX(Jumps!$M$38:$V$57,Projections!W$40,Projections!$D55)</f>
        <v>26.179255340208506</v>
      </c>
      <c r="X55" s="9">
        <f ca="1">INDEX(Jumps!$M$38:$V$57,Projections!X$40,Projections!$D55)</f>
        <v>45.466798274710328</v>
      </c>
    </row>
    <row r="56" spans="3:24">
      <c r="D56" s="22">
        <v>3</v>
      </c>
      <c r="E56" s="13">
        <f ca="1">INDEX(Jumps!$M$38:$V$57,Projections!E$40,Projections!$D56)</f>
        <v>55.971793014746012</v>
      </c>
      <c r="F56" s="13">
        <f ca="1">INDEX(Jumps!$M$38:$V$57,Projections!F$40,Projections!$D56)</f>
        <v>38.639895797597319</v>
      </c>
      <c r="G56" s="13">
        <f ca="1">INDEX(Jumps!$M$38:$V$57,Projections!G$40,Projections!$D56)</f>
        <v>23.202124920782222</v>
      </c>
      <c r="H56" s="13">
        <f ca="1">INDEX(Jumps!$M$38:$V$57,Projections!H$40,Projections!$D56)</f>
        <v>29.439327606045548</v>
      </c>
      <c r="I56" s="13">
        <f ca="1">INDEX(Jumps!$M$38:$V$57,Projections!I$40,Projections!$D56)</f>
        <v>59.186704847855822</v>
      </c>
      <c r="J56" s="13">
        <f ca="1">INDEX(Jumps!$M$38:$V$57,Projections!J$40,Projections!$D56)</f>
        <v>47.007095083725098</v>
      </c>
      <c r="K56" s="13">
        <f ca="1">INDEX(Jumps!$M$38:$V$57,Projections!K$40,Projections!$D56)</f>
        <v>29.460679272235431</v>
      </c>
      <c r="L56" s="13">
        <f ca="1">INDEX(Jumps!$M$38:$V$57,Projections!L$40,Projections!$D56)</f>
        <v>28.892417167794065</v>
      </c>
      <c r="M56" s="13">
        <f ca="1">INDEX(Jumps!$M$38:$V$57,Projections!M$40,Projections!$D56)</f>
        <v>19.682330040079091</v>
      </c>
      <c r="N56" s="13">
        <f ca="1">INDEX(Jumps!$M$38:$V$57,Projections!N$40,Projections!$D56)</f>
        <v>35.38977316096063</v>
      </c>
      <c r="O56" s="13">
        <f ca="1">INDEX(Jumps!$M$38:$V$57,Projections!O$40,Projections!$D56)</f>
        <v>40.23384289269962</v>
      </c>
      <c r="P56" s="13">
        <f ca="1">INDEX(Jumps!$M$38:$V$57,Projections!P$40,Projections!$D56)</f>
        <v>30.596247096310321</v>
      </c>
      <c r="Q56" s="13">
        <f ca="1">INDEX(Jumps!$M$38:$V$57,Projections!Q$40,Projections!$D56)</f>
        <v>54.612983549024328</v>
      </c>
      <c r="R56" s="13">
        <f ca="1">INDEX(Jumps!$M$38:$V$57,Projections!R$40,Projections!$D56)</f>
        <v>37.800599539138616</v>
      </c>
      <c r="S56" s="13">
        <f ca="1">INDEX(Jumps!$M$38:$V$57,Projections!S$40,Projections!$D56)</f>
        <v>33.332503084592716</v>
      </c>
      <c r="T56" s="13">
        <f ca="1">INDEX(Jumps!$M$38:$V$57,Projections!T$40,Projections!$D56)</f>
        <v>20.706272058888512</v>
      </c>
      <c r="U56" s="13">
        <f ca="1">INDEX(Jumps!$M$38:$V$57,Projections!U$40,Projections!$D56)</f>
        <v>26.351671081243214</v>
      </c>
      <c r="V56" s="13">
        <f ca="1">INDEX(Jumps!$M$38:$V$57,Projections!V$40,Projections!$D56)</f>
        <v>51.728311202854805</v>
      </c>
      <c r="W56" s="13">
        <f ca="1">INDEX(Jumps!$M$38:$V$57,Projections!W$40,Projections!$D56)</f>
        <v>69.240883995980056</v>
      </c>
      <c r="X56" s="9">
        <f ca="1">INDEX(Jumps!$M$38:$V$57,Projections!X$40,Projections!$D56)</f>
        <v>36.162966188807154</v>
      </c>
    </row>
    <row r="57" spans="3:24">
      <c r="D57" s="22">
        <v>4</v>
      </c>
      <c r="E57" s="13">
        <f ca="1">INDEX(Jumps!$M$38:$V$57,Projections!E$40,Projections!$D57)</f>
        <v>35.491426223180838</v>
      </c>
      <c r="F57" s="13">
        <f ca="1">INDEX(Jumps!$M$38:$V$57,Projections!F$40,Projections!$D57)</f>
        <v>40.678291157311691</v>
      </c>
      <c r="G57" s="13">
        <f ca="1">INDEX(Jumps!$M$38:$V$57,Projections!G$40,Projections!$D57)</f>
        <v>40.24225153251065</v>
      </c>
      <c r="H57" s="13">
        <f ca="1">INDEX(Jumps!$M$38:$V$57,Projections!H$40,Projections!$D57)</f>
        <v>31.550703276585963</v>
      </c>
      <c r="I57" s="13">
        <f ca="1">INDEX(Jumps!$M$38:$V$57,Projections!I$40,Projections!$D57)</f>
        <v>28.955515600771047</v>
      </c>
      <c r="J57" s="13">
        <f ca="1">INDEX(Jumps!$M$38:$V$57,Projections!J$40,Projections!$D57)</f>
        <v>24.956755005464487</v>
      </c>
      <c r="K57" s="13">
        <f ca="1">INDEX(Jumps!$M$38:$V$57,Projections!K$40,Projections!$D57)</f>
        <v>18.447215195204372</v>
      </c>
      <c r="L57" s="13">
        <f ca="1">INDEX(Jumps!$M$38:$V$57,Projections!L$40,Projections!$D57)</f>
        <v>38.21975973124367</v>
      </c>
      <c r="M57" s="13">
        <f ca="1">INDEX(Jumps!$M$38:$V$57,Projections!M$40,Projections!$D57)</f>
        <v>50.839769712639566</v>
      </c>
      <c r="N57" s="13">
        <f ca="1">INDEX(Jumps!$M$38:$V$57,Projections!N$40,Projections!$D57)</f>
        <v>32.785618088433239</v>
      </c>
      <c r="O57" s="13">
        <f ca="1">INDEX(Jumps!$M$38:$V$57,Projections!O$40,Projections!$D57)</f>
        <v>19.953665199683289</v>
      </c>
      <c r="P57" s="13">
        <f ca="1">INDEX(Jumps!$M$38:$V$57,Projections!P$40,Projections!$D57)</f>
        <v>49.746790538250053</v>
      </c>
      <c r="Q57" s="13">
        <f ca="1">INDEX(Jumps!$M$38:$V$57,Projections!Q$40,Projections!$D57)</f>
        <v>35.194075636552824</v>
      </c>
      <c r="R57" s="13">
        <f ca="1">INDEX(Jumps!$M$38:$V$57,Projections!R$40,Projections!$D57)</f>
        <v>41.030842504251495</v>
      </c>
      <c r="S57" s="13">
        <f ca="1">INDEX(Jumps!$M$38:$V$57,Projections!S$40,Projections!$D57)</f>
        <v>28.291693121506775</v>
      </c>
      <c r="T57" s="13">
        <f ca="1">INDEX(Jumps!$M$38:$V$57,Projections!T$40,Projections!$D57)</f>
        <v>25.917335098530884</v>
      </c>
      <c r="U57" s="13">
        <f ca="1">INDEX(Jumps!$M$38:$V$57,Projections!U$40,Projections!$D57)</f>
        <v>24.878977544342618</v>
      </c>
      <c r="V57" s="13">
        <f ca="1">INDEX(Jumps!$M$38:$V$57,Projections!V$40,Projections!$D57)</f>
        <v>31.822813881075</v>
      </c>
      <c r="W57" s="13">
        <f ca="1">INDEX(Jumps!$M$38:$V$57,Projections!W$40,Projections!$D57)</f>
        <v>40.592765826216358</v>
      </c>
      <c r="X57" s="9">
        <f ca="1">INDEX(Jumps!$M$38:$V$57,Projections!X$40,Projections!$D57)</f>
        <v>37.847446473818515</v>
      </c>
    </row>
    <row r="58" spans="3:24">
      <c r="D58" s="22">
        <v>5</v>
      </c>
      <c r="E58" s="13">
        <f ca="1">INDEX(Jumps!$M$38:$V$57,Projections!E$40,Projections!$D58)</f>
        <v>39.822458821135427</v>
      </c>
      <c r="F58" s="13">
        <f ca="1">INDEX(Jumps!$M$38:$V$57,Projections!F$40,Projections!$D58)</f>
        <v>32.408752414835952</v>
      </c>
      <c r="G58" s="13">
        <f ca="1">INDEX(Jumps!$M$38:$V$57,Projections!G$40,Projections!$D58)</f>
        <v>31.054774217072584</v>
      </c>
      <c r="H58" s="13">
        <f ca="1">INDEX(Jumps!$M$38:$V$57,Projections!H$40,Projections!$D58)</f>
        <v>29.845895477053219</v>
      </c>
      <c r="I58" s="13">
        <f ca="1">INDEX(Jumps!$M$38:$V$57,Projections!I$40,Projections!$D58)</f>
        <v>39.749991955094629</v>
      </c>
      <c r="J58" s="13">
        <f ca="1">INDEX(Jumps!$M$38:$V$57,Projections!J$40,Projections!$D58)</f>
        <v>27.214497378632558</v>
      </c>
      <c r="K58" s="13">
        <f ca="1">INDEX(Jumps!$M$38:$V$57,Projections!K$40,Projections!$D58)</f>
        <v>27.361977801373982</v>
      </c>
      <c r="L58" s="13">
        <f ca="1">INDEX(Jumps!$M$38:$V$57,Projections!L$40,Projections!$D58)</f>
        <v>34.022584887794586</v>
      </c>
      <c r="M58" s="13">
        <f ca="1">INDEX(Jumps!$M$38:$V$57,Projections!M$40,Projections!$D58)</f>
        <v>26.266790228736934</v>
      </c>
      <c r="N58" s="13">
        <f ca="1">INDEX(Jumps!$M$38:$V$57,Projections!N$40,Projections!$D58)</f>
        <v>41.435095276246926</v>
      </c>
      <c r="O58" s="13">
        <f ca="1">INDEX(Jumps!$M$38:$V$57,Projections!O$40,Projections!$D58)</f>
        <v>25.033624367021666</v>
      </c>
      <c r="P58" s="13">
        <f ca="1">INDEX(Jumps!$M$38:$V$57,Projections!P$40,Projections!$D58)</f>
        <v>41.456923996089913</v>
      </c>
      <c r="Q58" s="13">
        <f ca="1">INDEX(Jumps!$M$38:$V$57,Projections!Q$40,Projections!$D58)</f>
        <v>34.136622153790121</v>
      </c>
      <c r="R58" s="13">
        <f ca="1">INDEX(Jumps!$M$38:$V$57,Projections!R$40,Projections!$D58)</f>
        <v>25.549345860088003</v>
      </c>
      <c r="S58" s="13">
        <f ca="1">INDEX(Jumps!$M$38:$V$57,Projections!S$40,Projections!$D58)</f>
        <v>23.437106250638223</v>
      </c>
      <c r="T58" s="13">
        <f ca="1">INDEX(Jumps!$M$38:$V$57,Projections!T$40,Projections!$D58)</f>
        <v>55.995938369817239</v>
      </c>
      <c r="U58" s="13">
        <f ca="1">INDEX(Jumps!$M$38:$V$57,Projections!U$40,Projections!$D58)</f>
        <v>37.871119323761611</v>
      </c>
      <c r="V58" s="13">
        <f ca="1">INDEX(Jumps!$M$38:$V$57,Projections!V$40,Projections!$D58)</f>
        <v>47.049014596676166</v>
      </c>
      <c r="W58" s="13">
        <f ca="1">INDEX(Jumps!$M$38:$V$57,Projections!W$40,Projections!$D58)</f>
        <v>27.699255477639362</v>
      </c>
      <c r="X58" s="9">
        <f ca="1">INDEX(Jumps!$M$38:$V$57,Projections!X$40,Projections!$D58)</f>
        <v>18.686766370131313</v>
      </c>
    </row>
    <row r="59" spans="3:24">
      <c r="D59" s="22">
        <v>6</v>
      </c>
      <c r="E59" s="13">
        <f ca="1">INDEX(Jumps!$M$38:$V$57,Projections!E$40,Projections!$D59)</f>
        <v>27.455946737159469</v>
      </c>
      <c r="F59" s="13">
        <f ca="1">INDEX(Jumps!$M$38:$V$57,Projections!F$40,Projections!$D59)</f>
        <v>20.627111976306388</v>
      </c>
      <c r="G59" s="13">
        <f ca="1">INDEX(Jumps!$M$38:$V$57,Projections!G$40,Projections!$D59)</f>
        <v>39.261409153221777</v>
      </c>
      <c r="H59" s="13">
        <f ca="1">INDEX(Jumps!$M$38:$V$57,Projections!H$40,Projections!$D59)</f>
        <v>36.724685710546126</v>
      </c>
      <c r="I59" s="13">
        <f ca="1">INDEX(Jumps!$M$38:$V$57,Projections!I$40,Projections!$D59)</f>
        <v>39.256350911884667</v>
      </c>
      <c r="J59" s="13">
        <f ca="1">INDEX(Jumps!$M$38:$V$57,Projections!J$40,Projections!$D59)</f>
        <v>24.484042852134785</v>
      </c>
      <c r="K59" s="13">
        <f ca="1">INDEX(Jumps!$M$38:$V$57,Projections!K$40,Projections!$D59)</f>
        <v>38.662658799087346</v>
      </c>
      <c r="L59" s="13">
        <f ca="1">INDEX(Jumps!$M$38:$V$57,Projections!L$40,Projections!$D59)</f>
        <v>35.645758421312081</v>
      </c>
      <c r="M59" s="13">
        <f ca="1">INDEX(Jumps!$M$38:$V$57,Projections!M$40,Projections!$D59)</f>
        <v>36.194495093053355</v>
      </c>
      <c r="N59" s="13">
        <f ca="1">INDEX(Jumps!$M$38:$V$57,Projections!N$40,Projections!$D59)</f>
        <v>48.437090806284502</v>
      </c>
      <c r="O59" s="13">
        <f ca="1">INDEX(Jumps!$M$38:$V$57,Projections!O$40,Projections!$D59)</f>
        <v>37.651652649590659</v>
      </c>
      <c r="P59" s="13">
        <f ca="1">INDEX(Jumps!$M$38:$V$57,Projections!P$40,Projections!$D59)</f>
        <v>18.054287170724862</v>
      </c>
      <c r="Q59" s="13">
        <f ca="1">INDEX(Jumps!$M$38:$V$57,Projections!Q$40,Projections!$D59)</f>
        <v>34.36156112206713</v>
      </c>
      <c r="R59" s="13">
        <f ca="1">INDEX(Jumps!$M$38:$V$57,Projections!R$40,Projections!$D59)</f>
        <v>29.286917472718986</v>
      </c>
      <c r="S59" s="13">
        <f ca="1">INDEX(Jumps!$M$38:$V$57,Projections!S$40,Projections!$D59)</f>
        <v>42.508937978201629</v>
      </c>
      <c r="T59" s="13">
        <f ca="1">INDEX(Jumps!$M$38:$V$57,Projections!T$40,Projections!$D59)</f>
        <v>21.923635201212498</v>
      </c>
      <c r="U59" s="13">
        <f ca="1">INDEX(Jumps!$M$38:$V$57,Projections!U$40,Projections!$D59)</f>
        <v>31.698157347759363</v>
      </c>
      <c r="V59" s="13">
        <f ca="1">INDEX(Jumps!$M$38:$V$57,Projections!V$40,Projections!$D59)</f>
        <v>39.71577930942879</v>
      </c>
      <c r="W59" s="13">
        <f ca="1">INDEX(Jumps!$M$38:$V$57,Projections!W$40,Projections!$D59)</f>
        <v>40.044720085067929</v>
      </c>
      <c r="X59" s="9">
        <f ca="1">INDEX(Jumps!$M$38:$V$57,Projections!X$40,Projections!$D59)</f>
        <v>49.953819396044537</v>
      </c>
    </row>
    <row r="60" spans="3:24">
      <c r="D60" s="22">
        <v>7</v>
      </c>
      <c r="E60" s="13">
        <f ca="1">INDEX(Jumps!$M$38:$V$57,Projections!E$40,Projections!$D60)</f>
        <v>37.963623530180165</v>
      </c>
      <c r="F60" s="13">
        <f ca="1">INDEX(Jumps!$M$38:$V$57,Projections!F$40,Projections!$D60)</f>
        <v>31.113575640095195</v>
      </c>
      <c r="G60" s="13">
        <f ca="1">INDEX(Jumps!$M$38:$V$57,Projections!G$40,Projections!$D60)</f>
        <v>58.199233577906952</v>
      </c>
      <c r="H60" s="13">
        <f ca="1">INDEX(Jumps!$M$38:$V$57,Projections!H$40,Projections!$D60)</f>
        <v>40.676223685467029</v>
      </c>
      <c r="I60" s="13">
        <f ca="1">INDEX(Jumps!$M$38:$V$57,Projections!I$40,Projections!$D60)</f>
        <v>45.260451216329642</v>
      </c>
      <c r="J60" s="13">
        <f ca="1">INDEX(Jumps!$M$38:$V$57,Projections!J$40,Projections!$D60)</f>
        <v>36.451631485012754</v>
      </c>
      <c r="K60" s="13">
        <f ca="1">INDEX(Jumps!$M$38:$V$57,Projections!K$40,Projections!$D60)</f>
        <v>29.569491264812768</v>
      </c>
      <c r="L60" s="13">
        <f ca="1">INDEX(Jumps!$M$38:$V$57,Projections!L$40,Projections!$D60)</f>
        <v>21.763012720589323</v>
      </c>
      <c r="M60" s="13">
        <f ca="1">INDEX(Jumps!$M$38:$V$57,Projections!M$40,Projections!$D60)</f>
        <v>34.898362176063635</v>
      </c>
      <c r="N60" s="13">
        <f ca="1">INDEX(Jumps!$M$38:$V$57,Projections!N$40,Projections!$D60)</f>
        <v>35.523531352847378</v>
      </c>
      <c r="O60" s="13">
        <f ca="1">INDEX(Jumps!$M$38:$V$57,Projections!O$40,Projections!$D60)</f>
        <v>29.171647622737261</v>
      </c>
      <c r="P60" s="13">
        <f ca="1">INDEX(Jumps!$M$38:$V$57,Projections!P$40,Projections!$D60)</f>
        <v>31.156088371335656</v>
      </c>
      <c r="Q60" s="13">
        <f ca="1">INDEX(Jumps!$M$38:$V$57,Projections!Q$40,Projections!$D60)</f>
        <v>50.901051373381918</v>
      </c>
      <c r="R60" s="13">
        <f ca="1">INDEX(Jumps!$M$38:$V$57,Projections!R$40,Projections!$D60)</f>
        <v>27.906127545144521</v>
      </c>
      <c r="S60" s="13">
        <f ca="1">INDEX(Jumps!$M$38:$V$57,Projections!S$40,Projections!$D60)</f>
        <v>47.448163844771429</v>
      </c>
      <c r="T60" s="13">
        <f ca="1">INDEX(Jumps!$M$38:$V$57,Projections!T$40,Projections!$D60)</f>
        <v>56.380814680392923</v>
      </c>
      <c r="U60" s="13">
        <f ca="1">INDEX(Jumps!$M$38:$V$57,Projections!U$40,Projections!$D60)</f>
        <v>28.233647474986469</v>
      </c>
      <c r="V60" s="13">
        <f ca="1">INDEX(Jumps!$M$38:$V$57,Projections!V$40,Projections!$D60)</f>
        <v>21.657609652677419</v>
      </c>
      <c r="W60" s="13">
        <f ca="1">INDEX(Jumps!$M$38:$V$57,Projections!W$40,Projections!$D60)</f>
        <v>17.29217379489095</v>
      </c>
      <c r="X60" s="9">
        <f ca="1">INDEX(Jumps!$M$38:$V$57,Projections!X$40,Projections!$D60)</f>
        <v>26.119492703257897</v>
      </c>
    </row>
    <row r="61" spans="3:24">
      <c r="D61" s="22">
        <v>8</v>
      </c>
      <c r="E61" s="13">
        <f ca="1">INDEX(Jumps!$M$38:$V$57,Projections!E$40,Projections!$D61)</f>
        <v>24.529150661996216</v>
      </c>
      <c r="F61" s="13">
        <f ca="1">INDEX(Jumps!$M$38:$V$57,Projections!F$40,Projections!$D61)</f>
        <v>35.800550652267127</v>
      </c>
      <c r="G61" s="13">
        <f ca="1">INDEX(Jumps!$M$38:$V$57,Projections!G$40,Projections!$D61)</f>
        <v>27.397118821155821</v>
      </c>
      <c r="H61" s="13">
        <f ca="1">INDEX(Jumps!$M$38:$V$57,Projections!H$40,Projections!$D61)</f>
        <v>15.93379687507155</v>
      </c>
      <c r="I61" s="13">
        <f ca="1">INDEX(Jumps!$M$38:$V$57,Projections!I$40,Projections!$D61)</f>
        <v>24.241050301370947</v>
      </c>
      <c r="J61" s="13">
        <f ca="1">INDEX(Jumps!$M$38:$V$57,Projections!J$40,Projections!$D61)</f>
        <v>43.812216993310933</v>
      </c>
      <c r="K61" s="13">
        <f ca="1">INDEX(Jumps!$M$38:$V$57,Projections!K$40,Projections!$D61)</f>
        <v>39.46992583660257</v>
      </c>
      <c r="L61" s="13">
        <f ca="1">INDEX(Jumps!$M$38:$V$57,Projections!L$40,Projections!$D61)</f>
        <v>45.300672749375323</v>
      </c>
      <c r="M61" s="13">
        <f ca="1">INDEX(Jumps!$M$38:$V$57,Projections!M$40,Projections!$D61)</f>
        <v>41.000811775818249</v>
      </c>
      <c r="N61" s="13">
        <f ca="1">INDEX(Jumps!$M$38:$V$57,Projections!N$40,Projections!$D61)</f>
        <v>48.205415067039318</v>
      </c>
      <c r="O61" s="13">
        <f ca="1">INDEX(Jumps!$M$38:$V$57,Projections!O$40,Projections!$D61)</f>
        <v>36.561253492411012</v>
      </c>
      <c r="P61" s="13">
        <f ca="1">INDEX(Jumps!$M$38:$V$57,Projections!P$40,Projections!$D61)</f>
        <v>39.99759193316001</v>
      </c>
      <c r="Q61" s="13">
        <f ca="1">INDEX(Jumps!$M$38:$V$57,Projections!Q$40,Projections!$D61)</f>
        <v>35.900764017068738</v>
      </c>
      <c r="R61" s="13">
        <f ca="1">INDEX(Jumps!$M$38:$V$57,Projections!R$40,Projections!$D61)</f>
        <v>29.482935423380745</v>
      </c>
      <c r="S61" s="13">
        <f ca="1">INDEX(Jumps!$M$38:$V$57,Projections!S$40,Projections!$D61)</f>
        <v>37.254469785413512</v>
      </c>
      <c r="T61" s="13">
        <f ca="1">INDEX(Jumps!$M$38:$V$57,Projections!T$40,Projections!$D61)</f>
        <v>37.29685176877377</v>
      </c>
      <c r="U61" s="13">
        <f ca="1">INDEX(Jumps!$M$38:$V$57,Projections!U$40,Projections!$D61)</f>
        <v>19.486646393035052</v>
      </c>
      <c r="V61" s="13">
        <f ca="1">INDEX(Jumps!$M$38:$V$57,Projections!V$40,Projections!$D61)</f>
        <v>46.469000455126633</v>
      </c>
      <c r="W61" s="13">
        <f ca="1">INDEX(Jumps!$M$38:$V$57,Projections!W$40,Projections!$D61)</f>
        <v>24.136339156214554</v>
      </c>
      <c r="X61" s="9">
        <f ca="1">INDEX(Jumps!$M$38:$V$57,Projections!X$40,Projections!$D61)</f>
        <v>21.071056455482683</v>
      </c>
    </row>
    <row r="62" spans="3:24">
      <c r="D62" s="22">
        <v>9</v>
      </c>
      <c r="E62" s="13">
        <f ca="1">INDEX(Jumps!$M$38:$V$57,Projections!E$40,Projections!$D62)</f>
        <v>22.275649624981789</v>
      </c>
      <c r="F62" s="13">
        <f ca="1">INDEX(Jumps!$M$38:$V$57,Projections!F$40,Projections!$D62)</f>
        <v>43.212244218668545</v>
      </c>
      <c r="G62" s="13">
        <f ca="1">INDEX(Jumps!$M$38:$V$57,Projections!G$40,Projections!$D62)</f>
        <v>41.008619381003875</v>
      </c>
      <c r="H62" s="13">
        <f ca="1">INDEX(Jumps!$M$38:$V$57,Projections!H$40,Projections!$D62)</f>
        <v>46.509329072872504</v>
      </c>
      <c r="I62" s="13">
        <f ca="1">INDEX(Jumps!$M$38:$V$57,Projections!I$40,Projections!$D62)</f>
        <v>42.731426450458301</v>
      </c>
      <c r="J62" s="13">
        <f ca="1">INDEX(Jumps!$M$38:$V$57,Projections!J$40,Projections!$D62)</f>
        <v>26.116211920910388</v>
      </c>
      <c r="K62" s="13">
        <f ca="1">INDEX(Jumps!$M$38:$V$57,Projections!K$40,Projections!$D62)</f>
        <v>25.044005807658905</v>
      </c>
      <c r="L62" s="13">
        <f ca="1">INDEX(Jumps!$M$38:$V$57,Projections!L$40,Projections!$D62)</f>
        <v>51.734352454067704</v>
      </c>
      <c r="M62" s="13">
        <f ca="1">INDEX(Jumps!$M$38:$V$57,Projections!M$40,Projections!$D62)</f>
        <v>48.574750919249915</v>
      </c>
      <c r="N62" s="13">
        <f ca="1">INDEX(Jumps!$M$38:$V$57,Projections!N$40,Projections!$D62)</f>
        <v>46.776554318051929</v>
      </c>
      <c r="O62" s="13">
        <f ca="1">INDEX(Jumps!$M$38:$V$57,Projections!O$40,Projections!$D62)</f>
        <v>32.278193882398512</v>
      </c>
      <c r="P62" s="13">
        <f ca="1">INDEX(Jumps!$M$38:$V$57,Projections!P$40,Projections!$D62)</f>
        <v>30.389365474347542</v>
      </c>
      <c r="Q62" s="13">
        <f ca="1">INDEX(Jumps!$M$38:$V$57,Projections!Q$40,Projections!$D62)</f>
        <v>62.79734759727161</v>
      </c>
      <c r="R62" s="13">
        <f ca="1">INDEX(Jumps!$M$38:$V$57,Projections!R$40,Projections!$D62)</f>
        <v>40.941405046922242</v>
      </c>
      <c r="S62" s="13">
        <f ca="1">INDEX(Jumps!$M$38:$V$57,Projections!S$40,Projections!$D62)</f>
        <v>33.443627810218047</v>
      </c>
      <c r="T62" s="13">
        <f ca="1">INDEX(Jumps!$M$38:$V$57,Projections!T$40,Projections!$D62)</f>
        <v>35.301655350541644</v>
      </c>
      <c r="U62" s="13">
        <f ca="1">INDEX(Jumps!$M$38:$V$57,Projections!U$40,Projections!$D62)</f>
        <v>30.791461465422081</v>
      </c>
      <c r="V62" s="13">
        <f ca="1">INDEX(Jumps!$M$38:$V$57,Projections!V$40,Projections!$D62)</f>
        <v>37.602630299724915</v>
      </c>
      <c r="W62" s="13">
        <f ca="1">INDEX(Jumps!$M$38:$V$57,Projections!W$40,Projections!$D62)</f>
        <v>19.850401117760754</v>
      </c>
      <c r="X62" s="9">
        <f ca="1">INDEX(Jumps!$M$38:$V$57,Projections!X$40,Projections!$D62)</f>
        <v>26.127850709606996</v>
      </c>
    </row>
    <row r="63" spans="3:24">
      <c r="D63" s="10">
        <v>10</v>
      </c>
      <c r="E63" s="19">
        <f ca="1">INDEX(Jumps!$M$38:$V$57,Projections!E$40,Projections!$D63)</f>
        <v>27.957292631209928</v>
      </c>
      <c r="F63" s="19">
        <f ca="1">INDEX(Jumps!$M$38:$V$57,Projections!F$40,Projections!$D63)</f>
        <v>30.842918897718505</v>
      </c>
      <c r="G63" s="19">
        <f ca="1">INDEX(Jumps!$M$38:$V$57,Projections!G$40,Projections!$D63)</f>
        <v>21.608506361765336</v>
      </c>
      <c r="H63" s="19">
        <f ca="1">INDEX(Jumps!$M$38:$V$57,Projections!H$40,Projections!$D63)</f>
        <v>30.952869531037621</v>
      </c>
      <c r="I63" s="19">
        <f ca="1">INDEX(Jumps!$M$38:$V$57,Projections!I$40,Projections!$D63)</f>
        <v>26.656074473804928</v>
      </c>
      <c r="J63" s="19">
        <f ca="1">INDEX(Jumps!$M$38:$V$57,Projections!J$40,Projections!$D63)</f>
        <v>25.866111796124059</v>
      </c>
      <c r="K63" s="19">
        <f ca="1">INDEX(Jumps!$M$38:$V$57,Projections!K$40,Projections!$D63)</f>
        <v>29.781148280884899</v>
      </c>
      <c r="L63" s="19">
        <f ca="1">INDEX(Jumps!$M$38:$V$57,Projections!L$40,Projections!$D63)</f>
        <v>5.1126343179585154</v>
      </c>
      <c r="M63" s="19">
        <f ca="1">INDEX(Jumps!$M$38:$V$57,Projections!M$40,Projections!$D63)</f>
        <v>35.198079671695474</v>
      </c>
      <c r="N63" s="19">
        <f ca="1">INDEX(Jumps!$M$38:$V$57,Projections!N$40,Projections!$D63)</f>
        <v>36.939381366765353</v>
      </c>
      <c r="O63" s="19">
        <f ca="1">INDEX(Jumps!$M$38:$V$57,Projections!O$40,Projections!$D63)</f>
        <v>36.378357268621194</v>
      </c>
      <c r="P63" s="19">
        <f ca="1">INDEX(Jumps!$M$38:$V$57,Projections!P$40,Projections!$D63)</f>
        <v>8.6298358783735214</v>
      </c>
      <c r="Q63" s="19">
        <f ca="1">INDEX(Jumps!$M$38:$V$57,Projections!Q$40,Projections!$D63)</f>
        <v>39.104547649629723</v>
      </c>
      <c r="R63" s="19">
        <f ca="1">INDEX(Jumps!$M$38:$V$57,Projections!R$40,Projections!$D63)</f>
        <v>45.783818090902393</v>
      </c>
      <c r="S63" s="19">
        <f ca="1">INDEX(Jumps!$M$38:$V$57,Projections!S$40,Projections!$D63)</f>
        <v>58.392340177958346</v>
      </c>
      <c r="T63" s="19">
        <f ca="1">INDEX(Jumps!$M$38:$V$57,Projections!T$40,Projections!$D63)</f>
        <v>46.409472977853056</v>
      </c>
      <c r="U63" s="19">
        <f ca="1">INDEX(Jumps!$M$38:$V$57,Projections!U$40,Projections!$D63)</f>
        <v>56.606347066643089</v>
      </c>
      <c r="V63" s="19">
        <f ca="1">INDEX(Jumps!$M$38:$V$57,Projections!V$40,Projections!$D63)</f>
        <v>44.696493601970673</v>
      </c>
      <c r="W63" s="19">
        <f ca="1">INDEX(Jumps!$M$38:$V$57,Projections!W$40,Projections!$D63)</f>
        <v>22.15269034113064</v>
      </c>
      <c r="X63" s="11">
        <f ca="1">INDEX(Jumps!$M$38:$V$57,Projections!X$40,Projections!$D63)</f>
        <v>33.225134680838039</v>
      </c>
    </row>
    <row r="64" spans="3:24">
      <c r="C64" t="s">
        <v>122</v>
      </c>
      <c r="D64" s="143">
        <v>0</v>
      </c>
      <c r="E64">
        <f ca="1">AVERAGE(E54:E63)</f>
        <v>34.713321574406052</v>
      </c>
      <c r="F64">
        <f t="shared" ref="F64" ca="1" si="29">AVERAGE(F54:F63)</f>
        <v>34.616313293434573</v>
      </c>
      <c r="G64">
        <f t="shared" ref="G64" ca="1" si="30">AVERAGE(G54:G63)</f>
        <v>38.195870508634982</v>
      </c>
      <c r="H64">
        <f t="shared" ref="H64" ca="1" si="31">AVERAGE(H54:H63)</f>
        <v>35.660898174608874</v>
      </c>
      <c r="I64">
        <f t="shared" ref="I64" ca="1" si="32">AVERAGE(I54:I63)</f>
        <v>37.487826041622455</v>
      </c>
      <c r="J64">
        <f t="shared" ref="J64" ca="1" si="33">AVERAGE(J54:J63)</f>
        <v>33.617754089232086</v>
      </c>
      <c r="K64">
        <f t="shared" ref="K64" ca="1" si="34">AVERAGE(K54:K63)</f>
        <v>29.713986971734101</v>
      </c>
      <c r="L64">
        <f t="shared" ref="L64" ca="1" si="35">AVERAGE(L54:L63)</f>
        <v>33.687631292174515</v>
      </c>
      <c r="M64">
        <f t="shared" ref="M64" ca="1" si="36">AVERAGE(M54:M63)</f>
        <v>38.279325373122688</v>
      </c>
      <c r="N64">
        <f t="shared" ref="N64" ca="1" si="37">AVERAGE(N54:N63)</f>
        <v>38.284228944366667</v>
      </c>
      <c r="O64">
        <f t="shared" ref="O64" ca="1" si="38">AVERAGE(O54:O63)</f>
        <v>32.896863400998093</v>
      </c>
      <c r="P64">
        <f t="shared" ref="P64" ca="1" si="39">AVERAGE(P54:P63)</f>
        <v>33.46359888458823</v>
      </c>
      <c r="Q64">
        <f t="shared" ref="Q64" ca="1" si="40">AVERAGE(Q54:Q63)</f>
        <v>41.069689031804288</v>
      </c>
      <c r="R64">
        <f t="shared" ref="R64" ca="1" si="41">AVERAGE(R54:R63)</f>
        <v>36.140019503860643</v>
      </c>
      <c r="S64">
        <f t="shared" ref="S64" ca="1" si="42">AVERAGE(S54:S63)</f>
        <v>38.239446142063926</v>
      </c>
      <c r="T64">
        <f t="shared" ref="T64" ca="1" si="43">AVERAGE(T54:T63)</f>
        <v>36.819656003383791</v>
      </c>
      <c r="U64">
        <f t="shared" ref="U64" ca="1" si="44">AVERAGE(U54:U63)</f>
        <v>32.917581247547204</v>
      </c>
      <c r="V64">
        <f t="shared" ref="V64" ca="1" si="45">AVERAGE(V54:V63)</f>
        <v>36.760060226600935</v>
      </c>
      <c r="W64">
        <f t="shared" ref="W64" ca="1" si="46">AVERAGE(W54:W63)</f>
        <v>31.397858913766175</v>
      </c>
      <c r="X64">
        <f t="shared" ref="X64" ca="1" si="47">AVERAGE(X54:X63)</f>
        <v>30.422708706646027</v>
      </c>
    </row>
    <row r="65" spans="2:11" ht="15.75" thickBot="1">
      <c r="D65" s="20" t="str">
        <f xml:space="preserve"> " Projected Volatilties for " &amp; ticker</f>
        <v xml:space="preserve"> Projected Volatilties for EZCH</v>
      </c>
    </row>
    <row r="66" spans="2:11">
      <c r="D66" s="31" t="s">
        <v>3</v>
      </c>
      <c r="E66" s="139" t="s">
        <v>149</v>
      </c>
      <c r="F66" s="139" t="s">
        <v>151</v>
      </c>
      <c r="H66" s="139" t="s">
        <v>145</v>
      </c>
      <c r="I66" s="139"/>
      <c r="K66" s="77"/>
    </row>
    <row r="67" spans="2:11">
      <c r="D67" s="7" t="str">
        <f>D66</f>
        <v>Sales</v>
      </c>
      <c r="E67" s="8">
        <f ca="1">$L$23</f>
        <v>14.680734639100573</v>
      </c>
      <c r="F67" s="7" t="str">
        <f>F66</f>
        <v>Margins</v>
      </c>
      <c r="G67" s="8">
        <f ca="1">$L$23</f>
        <v>14.680734639100573</v>
      </c>
      <c r="H67" s="7" t="str">
        <f>H66</f>
        <v>Multiple</v>
      </c>
      <c r="I67" s="8">
        <f ca="1">$L$23</f>
        <v>14.680734639100573</v>
      </c>
      <c r="K67" s="140"/>
    </row>
    <row r="68" spans="2:11">
      <c r="B68" t="str">
        <f>D67</f>
        <v>Sales</v>
      </c>
      <c r="D68" s="22">
        <f>D54</f>
        <v>1</v>
      </c>
      <c r="E68" s="9">
        <f t="dataTable" ref="E68:E77" dt2D="0" dtr="0" r1="B29" ca="1"/>
        <v>11.662789328889229</v>
      </c>
      <c r="F68" s="22">
        <f t="shared" ref="F68:F77" si="48">D68</f>
        <v>1</v>
      </c>
      <c r="G68" s="9">
        <f t="dataTable" ref="G68:G77" dt2D="0" dtr="0" r1="B30" ca="1"/>
        <v>14.680734639100573</v>
      </c>
      <c r="H68" s="22">
        <f>F68</f>
        <v>1</v>
      </c>
      <c r="I68" s="9">
        <f t="dataTable" ref="I68:I77" dt2D="0" dtr="0" r1="B31" ca="1"/>
        <v>10.321966693317558</v>
      </c>
      <c r="K68" s="140"/>
    </row>
    <row r="69" spans="2:11">
      <c r="B69" t="str">
        <f>F67</f>
        <v>Margins</v>
      </c>
      <c r="D69" s="22">
        <f t="shared" ref="D69:D77" si="49">D55</f>
        <v>2</v>
      </c>
      <c r="E69" s="9">
        <v>20.194392542752748</v>
      </c>
      <c r="F69" s="22">
        <f t="shared" si="48"/>
        <v>2</v>
      </c>
      <c r="G69" s="9">
        <v>8.4180695510821675</v>
      </c>
      <c r="H69" s="22">
        <f t="shared" ref="H69:H77" si="50">F69</f>
        <v>2</v>
      </c>
      <c r="I69" s="9">
        <v>9.2527809741970461</v>
      </c>
      <c r="K69" s="140"/>
    </row>
    <row r="70" spans="2:11">
      <c r="B70" t="str">
        <f>H67</f>
        <v>Multiple</v>
      </c>
      <c r="D70" s="22">
        <f t="shared" si="49"/>
        <v>3</v>
      </c>
      <c r="E70" s="9">
        <v>12.332173701466367</v>
      </c>
      <c r="F70" s="22">
        <f t="shared" si="48"/>
        <v>3</v>
      </c>
      <c r="G70" s="9">
        <v>8.1627207995540925</v>
      </c>
      <c r="H70" s="22">
        <f t="shared" si="50"/>
        <v>3</v>
      </c>
      <c r="I70" s="9">
        <v>7.6679168275158212</v>
      </c>
      <c r="K70" s="140"/>
    </row>
    <row r="71" spans="2:11">
      <c r="D71" s="22">
        <f t="shared" si="49"/>
        <v>4</v>
      </c>
      <c r="E71" s="9">
        <v>9.2771521194699673</v>
      </c>
      <c r="F71" s="22">
        <f t="shared" si="48"/>
        <v>4</v>
      </c>
      <c r="G71" s="9">
        <v>10.034585415329159</v>
      </c>
      <c r="H71" s="22">
        <f t="shared" si="50"/>
        <v>4</v>
      </c>
      <c r="I71" s="9">
        <v>8.268046903029088</v>
      </c>
      <c r="K71" s="140"/>
    </row>
    <row r="72" spans="2:11">
      <c r="D72" s="22">
        <f t="shared" si="49"/>
        <v>5</v>
      </c>
      <c r="E72" s="9">
        <v>16.600261541077316</v>
      </c>
      <c r="F72" s="22">
        <f t="shared" si="48"/>
        <v>5</v>
      </c>
      <c r="G72" s="9">
        <v>11.204345070389014</v>
      </c>
      <c r="H72" s="22">
        <f t="shared" si="50"/>
        <v>5</v>
      </c>
      <c r="I72" s="9">
        <v>10.240164513818193</v>
      </c>
      <c r="K72" s="140"/>
    </row>
    <row r="73" spans="2:11">
      <c r="D73" s="22">
        <f t="shared" si="49"/>
        <v>6</v>
      </c>
      <c r="E73" s="9">
        <v>14.886984303168727</v>
      </c>
      <c r="F73" s="22">
        <f t="shared" si="48"/>
        <v>6</v>
      </c>
      <c r="G73" s="9">
        <v>8.0203122685435364</v>
      </c>
      <c r="H73" s="22">
        <f t="shared" si="50"/>
        <v>6</v>
      </c>
      <c r="I73" s="9">
        <v>10.086178342662798</v>
      </c>
      <c r="K73" s="140"/>
    </row>
    <row r="74" spans="2:11">
      <c r="D74" s="22">
        <f t="shared" si="49"/>
        <v>7</v>
      </c>
      <c r="E74" s="9">
        <v>8.5276801068518484</v>
      </c>
      <c r="F74" s="22">
        <f t="shared" si="48"/>
        <v>7</v>
      </c>
      <c r="G74" s="9">
        <v>4.4507978485216748</v>
      </c>
      <c r="H74" s="22">
        <f t="shared" si="50"/>
        <v>7</v>
      </c>
      <c r="I74" s="9">
        <v>8.7006913604543286</v>
      </c>
      <c r="K74" s="140"/>
    </row>
    <row r="75" spans="2:11">
      <c r="D75" s="22">
        <f t="shared" si="49"/>
        <v>8</v>
      </c>
      <c r="E75" s="9">
        <v>16.576491621879384</v>
      </c>
      <c r="F75" s="22">
        <f t="shared" si="48"/>
        <v>8</v>
      </c>
      <c r="G75" s="9">
        <v>6.9209092134928412</v>
      </c>
      <c r="H75" s="22">
        <f t="shared" si="50"/>
        <v>8</v>
      </c>
      <c r="I75" s="9">
        <v>8.4719757775772973</v>
      </c>
      <c r="K75" s="140"/>
    </row>
    <row r="76" spans="2:11">
      <c r="D76" s="22">
        <f t="shared" si="49"/>
        <v>9</v>
      </c>
      <c r="E76" s="9">
        <v>7.1848434144424767</v>
      </c>
      <c r="F76" s="22">
        <f t="shared" si="48"/>
        <v>9</v>
      </c>
      <c r="G76" s="9">
        <v>7.5005162780079777</v>
      </c>
      <c r="H76" s="22">
        <f t="shared" si="50"/>
        <v>9</v>
      </c>
      <c r="I76" s="9">
        <v>6.9355525004410392</v>
      </c>
      <c r="K76" s="140"/>
    </row>
    <row r="77" spans="2:11">
      <c r="D77" s="10">
        <f t="shared" si="49"/>
        <v>10</v>
      </c>
      <c r="E77" s="11">
        <v>13.00008662830029</v>
      </c>
      <c r="F77" s="10">
        <f t="shared" si="48"/>
        <v>10</v>
      </c>
      <c r="G77" s="11">
        <v>9.7292963685736957</v>
      </c>
      <c r="H77" s="10">
        <f t="shared" si="50"/>
        <v>10</v>
      </c>
      <c r="I77" s="11">
        <v>8.3878623020603893</v>
      </c>
      <c r="K77" s="140"/>
    </row>
    <row r="78" spans="2:11" ht="15.75" thickBot="1">
      <c r="D78" s="35" t="s">
        <v>150</v>
      </c>
      <c r="E78" s="141">
        <f>STDEV(E68:E77)</f>
        <v>4.0957794464993214</v>
      </c>
      <c r="F78" s="141"/>
      <c r="G78" s="141">
        <f ca="1">STDEV(G68:G77)</f>
        <v>1.8571493489800801</v>
      </c>
      <c r="H78" s="141"/>
      <c r="I78" s="141">
        <f>STDEV(I68:I77)</f>
        <v>1.1336614365051345</v>
      </c>
      <c r="K78" s="142"/>
    </row>
    <row r="79" spans="2:11">
      <c r="E79" s="145">
        <f>E78/AVERAGE(E68:E77)</f>
        <v>0.31447248578850528</v>
      </c>
      <c r="F79" s="145"/>
      <c r="G79" s="145">
        <f ca="1">G78/AVERAGE(G68:G77)</f>
        <v>0.2236599418451741</v>
      </c>
      <c r="H79" s="145"/>
      <c r="I79" s="145">
        <f>I78/AVERAGE(I68:I77)</f>
        <v>0.12833931696952025</v>
      </c>
    </row>
    <row r="82" spans="4:9">
      <c r="D82" t="str">
        <f>MConcate(D68:D72,"|")</f>
        <v>1|2|3|4|5</v>
      </c>
      <c r="E82" t="s">
        <v>148</v>
      </c>
    </row>
    <row r="84" spans="4:9">
      <c r="D84" t="str">
        <f>EXTRACTELEMENT(D82,3,"|")</f>
        <v>3</v>
      </c>
      <c r="E84" t="s">
        <v>147</v>
      </c>
    </row>
    <row r="87" spans="4:9">
      <c r="D87" t="s">
        <v>152</v>
      </c>
    </row>
    <row r="89" spans="4:9">
      <c r="D89" t="s">
        <v>153</v>
      </c>
      <c r="E89">
        <f>AVERAGE(E68:E77)</f>
        <v>13.024285530829838</v>
      </c>
      <c r="F89" t="s">
        <v>153</v>
      </c>
      <c r="G89">
        <f ca="1">AVERAGE(G68:G77)</f>
        <v>8.3034509159698757</v>
      </c>
      <c r="H89" t="s">
        <v>153</v>
      </c>
      <c r="I89">
        <f>AVERAGE(I68:I77)</f>
        <v>8.8333136195073543</v>
      </c>
    </row>
    <row r="90" spans="4:9">
      <c r="D90" t="s">
        <v>154</v>
      </c>
      <c r="E90">
        <f>MAX(E68:E77)</f>
        <v>20.194392542752748</v>
      </c>
      <c r="F90" t="s">
        <v>154</v>
      </c>
      <c r="G90">
        <f ca="1">MAX(G68:G77)</f>
        <v>11.204345070389014</v>
      </c>
      <c r="H90" t="s">
        <v>154</v>
      </c>
      <c r="I90">
        <f>MAX(I68:I77)</f>
        <v>10.321966693317558</v>
      </c>
    </row>
    <row r="91" spans="4:9">
      <c r="D91" t="s">
        <v>155</v>
      </c>
      <c r="E91">
        <f>MIN(E68:E77)</f>
        <v>7.1848434144424767</v>
      </c>
      <c r="F91" t="s">
        <v>155</v>
      </c>
      <c r="G91">
        <f ca="1">MIN(G68:G77)</f>
        <v>4.4507978485216748</v>
      </c>
      <c r="H91" t="s">
        <v>155</v>
      </c>
      <c r="I91">
        <f>MIN(I68:I77)</f>
        <v>6.9355525004410392</v>
      </c>
    </row>
    <row r="92" spans="4:9">
      <c r="D92" t="s">
        <v>156</v>
      </c>
      <c r="E92">
        <f>(E90-E91)/10</f>
        <v>1.3009549128310272</v>
      </c>
      <c r="F92" t="s">
        <v>156</v>
      </c>
      <c r="G92">
        <f ca="1">(G90-G91)/10</f>
        <v>0.67535472218673387</v>
      </c>
      <c r="H92" t="s">
        <v>156</v>
      </c>
      <c r="I92">
        <f>(I90-I91)/10</f>
        <v>0.33864141928765185</v>
      </c>
    </row>
    <row r="94" spans="4:9">
      <c r="D94">
        <f>D68</f>
        <v>1</v>
      </c>
      <c r="E94">
        <f>E91</f>
        <v>7.1848434144424767</v>
      </c>
      <c r="F94">
        <f>F68</f>
        <v>1</v>
      </c>
      <c r="G94">
        <f ca="1">G91</f>
        <v>4.4507978485216748</v>
      </c>
      <c r="H94">
        <f>H68</f>
        <v>1</v>
      </c>
      <c r="I94">
        <f>I91</f>
        <v>6.9355525004410392</v>
      </c>
    </row>
    <row r="95" spans="4:9">
      <c r="D95">
        <f t="shared" ref="D95:F103" si="51">D69</f>
        <v>2</v>
      </c>
      <c r="E95">
        <f>E94+$E$92</f>
        <v>8.4857983272735034</v>
      </c>
      <c r="F95">
        <f t="shared" si="51"/>
        <v>2</v>
      </c>
      <c r="G95">
        <f ca="1">G94+$E$92</f>
        <v>5.7517527613527015</v>
      </c>
      <c r="H95">
        <f t="shared" ref="H95" si="52">H69</f>
        <v>2</v>
      </c>
      <c r="I95">
        <f>I94+$E$92</f>
        <v>8.2365074132720668</v>
      </c>
    </row>
    <row r="96" spans="4:9">
      <c r="D96">
        <f t="shared" si="51"/>
        <v>3</v>
      </c>
      <c r="E96">
        <f t="shared" ref="E96:E103" si="53">E95+$E$92</f>
        <v>9.786753240104531</v>
      </c>
      <c r="F96">
        <f t="shared" si="51"/>
        <v>3</v>
      </c>
      <c r="G96">
        <f t="shared" ref="G96:G103" ca="1" si="54">G95+$E$92</f>
        <v>7.0527076741837291</v>
      </c>
      <c r="H96">
        <f t="shared" ref="H96" si="55">H70</f>
        <v>3</v>
      </c>
      <c r="I96">
        <f t="shared" ref="I96:I103" si="56">I95+$E$92</f>
        <v>9.5374623261030944</v>
      </c>
    </row>
    <row r="97" spans="4:9">
      <c r="D97">
        <f t="shared" si="51"/>
        <v>4</v>
      </c>
      <c r="E97">
        <f t="shared" si="53"/>
        <v>11.087708152935559</v>
      </c>
      <c r="F97">
        <f t="shared" si="51"/>
        <v>4</v>
      </c>
      <c r="G97">
        <f t="shared" ca="1" si="54"/>
        <v>8.3536625870147567</v>
      </c>
      <c r="H97">
        <f t="shared" ref="H97" si="57">H71</f>
        <v>4</v>
      </c>
      <c r="I97">
        <f t="shared" si="56"/>
        <v>10.838417238934122</v>
      </c>
    </row>
    <row r="98" spans="4:9">
      <c r="D98">
        <f t="shared" si="51"/>
        <v>5</v>
      </c>
      <c r="E98">
        <f t="shared" si="53"/>
        <v>12.388663065766586</v>
      </c>
      <c r="F98">
        <f t="shared" si="51"/>
        <v>5</v>
      </c>
      <c r="G98">
        <f t="shared" ca="1" si="54"/>
        <v>9.6546174998457843</v>
      </c>
      <c r="H98">
        <f t="shared" ref="H98" si="58">H72</f>
        <v>5</v>
      </c>
      <c r="I98">
        <f t="shared" si="56"/>
        <v>12.13937215176515</v>
      </c>
    </row>
    <row r="99" spans="4:9">
      <c r="D99">
        <f t="shared" si="51"/>
        <v>6</v>
      </c>
      <c r="E99">
        <f t="shared" si="53"/>
        <v>13.689617978597614</v>
      </c>
      <c r="F99">
        <f t="shared" si="51"/>
        <v>6</v>
      </c>
      <c r="G99">
        <f t="shared" ca="1" si="54"/>
        <v>10.955572412676812</v>
      </c>
      <c r="H99">
        <f t="shared" ref="H99" si="59">H73</f>
        <v>6</v>
      </c>
      <c r="I99">
        <f t="shared" si="56"/>
        <v>13.440327064596177</v>
      </c>
    </row>
    <row r="100" spans="4:9">
      <c r="D100">
        <f t="shared" si="51"/>
        <v>7</v>
      </c>
      <c r="E100">
        <f t="shared" si="53"/>
        <v>14.990572891428641</v>
      </c>
      <c r="F100">
        <f t="shared" si="51"/>
        <v>7</v>
      </c>
      <c r="G100">
        <f t="shared" ca="1" si="54"/>
        <v>12.25652732550784</v>
      </c>
      <c r="H100">
        <f t="shared" ref="H100" si="60">H74</f>
        <v>7</v>
      </c>
      <c r="I100">
        <f t="shared" si="56"/>
        <v>14.741281977427205</v>
      </c>
    </row>
    <row r="101" spans="4:9">
      <c r="D101">
        <f t="shared" si="51"/>
        <v>8</v>
      </c>
      <c r="E101">
        <f t="shared" si="53"/>
        <v>16.291527804259669</v>
      </c>
      <c r="F101">
        <f t="shared" si="51"/>
        <v>8</v>
      </c>
      <c r="G101">
        <f t="shared" ca="1" si="54"/>
        <v>13.557482238338867</v>
      </c>
      <c r="H101">
        <f t="shared" ref="H101" si="61">H75</f>
        <v>8</v>
      </c>
      <c r="I101">
        <f t="shared" si="56"/>
        <v>16.042236890258231</v>
      </c>
    </row>
    <row r="102" spans="4:9">
      <c r="D102">
        <f t="shared" si="51"/>
        <v>9</v>
      </c>
      <c r="E102">
        <f t="shared" si="53"/>
        <v>17.592482717090697</v>
      </c>
      <c r="F102">
        <f t="shared" si="51"/>
        <v>9</v>
      </c>
      <c r="G102">
        <f t="shared" ca="1" si="54"/>
        <v>14.858437151169895</v>
      </c>
      <c r="H102">
        <f t="shared" ref="H102" si="62">H76</f>
        <v>9</v>
      </c>
      <c r="I102">
        <f t="shared" si="56"/>
        <v>17.343191803089258</v>
      </c>
    </row>
    <row r="103" spans="4:9">
      <c r="D103">
        <f t="shared" si="51"/>
        <v>10</v>
      </c>
      <c r="E103">
        <f t="shared" si="53"/>
        <v>18.893437629921724</v>
      </c>
      <c r="F103">
        <f t="shared" si="51"/>
        <v>10</v>
      </c>
      <c r="G103">
        <f t="shared" ca="1" si="54"/>
        <v>16.159392064000922</v>
      </c>
      <c r="H103">
        <f t="shared" ref="H103" si="63">H77</f>
        <v>10</v>
      </c>
      <c r="I103">
        <f t="shared" si="56"/>
        <v>18.644146715920286</v>
      </c>
    </row>
    <row r="105" spans="4:9">
      <c r="E105">
        <f>COUNTIFS($E$68:$E$77,"&gt;"&amp;E94) -COUNTIFS($E$68:$E$77,"&gt;"&amp;E95)</f>
        <v>0</v>
      </c>
      <c r="G105">
        <f ca="1">COUNTIFS($G$68:$G$77,"&gt;"&amp;G94) -COUNTIFS($G$68:$G$77,"&gt;"&amp;G95)</f>
        <v>0</v>
      </c>
      <c r="I105">
        <f>COUNTIFS($I$68:$I$77,"&gt;"&amp;I94) -COUNTIFS($I$68:$I$77,"&gt;"&amp;I95)</f>
        <v>1</v>
      </c>
    </row>
    <row r="106" spans="4:9">
      <c r="E106">
        <f t="shared" ref="E106:E114" si="64">COUNTIFS($E$68:$E$77,"&gt;"&amp;E95) -COUNTIFS($E$68:$E$77,"&gt;"&amp;E96)</f>
        <v>2</v>
      </c>
      <c r="G106">
        <f t="shared" ref="G106:G114" ca="1" si="65">COUNTIFS($G$68:$G$77,"&gt;"&amp;G95) -COUNTIFS($G$68:$G$77,"&gt;"&amp;G96)</f>
        <v>1</v>
      </c>
      <c r="I106">
        <f t="shared" ref="I106:I114" si="66">COUNTIFS($I$68:$I$77,"&gt;"&amp;I95) -COUNTIFS($I$68:$I$77,"&gt;"&amp;I96)</f>
        <v>5</v>
      </c>
    </row>
    <row r="107" spans="4:9">
      <c r="E107">
        <f t="shared" si="64"/>
        <v>0</v>
      </c>
      <c r="G107">
        <f t="shared" ca="1" si="65"/>
        <v>3</v>
      </c>
      <c r="I107">
        <f t="shared" si="66"/>
        <v>3</v>
      </c>
    </row>
    <row r="108" spans="4:9">
      <c r="E108">
        <f t="shared" si="64"/>
        <v>2</v>
      </c>
      <c r="G108">
        <f t="shared" ca="1" si="65"/>
        <v>2</v>
      </c>
      <c r="I108">
        <f t="shared" si="66"/>
        <v>0</v>
      </c>
    </row>
    <row r="109" spans="4:9">
      <c r="E109">
        <f t="shared" si="64"/>
        <v>1</v>
      </c>
      <c r="G109">
        <f t="shared" ca="1" si="65"/>
        <v>2</v>
      </c>
      <c r="I109">
        <f t="shared" si="66"/>
        <v>0</v>
      </c>
    </row>
    <row r="110" spans="4:9">
      <c r="E110">
        <f t="shared" si="64"/>
        <v>1</v>
      </c>
      <c r="G110">
        <f t="shared" ca="1" si="65"/>
        <v>1</v>
      </c>
      <c r="I110">
        <f t="shared" si="66"/>
        <v>0</v>
      </c>
    </row>
    <row r="111" spans="4:9">
      <c r="E111">
        <f t="shared" si="64"/>
        <v>0</v>
      </c>
      <c r="G111">
        <f t="shared" ca="1" si="65"/>
        <v>0</v>
      </c>
      <c r="I111">
        <f t="shared" si="66"/>
        <v>0</v>
      </c>
    </row>
    <row r="112" spans="4:9">
      <c r="E112">
        <f t="shared" si="64"/>
        <v>2</v>
      </c>
      <c r="G112">
        <f t="shared" ca="1" si="65"/>
        <v>0</v>
      </c>
      <c r="I112">
        <f t="shared" si="66"/>
        <v>0</v>
      </c>
    </row>
    <row r="113" spans="5:9">
      <c r="E113">
        <f t="shared" si="64"/>
        <v>0</v>
      </c>
      <c r="G113">
        <f t="shared" ca="1" si="65"/>
        <v>0</v>
      </c>
      <c r="I113">
        <f t="shared" si="66"/>
        <v>0</v>
      </c>
    </row>
    <row r="114" spans="5:9">
      <c r="E114">
        <f t="shared" si="64"/>
        <v>1</v>
      </c>
      <c r="G114">
        <f t="shared" ca="1" si="65"/>
        <v>0</v>
      </c>
      <c r="I114">
        <f t="shared" si="66"/>
        <v>0</v>
      </c>
    </row>
    <row r="116" spans="5:9">
      <c r="E116">
        <f>SUM(E105:E114)</f>
        <v>9</v>
      </c>
      <c r="G116">
        <f ca="1">SUM(G105:G114)</f>
        <v>9</v>
      </c>
      <c r="I116">
        <f>SUM(I105:I114)</f>
        <v>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AG150"/>
  <sheetViews>
    <sheetView topLeftCell="A6" workbookViewId="0">
      <selection activeCell="I89" sqref="I89"/>
    </sheetView>
  </sheetViews>
  <sheetFormatPr defaultRowHeight="15"/>
  <cols>
    <col min="3" max="3" width="10.7109375" bestFit="1" customWidth="1"/>
    <col min="4" max="4" width="10.7109375" customWidth="1"/>
    <col min="6" max="6" width="9.5703125" bestFit="1" customWidth="1"/>
    <col min="9" max="9" width="15.7109375" bestFit="1" customWidth="1"/>
    <col min="10" max="10" width="11.42578125" customWidth="1"/>
  </cols>
  <sheetData>
    <row r="1" spans="1:33">
      <c r="B1" t="s">
        <v>29</v>
      </c>
      <c r="H1" t="s">
        <v>0</v>
      </c>
      <c r="I1" t="s">
        <v>17</v>
      </c>
      <c r="J1" t="s">
        <v>18</v>
      </c>
    </row>
    <row r="2" spans="1:33">
      <c r="H2" t="s">
        <v>14</v>
      </c>
      <c r="I2">
        <f>STDEVP(G7:G45)</f>
        <v>2.2072950111377563</v>
      </c>
      <c r="J2">
        <f ca="1">STDEVP(K7:AD45)</f>
        <v>2.1276996429562005</v>
      </c>
    </row>
    <row r="3" spans="1:33">
      <c r="B3" t="s">
        <v>1</v>
      </c>
      <c r="C3">
        <f>SLOPE(B7:B45,C7:C45)</f>
        <v>0.94038741647901758</v>
      </c>
      <c r="H3" t="s">
        <v>13</v>
      </c>
      <c r="I3" s="26">
        <f>AVERAGE(G6:G45)</f>
        <v>-5.1410256410257343E-2</v>
      </c>
      <c r="J3">
        <f ca="1">AVERAGE(K7:AD45)</f>
        <v>-9.5635170357926767E-3</v>
      </c>
    </row>
    <row r="4" spans="1:33">
      <c r="B4" t="s">
        <v>2</v>
      </c>
      <c r="C4">
        <f>INTERCEPT(B7:B45,C7:C45)</f>
        <v>1.0645469268043382</v>
      </c>
      <c r="H4" t="s">
        <v>16</v>
      </c>
      <c r="I4" s="120">
        <f>SUM(G6:G45)</f>
        <v>-2.0050000000000363</v>
      </c>
      <c r="J4">
        <f ca="1">SUM(K7:AD45)</f>
        <v>-7.4595432879182884</v>
      </c>
      <c r="K4" t="s">
        <v>21</v>
      </c>
    </row>
    <row r="5" spans="1:33">
      <c r="B5" s="7" t="s">
        <v>3</v>
      </c>
      <c r="C5" t="s">
        <v>23</v>
      </c>
      <c r="D5" s="8" t="s">
        <v>19</v>
      </c>
      <c r="F5" s="7" t="s">
        <v>12</v>
      </c>
      <c r="G5" s="8" t="s">
        <v>0</v>
      </c>
      <c r="K5" s="12" t="s">
        <v>15</v>
      </c>
    </row>
    <row r="6" spans="1:33">
      <c r="A6">
        <v>1</v>
      </c>
      <c r="B6" s="15">
        <f t="array" ref="B6:B45">TRANSPOSE(Input!B10:AO10)</f>
        <v>1.72</v>
      </c>
      <c r="D6" s="62">
        <f t="array" ref="D6:D45">TRANSPOSE(Input!B9:CC9)</f>
        <v>38890</v>
      </c>
      <c r="F6" s="37"/>
      <c r="G6" s="8"/>
      <c r="I6" s="13"/>
      <c r="J6" s="13"/>
      <c r="K6" s="12"/>
      <c r="L6" s="12"/>
      <c r="M6" s="12"/>
      <c r="N6" s="12"/>
      <c r="O6" s="12"/>
      <c r="P6" s="12"/>
    </row>
    <row r="7" spans="1:33">
      <c r="A7">
        <v>2</v>
      </c>
      <c r="B7" s="15">
        <v>1.873</v>
      </c>
      <c r="C7">
        <f>B6</f>
        <v>1.72</v>
      </c>
      <c r="D7" s="62">
        <v>38481</v>
      </c>
      <c r="F7" s="37">
        <f>$C$4+C7*$C$3</f>
        <v>2.6820132831482484</v>
      </c>
      <c r="G7" s="8">
        <f t="shared" ref="G7:G33" si="0">F7-B7</f>
        <v>0.80901328314824839</v>
      </c>
      <c r="I7" s="13"/>
      <c r="J7" s="13"/>
      <c r="K7" s="12">
        <f t="shared" ref="K7:Z45" ca="1" si="1">NORMINV(RAND(),$I$3,$I$2)</f>
        <v>1.0279190030083021</v>
      </c>
      <c r="L7" s="12">
        <f t="shared" ca="1" si="1"/>
        <v>-3.9699739284838094</v>
      </c>
      <c r="M7" s="12">
        <f t="shared" ca="1" si="1"/>
        <v>1.0132868243148108</v>
      </c>
      <c r="N7" s="12">
        <f t="shared" ca="1" si="1"/>
        <v>1.3949520471013872</v>
      </c>
      <c r="O7" s="12">
        <f t="shared" ca="1" si="1"/>
        <v>-3.3469894815764687</v>
      </c>
      <c r="P7" s="12">
        <f t="shared" ca="1" si="1"/>
        <v>1.7375182139953198</v>
      </c>
      <c r="Q7" s="12">
        <f t="shared" ca="1" si="1"/>
        <v>8.8722092026213645E-2</v>
      </c>
      <c r="R7" s="12">
        <f t="shared" ca="1" si="1"/>
        <v>3.029062223729142</v>
      </c>
      <c r="S7" s="12">
        <f t="shared" ca="1" si="1"/>
        <v>-1.4264800983634267</v>
      </c>
      <c r="T7" s="12">
        <f t="shared" ca="1" si="1"/>
        <v>-2.6504273717941467</v>
      </c>
      <c r="U7" s="12">
        <f t="shared" ca="1" si="1"/>
        <v>1.6202304959227016</v>
      </c>
      <c r="V7" s="12">
        <f t="shared" ca="1" si="1"/>
        <v>-3.5478997016985745</v>
      </c>
      <c r="W7" s="12">
        <f t="shared" ca="1" si="1"/>
        <v>-0.31854205048392703</v>
      </c>
      <c r="X7" s="12">
        <f t="shared" ca="1" si="1"/>
        <v>1.5866106627013048</v>
      </c>
      <c r="Y7" s="12">
        <f t="shared" ca="1" si="1"/>
        <v>4.8324723988460292</v>
      </c>
      <c r="Z7" s="12">
        <f t="shared" ca="1" si="1"/>
        <v>0.19668189849792342</v>
      </c>
      <c r="AA7" s="12">
        <f t="shared" ref="AA7:AD22" ca="1" si="2">NORMINV(RAND(),$I$3,$I$2)</f>
        <v>-1.5762508883416342</v>
      </c>
      <c r="AB7" s="12">
        <f t="shared" ca="1" si="2"/>
        <v>4.3514836429875805</v>
      </c>
      <c r="AC7" s="12">
        <f t="shared" ca="1" si="2"/>
        <v>-1.6951989760530288</v>
      </c>
      <c r="AD7" s="12">
        <f t="shared" ca="1" si="2"/>
        <v>-0.17175032888069536</v>
      </c>
      <c r="AE7" s="12"/>
      <c r="AF7" s="12"/>
      <c r="AG7" s="12"/>
    </row>
    <row r="8" spans="1:33">
      <c r="A8">
        <v>3</v>
      </c>
      <c r="B8" s="15">
        <v>2.0030000000000001</v>
      </c>
      <c r="C8">
        <f t="shared" ref="C8:C45" si="3">B7</f>
        <v>1.873</v>
      </c>
      <c r="D8" s="62">
        <v>38989</v>
      </c>
      <c r="F8" s="37">
        <f t="shared" ref="F8:F45" si="4">$C$4+C8*$C$3</f>
        <v>2.8258925578695382</v>
      </c>
      <c r="G8" s="8">
        <f t="shared" si="0"/>
        <v>0.82289255786953808</v>
      </c>
      <c r="I8" s="13"/>
      <c r="J8" s="13"/>
      <c r="K8" s="12">
        <f t="shared" ca="1" si="1"/>
        <v>-2.5185408857956348</v>
      </c>
      <c r="L8" s="12">
        <f t="shared" ca="1" si="1"/>
        <v>0.99868203802454414</v>
      </c>
      <c r="M8" s="12">
        <f t="shared" ca="1" si="1"/>
        <v>1.4530885708274823</v>
      </c>
      <c r="N8" s="12">
        <f t="shared" ca="1" si="1"/>
        <v>0.94704236523477459</v>
      </c>
      <c r="O8" s="12">
        <f t="shared" ca="1" si="1"/>
        <v>0.36950000173809561</v>
      </c>
      <c r="P8" s="12">
        <f t="shared" ca="1" si="1"/>
        <v>0.229558108145306</v>
      </c>
      <c r="Q8" s="12">
        <f t="shared" ca="1" si="1"/>
        <v>-1.870023179735524</v>
      </c>
      <c r="R8" s="12">
        <f t="shared" ca="1" si="1"/>
        <v>-1.3363284705542011</v>
      </c>
      <c r="S8" s="12">
        <f t="shared" ca="1" si="1"/>
        <v>5.0318149154777849</v>
      </c>
      <c r="T8" s="12">
        <f t="shared" ca="1" si="1"/>
        <v>-3.4969435659788219</v>
      </c>
      <c r="U8" s="12">
        <f t="shared" ca="1" si="1"/>
        <v>-1.5960997774433128</v>
      </c>
      <c r="V8" s="12">
        <f t="shared" ref="Q8:AD30" ca="1" si="5">NORMINV(RAND(),$I$3,$I$2)</f>
        <v>-1.1884207319757745</v>
      </c>
      <c r="W8" s="12">
        <f t="shared" ca="1" si="5"/>
        <v>-2.5455587141593012</v>
      </c>
      <c r="X8" s="12">
        <f t="shared" ca="1" si="5"/>
        <v>-2.0053584914837743</v>
      </c>
      <c r="Y8" s="12">
        <f t="shared" ca="1" si="5"/>
        <v>1.3455269581632934</v>
      </c>
      <c r="Z8" s="12">
        <f t="shared" ca="1" si="5"/>
        <v>-0.84853737145679886</v>
      </c>
      <c r="AA8" s="12">
        <f t="shared" ca="1" si="2"/>
        <v>-0.91047485847019294</v>
      </c>
      <c r="AB8" s="12">
        <f t="shared" ca="1" si="2"/>
        <v>0.8875073159987984</v>
      </c>
      <c r="AC8" s="12">
        <f t="shared" ca="1" si="2"/>
        <v>2.4156230983355087</v>
      </c>
      <c r="AD8" s="12">
        <f t="shared" ca="1" si="2"/>
        <v>0.14979872437552672</v>
      </c>
    </row>
    <row r="9" spans="1:33">
      <c r="A9">
        <v>4</v>
      </c>
      <c r="B9" s="15">
        <v>0.68700000000000006</v>
      </c>
      <c r="C9">
        <f t="shared" si="3"/>
        <v>2.0030000000000001</v>
      </c>
      <c r="D9" s="62">
        <v>38663</v>
      </c>
      <c r="F9" s="37">
        <f t="shared" si="4"/>
        <v>2.9481429220118107</v>
      </c>
      <c r="G9" s="8">
        <f t="shared" si="0"/>
        <v>2.2611429220118104</v>
      </c>
      <c r="I9" s="13"/>
      <c r="J9" s="13"/>
      <c r="K9" s="12">
        <f t="shared" ca="1" si="1"/>
        <v>0.27968765779727078</v>
      </c>
      <c r="L9" s="12">
        <f t="shared" ca="1" si="1"/>
        <v>2.7880802553620367</v>
      </c>
      <c r="M9" s="12">
        <f t="shared" ca="1" si="1"/>
        <v>-0.42732283971159224</v>
      </c>
      <c r="N9" s="12">
        <f t="shared" ca="1" si="1"/>
        <v>1.997264438223689</v>
      </c>
      <c r="O9" s="12">
        <f t="shared" ca="1" si="1"/>
        <v>-2.6574097411209601</v>
      </c>
      <c r="P9" s="12">
        <f t="shared" ca="1" si="1"/>
        <v>-0.78918205669454689</v>
      </c>
      <c r="Q9" s="12">
        <f t="shared" ca="1" si="5"/>
        <v>3.3633692246644911</v>
      </c>
      <c r="R9" s="12">
        <f t="shared" ca="1" si="5"/>
        <v>-1.8124349557897921</v>
      </c>
      <c r="S9" s="12">
        <f t="shared" ca="1" si="5"/>
        <v>-3.0732208757318999</v>
      </c>
      <c r="T9" s="12">
        <f t="shared" ca="1" si="5"/>
        <v>-0.9379889242716839</v>
      </c>
      <c r="U9" s="12">
        <f t="shared" ca="1" si="5"/>
        <v>-3.4840188669800143</v>
      </c>
      <c r="V9" s="12">
        <f t="shared" ca="1" si="5"/>
        <v>-1.9052160023979436</v>
      </c>
      <c r="W9" s="12">
        <f t="shared" ca="1" si="5"/>
        <v>-1.9424351091639129</v>
      </c>
      <c r="X9" s="12">
        <f t="shared" ca="1" si="5"/>
        <v>-1.2842959057686696</v>
      </c>
      <c r="Y9" s="12">
        <f t="shared" ca="1" si="5"/>
        <v>-0.2411587627738562</v>
      </c>
      <c r="Z9" s="12">
        <f t="shared" ca="1" si="5"/>
        <v>-2.9187101122111283</v>
      </c>
      <c r="AA9" s="12">
        <f t="shared" ca="1" si="2"/>
        <v>-2.6670463146152437</v>
      </c>
      <c r="AB9" s="12">
        <f t="shared" ca="1" si="2"/>
        <v>1.1002612050550604</v>
      </c>
      <c r="AC9" s="12">
        <f t="shared" ca="1" si="2"/>
        <v>-1.9030262979072097</v>
      </c>
      <c r="AD9" s="12">
        <f t="shared" ca="1" si="2"/>
        <v>-0.64265322688761028</v>
      </c>
    </row>
    <row r="10" spans="1:33">
      <c r="A10">
        <v>5</v>
      </c>
      <c r="B10" s="15">
        <v>1.2849999999999999</v>
      </c>
      <c r="C10">
        <f t="shared" si="3"/>
        <v>0.68700000000000006</v>
      </c>
      <c r="D10" s="62">
        <v>39171</v>
      </c>
      <c r="F10" s="37">
        <f t="shared" si="4"/>
        <v>1.7105930819254231</v>
      </c>
      <c r="G10" s="8">
        <f t="shared" si="0"/>
        <v>0.42559308192542322</v>
      </c>
      <c r="I10" s="13"/>
      <c r="J10" s="13"/>
      <c r="K10" s="12">
        <f t="shared" ca="1" si="1"/>
        <v>0.81253164505358833</v>
      </c>
      <c r="L10" s="12">
        <f t="shared" ca="1" si="1"/>
        <v>2.6281267865311198</v>
      </c>
      <c r="M10" s="12">
        <f t="shared" ca="1" si="1"/>
        <v>-1.5738685605103093</v>
      </c>
      <c r="N10" s="12">
        <f t="shared" ca="1" si="1"/>
        <v>4.726381064458776</v>
      </c>
      <c r="O10" s="12">
        <f t="shared" ca="1" si="1"/>
        <v>0.21349705522965887</v>
      </c>
      <c r="P10" s="12">
        <f t="shared" ca="1" si="1"/>
        <v>0.68131149970508742</v>
      </c>
      <c r="Q10" s="12">
        <f t="shared" ca="1" si="5"/>
        <v>-1.8843984560860421</v>
      </c>
      <c r="R10" s="12">
        <f t="shared" ca="1" si="5"/>
        <v>-0.27172024121324662</v>
      </c>
      <c r="S10" s="12">
        <f t="shared" ca="1" si="5"/>
        <v>-2.2230267446609351</v>
      </c>
      <c r="T10" s="12">
        <f t="shared" ca="1" si="5"/>
        <v>-2.0778182426692413</v>
      </c>
      <c r="U10" s="12">
        <f t="shared" ca="1" si="5"/>
        <v>2.4351903644784736</v>
      </c>
      <c r="V10" s="12">
        <f t="shared" ca="1" si="5"/>
        <v>-0.25829287782531096</v>
      </c>
      <c r="W10" s="12">
        <f t="shared" ca="1" si="5"/>
        <v>0.29607792925219212</v>
      </c>
      <c r="X10" s="12">
        <f t="shared" ca="1" si="5"/>
        <v>0.85792658102366226</v>
      </c>
      <c r="Y10" s="12">
        <f t="shared" ca="1" si="5"/>
        <v>-1.1355519300656653</v>
      </c>
      <c r="Z10" s="12">
        <f t="shared" ca="1" si="5"/>
        <v>1.6560877675209904</v>
      </c>
      <c r="AA10" s="12">
        <f t="shared" ca="1" si="2"/>
        <v>0.27464572758977857</v>
      </c>
      <c r="AB10" s="12">
        <f t="shared" ca="1" si="2"/>
        <v>-3.5810561798207428E-2</v>
      </c>
      <c r="AC10" s="12">
        <f t="shared" ca="1" si="2"/>
        <v>-3.081259885555482</v>
      </c>
      <c r="AD10" s="12">
        <f t="shared" ca="1" si="2"/>
        <v>1.2413938251328611</v>
      </c>
    </row>
    <row r="11" spans="1:33">
      <c r="A11">
        <v>6</v>
      </c>
      <c r="B11" s="15">
        <v>1.4350000000000001</v>
      </c>
      <c r="C11">
        <f t="shared" si="3"/>
        <v>1.2849999999999999</v>
      </c>
      <c r="D11" s="62">
        <v>38841</v>
      </c>
      <c r="F11" s="37">
        <f t="shared" si="4"/>
        <v>2.272944756979876</v>
      </c>
      <c r="G11" s="8">
        <f t="shared" si="0"/>
        <v>0.83794475697987592</v>
      </c>
      <c r="I11" s="13"/>
      <c r="J11" s="13"/>
      <c r="K11" s="12">
        <f t="shared" ca="1" si="1"/>
        <v>-1.1990416097641012</v>
      </c>
      <c r="L11" s="12">
        <f t="shared" ca="1" si="1"/>
        <v>0.12708025133402645</v>
      </c>
      <c r="M11" s="12">
        <f t="shared" ca="1" si="1"/>
        <v>-0.25411651612130098</v>
      </c>
      <c r="N11" s="12">
        <f t="shared" ca="1" si="1"/>
        <v>-0.431338762130691</v>
      </c>
      <c r="O11" s="12">
        <f t="shared" ca="1" si="1"/>
        <v>0.75370015207008068</v>
      </c>
      <c r="P11" s="12">
        <f t="shared" ca="1" si="1"/>
        <v>0.17290309820682326</v>
      </c>
      <c r="Q11" s="12">
        <f t="shared" ca="1" si="5"/>
        <v>0.29479432167159669</v>
      </c>
      <c r="R11" s="12">
        <f t="shared" ca="1" si="5"/>
        <v>0.91624616940892301</v>
      </c>
      <c r="S11" s="12">
        <f t="shared" ca="1" si="5"/>
        <v>1.0557999755699732</v>
      </c>
      <c r="T11" s="12">
        <f t="shared" ca="1" si="5"/>
        <v>-1.4405506970700863</v>
      </c>
      <c r="U11" s="12">
        <f t="shared" ca="1" si="5"/>
        <v>-3.3338345389541195</v>
      </c>
      <c r="V11" s="12">
        <f t="shared" ca="1" si="5"/>
        <v>1.174206099072163</v>
      </c>
      <c r="W11" s="12">
        <f t="shared" ca="1" si="5"/>
        <v>-7.7192377660988035E-2</v>
      </c>
      <c r="X11" s="12">
        <f t="shared" ca="1" si="5"/>
        <v>-0.96761905145217464</v>
      </c>
      <c r="Y11" s="12">
        <f t="shared" ca="1" si="5"/>
        <v>-6.2703780787671845E-2</v>
      </c>
      <c r="Z11" s="12">
        <f t="shared" ca="1" si="5"/>
        <v>-0.5529397314037553</v>
      </c>
      <c r="AA11" s="12">
        <f t="shared" ca="1" si="2"/>
        <v>1.9553687571089473</v>
      </c>
      <c r="AB11" s="12">
        <f t="shared" ca="1" si="2"/>
        <v>0.72383442778911267</v>
      </c>
      <c r="AC11" s="12">
        <f t="shared" ca="1" si="2"/>
        <v>-3.076008678107276</v>
      </c>
      <c r="AD11" s="12">
        <f t="shared" ca="1" si="2"/>
        <v>-0.3393718285936772</v>
      </c>
    </row>
    <row r="12" spans="1:33">
      <c r="A12">
        <v>7</v>
      </c>
      <c r="B12" s="15">
        <v>1.577</v>
      </c>
      <c r="C12">
        <f t="shared" si="3"/>
        <v>1.4350000000000001</v>
      </c>
      <c r="D12" s="62">
        <v>39337</v>
      </c>
      <c r="F12" s="37">
        <f t="shared" si="4"/>
        <v>2.4140028694517284</v>
      </c>
      <c r="G12" s="8">
        <f t="shared" si="0"/>
        <v>0.83700286945172842</v>
      </c>
      <c r="I12" s="13"/>
      <c r="J12" s="13"/>
      <c r="K12" s="12">
        <f t="shared" ca="1" si="1"/>
        <v>0.60593143059776078</v>
      </c>
      <c r="L12" s="12">
        <f t="shared" ca="1" si="1"/>
        <v>0.70293855629517943</v>
      </c>
      <c r="M12" s="12">
        <f t="shared" ca="1" si="1"/>
        <v>-0.97443610289700344</v>
      </c>
      <c r="N12" s="12">
        <f t="shared" ca="1" si="1"/>
        <v>1.8619870031711399</v>
      </c>
      <c r="O12" s="12">
        <f t="shared" ca="1" si="1"/>
        <v>-1.3615467507768102</v>
      </c>
      <c r="P12" s="12">
        <f t="shared" ca="1" si="1"/>
        <v>4.0999726353028159</v>
      </c>
      <c r="Q12" s="12">
        <f t="shared" ca="1" si="5"/>
        <v>-2.4678235243137507</v>
      </c>
      <c r="R12" s="12">
        <f t="shared" ca="1" si="5"/>
        <v>0.60531051543243775</v>
      </c>
      <c r="S12" s="12">
        <f t="shared" ca="1" si="5"/>
        <v>-2.3089929225893053</v>
      </c>
      <c r="T12" s="12">
        <f t="shared" ca="1" si="5"/>
        <v>-1.6384683577113079</v>
      </c>
      <c r="U12" s="12">
        <f t="shared" ca="1" si="5"/>
        <v>2.4820029723288877</v>
      </c>
      <c r="V12" s="12">
        <f t="shared" ca="1" si="5"/>
        <v>0.62909319878043257</v>
      </c>
      <c r="W12" s="12">
        <f t="shared" ca="1" si="5"/>
        <v>-1.2142095759795539</v>
      </c>
      <c r="X12" s="12">
        <f t="shared" ca="1" si="5"/>
        <v>1.0215227903952944</v>
      </c>
      <c r="Y12" s="12">
        <f t="shared" ca="1" si="5"/>
        <v>1.2739055122432243</v>
      </c>
      <c r="Z12" s="12">
        <f t="shared" ca="1" si="5"/>
        <v>2.417370384340273</v>
      </c>
      <c r="AA12" s="12">
        <f t="shared" ca="1" si="2"/>
        <v>1.4809783239399048</v>
      </c>
      <c r="AB12" s="12">
        <f t="shared" ca="1" si="2"/>
        <v>-0.62675429722519838</v>
      </c>
      <c r="AC12" s="12">
        <f t="shared" ca="1" si="2"/>
        <v>2.3121093401045276E-2</v>
      </c>
      <c r="AD12" s="12">
        <f t="shared" ca="1" si="2"/>
        <v>3.5438381825481287</v>
      </c>
    </row>
    <row r="13" spans="1:33">
      <c r="A13">
        <v>8</v>
      </c>
      <c r="B13" s="15">
        <v>2.0739999999999998</v>
      </c>
      <c r="C13">
        <f t="shared" si="3"/>
        <v>1.577</v>
      </c>
      <c r="D13" s="62">
        <v>39020</v>
      </c>
      <c r="F13" s="37">
        <f t="shared" si="4"/>
        <v>2.5475378825917487</v>
      </c>
      <c r="G13" s="8">
        <f t="shared" si="0"/>
        <v>0.47353788259174889</v>
      </c>
      <c r="I13" s="13"/>
      <c r="J13" s="13"/>
      <c r="K13" s="12">
        <f t="shared" ca="1" si="1"/>
        <v>-3.0322232058124343</v>
      </c>
      <c r="L13" s="12">
        <f t="shared" ca="1" si="1"/>
        <v>-1.6947189560381641</v>
      </c>
      <c r="M13" s="12">
        <f t="shared" ca="1" si="1"/>
        <v>9.2959386271200872E-2</v>
      </c>
      <c r="N13" s="12">
        <f t="shared" ca="1" si="1"/>
        <v>3.7497545282822697</v>
      </c>
      <c r="O13" s="12">
        <f t="shared" ca="1" si="1"/>
        <v>-2.1569623400131612</v>
      </c>
      <c r="P13" s="12">
        <f t="shared" ca="1" si="1"/>
        <v>2.5880043663832732</v>
      </c>
      <c r="Q13" s="12">
        <f t="shared" ca="1" si="5"/>
        <v>-2.874156316924839</v>
      </c>
      <c r="R13" s="12">
        <f t="shared" ca="1" si="5"/>
        <v>1.5225789626730635</v>
      </c>
      <c r="S13" s="12">
        <f t="shared" ca="1" si="5"/>
        <v>1.600304391732126</v>
      </c>
      <c r="T13" s="12">
        <f t="shared" ca="1" si="5"/>
        <v>3.1754757440392951</v>
      </c>
      <c r="U13" s="12">
        <f t="shared" ca="1" si="5"/>
        <v>2.1954931054571172</v>
      </c>
      <c r="V13" s="12">
        <f t="shared" ca="1" si="5"/>
        <v>1.0676417410011489</v>
      </c>
      <c r="W13" s="12">
        <f t="shared" ca="1" si="5"/>
        <v>-1.2434173943419113E-2</v>
      </c>
      <c r="X13" s="12">
        <f t="shared" ca="1" si="5"/>
        <v>-2.1167323204647457</v>
      </c>
      <c r="Y13" s="12">
        <f t="shared" ca="1" si="5"/>
        <v>-1.2973654526476577</v>
      </c>
      <c r="Z13" s="12">
        <f t="shared" ca="1" si="5"/>
        <v>1.8350873233875562</v>
      </c>
      <c r="AA13" s="12">
        <f t="shared" ca="1" si="2"/>
        <v>2.06932963613442</v>
      </c>
      <c r="AB13" s="12">
        <f t="shared" ca="1" si="2"/>
        <v>0.12678151799145931</v>
      </c>
      <c r="AC13" s="12">
        <f t="shared" ca="1" si="2"/>
        <v>-4.467359256589738</v>
      </c>
      <c r="AD13" s="12">
        <f t="shared" ca="1" si="2"/>
        <v>4.7864355102512024E-2</v>
      </c>
    </row>
    <row r="14" spans="1:33">
      <c r="A14">
        <v>9</v>
      </c>
      <c r="B14" s="15">
        <v>3.3820000000000001</v>
      </c>
      <c r="C14">
        <f t="shared" si="3"/>
        <v>2.0739999999999998</v>
      </c>
      <c r="D14" s="62">
        <v>39709</v>
      </c>
      <c r="F14" s="37">
        <f t="shared" si="4"/>
        <v>3.0149104285818202</v>
      </c>
      <c r="G14" s="8">
        <f t="shared" si="0"/>
        <v>-0.36708957141817988</v>
      </c>
      <c r="I14" s="13"/>
      <c r="J14" s="13"/>
      <c r="K14" s="12">
        <f t="shared" ca="1" si="1"/>
        <v>0.15977624676286742</v>
      </c>
      <c r="L14" s="12">
        <f t="shared" ca="1" si="1"/>
        <v>0.62875966333578492</v>
      </c>
      <c r="M14" s="12">
        <f t="shared" ca="1" si="1"/>
        <v>-2.2161000531859272</v>
      </c>
      <c r="N14" s="12">
        <f t="shared" ca="1" si="1"/>
        <v>1.9772817653126513</v>
      </c>
      <c r="O14" s="12">
        <f t="shared" ca="1" si="1"/>
        <v>3.0830026145911966</v>
      </c>
      <c r="P14" s="12">
        <f t="shared" ca="1" si="1"/>
        <v>-0.81979456549770513</v>
      </c>
      <c r="Q14" s="12">
        <f t="shared" ca="1" si="5"/>
        <v>0.35503009500251415</v>
      </c>
      <c r="R14" s="12">
        <f t="shared" ca="1" si="5"/>
        <v>-1.517356857310493</v>
      </c>
      <c r="S14" s="12">
        <f t="shared" ca="1" si="5"/>
        <v>-3.0949385871742408</v>
      </c>
      <c r="T14" s="12">
        <f t="shared" ca="1" si="5"/>
        <v>-1.8798143560311011</v>
      </c>
      <c r="U14" s="12">
        <f t="shared" ca="1" si="5"/>
        <v>-0.72035272837354192</v>
      </c>
      <c r="V14" s="12">
        <f t="shared" ca="1" si="5"/>
        <v>1.0961407391184377</v>
      </c>
      <c r="W14" s="12">
        <f t="shared" ca="1" si="5"/>
        <v>-1.702109624967354</v>
      </c>
      <c r="X14" s="12">
        <f t="shared" ca="1" si="5"/>
        <v>0.59483786280094553</v>
      </c>
      <c r="Y14" s="12">
        <f t="shared" ca="1" si="5"/>
        <v>-2.8177622069308144</v>
      </c>
      <c r="Z14" s="12">
        <f t="shared" ca="1" si="5"/>
        <v>-0.71330554809117408</v>
      </c>
      <c r="AA14" s="12">
        <f t="shared" ca="1" si="2"/>
        <v>2.4550774793041032</v>
      </c>
      <c r="AB14" s="12">
        <f t="shared" ca="1" si="2"/>
        <v>-2.7455286534748602</v>
      </c>
      <c r="AC14" s="12">
        <f t="shared" ca="1" si="2"/>
        <v>1.0431931961173844</v>
      </c>
      <c r="AD14" s="12">
        <f t="shared" ca="1" si="2"/>
        <v>1.0443734198388679</v>
      </c>
    </row>
    <row r="15" spans="1:33">
      <c r="A15">
        <v>10</v>
      </c>
      <c r="B15" s="15">
        <v>3.9049999999999998</v>
      </c>
      <c r="C15">
        <f t="shared" si="3"/>
        <v>3.3820000000000001</v>
      </c>
      <c r="D15" s="62">
        <v>39217</v>
      </c>
      <c r="F15" s="37">
        <f t="shared" si="4"/>
        <v>4.2449371693363762</v>
      </c>
      <c r="G15" s="8">
        <f t="shared" si="0"/>
        <v>0.33993716933637641</v>
      </c>
      <c r="I15" s="13"/>
      <c r="J15" s="13"/>
      <c r="K15" s="12">
        <f t="shared" ca="1" si="1"/>
        <v>-6.564192107011535E-2</v>
      </c>
      <c r="L15" s="12">
        <f t="shared" ca="1" si="1"/>
        <v>3.9501862281535871</v>
      </c>
      <c r="M15" s="12">
        <f t="shared" ca="1" si="1"/>
        <v>1.7152768365062283</v>
      </c>
      <c r="N15" s="12">
        <f t="shared" ca="1" si="1"/>
        <v>-1.1424712643510559</v>
      </c>
      <c r="O15" s="12">
        <f t="shared" ca="1" si="1"/>
        <v>1.6568902120917417</v>
      </c>
      <c r="P15" s="12">
        <f t="shared" ca="1" si="1"/>
        <v>0.21854714231363845</v>
      </c>
      <c r="Q15" s="12">
        <f t="shared" ca="1" si="5"/>
        <v>-1.4179289324034507</v>
      </c>
      <c r="R15" s="12">
        <f t="shared" ca="1" si="5"/>
        <v>4.015863530196345</v>
      </c>
      <c r="S15" s="12">
        <f t="shared" ca="1" si="5"/>
        <v>-0.92199274050674429</v>
      </c>
      <c r="T15" s="12">
        <f t="shared" ca="1" si="5"/>
        <v>3.2699857101957392</v>
      </c>
      <c r="U15" s="12">
        <f t="shared" ca="1" si="5"/>
        <v>-0.24182290308856566</v>
      </c>
      <c r="V15" s="12">
        <f t="shared" ca="1" si="5"/>
        <v>-1.8399669187549692</v>
      </c>
      <c r="W15" s="12">
        <f t="shared" ca="1" si="5"/>
        <v>0.64453267556951999</v>
      </c>
      <c r="X15" s="12">
        <f t="shared" ca="1" si="5"/>
        <v>-0.44112500294674539</v>
      </c>
      <c r="Y15" s="12">
        <f t="shared" ca="1" si="5"/>
        <v>1.167658510507283</v>
      </c>
      <c r="Z15" s="12">
        <f t="shared" ca="1" si="5"/>
        <v>-1.228030752379548</v>
      </c>
      <c r="AA15" s="12">
        <f t="shared" ca="1" si="2"/>
        <v>-1.0218688213932527</v>
      </c>
      <c r="AB15" s="12">
        <f t="shared" ca="1" si="2"/>
        <v>-4.910474128059259</v>
      </c>
      <c r="AC15" s="12">
        <f t="shared" ca="1" si="2"/>
        <v>-0.73033120777860427</v>
      </c>
      <c r="AD15" s="12">
        <f t="shared" ca="1" si="2"/>
        <v>0.24023928435519384</v>
      </c>
    </row>
    <row r="16" spans="1:33">
      <c r="A16">
        <v>11</v>
      </c>
      <c r="B16" s="15">
        <v>4.6079999999999997</v>
      </c>
      <c r="C16">
        <f t="shared" si="3"/>
        <v>3.9049999999999998</v>
      </c>
      <c r="D16" s="62">
        <v>39714</v>
      </c>
      <c r="F16" s="37">
        <f t="shared" si="4"/>
        <v>4.7367597881549015</v>
      </c>
      <c r="G16" s="8">
        <f t="shared" si="0"/>
        <v>0.12875978815490186</v>
      </c>
      <c r="I16" s="13"/>
      <c r="J16" s="13"/>
      <c r="K16" s="12">
        <f t="shared" ca="1" si="1"/>
        <v>-0.51081891024013681</v>
      </c>
      <c r="L16" s="12">
        <f t="shared" ca="1" si="1"/>
        <v>-0.90356530503967369</v>
      </c>
      <c r="M16" s="12">
        <f t="shared" ca="1" si="1"/>
        <v>-0.77653565738460661</v>
      </c>
      <c r="N16" s="12">
        <f t="shared" ca="1" si="1"/>
        <v>-3.8000665770645696</v>
      </c>
      <c r="O16" s="12">
        <f t="shared" ca="1" si="1"/>
        <v>-1.7451164979248044</v>
      </c>
      <c r="P16" s="12">
        <f t="shared" ca="1" si="1"/>
        <v>0.46198646716256975</v>
      </c>
      <c r="Q16" s="12">
        <f t="shared" ca="1" si="5"/>
        <v>1.0002004914562426</v>
      </c>
      <c r="R16" s="12">
        <f t="shared" ca="1" si="5"/>
        <v>0.6921975997733768</v>
      </c>
      <c r="S16" s="12">
        <f t="shared" ca="1" si="5"/>
        <v>2.6625705789863403</v>
      </c>
      <c r="T16" s="12">
        <f t="shared" ca="1" si="5"/>
        <v>3.1684121269293879</v>
      </c>
      <c r="U16" s="12">
        <f t="shared" ca="1" si="5"/>
        <v>-0.86693048476962808</v>
      </c>
      <c r="V16" s="12">
        <f t="shared" ca="1" si="5"/>
        <v>1.28872759558411</v>
      </c>
      <c r="W16" s="12">
        <f t="shared" ca="1" si="5"/>
        <v>2.6303641148888555</v>
      </c>
      <c r="X16" s="12">
        <f t="shared" ca="1" si="5"/>
        <v>-0.78803312831544736</v>
      </c>
      <c r="Y16" s="12">
        <f t="shared" ca="1" si="5"/>
        <v>-0.98217292285717639</v>
      </c>
      <c r="Z16" s="12">
        <f t="shared" ca="1" si="5"/>
        <v>2.5925893908996751</v>
      </c>
      <c r="AA16" s="12">
        <f t="shared" ca="1" si="2"/>
        <v>3.2012018205177455</v>
      </c>
      <c r="AB16" s="12">
        <f t="shared" ca="1" si="2"/>
        <v>-0.88418747574780998</v>
      </c>
      <c r="AC16" s="12">
        <f t="shared" ca="1" si="2"/>
        <v>-2.5480456219638676</v>
      </c>
      <c r="AD16" s="12">
        <f t="shared" ca="1" si="2"/>
        <v>2.8244808117087747</v>
      </c>
    </row>
    <row r="17" spans="1:30">
      <c r="A17">
        <v>12</v>
      </c>
      <c r="B17" s="15">
        <v>5.24</v>
      </c>
      <c r="C17">
        <f t="shared" si="3"/>
        <v>4.6079999999999997</v>
      </c>
      <c r="D17" s="62">
        <v>39385</v>
      </c>
      <c r="F17" s="37">
        <f t="shared" si="4"/>
        <v>5.3978521419396506</v>
      </c>
      <c r="G17" s="8">
        <f t="shared" si="0"/>
        <v>0.15785214193965036</v>
      </c>
      <c r="I17" s="13"/>
      <c r="J17" s="13"/>
      <c r="K17" s="12">
        <f t="shared" ca="1" si="1"/>
        <v>1.5789533271279299</v>
      </c>
      <c r="L17" s="12">
        <f t="shared" ca="1" si="1"/>
        <v>-0.55798255732095348</v>
      </c>
      <c r="M17" s="12">
        <f t="shared" ca="1" si="1"/>
        <v>-0.86450786711265304</v>
      </c>
      <c r="N17" s="12">
        <f t="shared" ca="1" si="1"/>
        <v>1.0930579218230534</v>
      </c>
      <c r="O17" s="12">
        <f t="shared" ca="1" si="1"/>
        <v>0.57848517018350887</v>
      </c>
      <c r="P17" s="12">
        <f t="shared" ca="1" si="1"/>
        <v>2.1225687670575901</v>
      </c>
      <c r="Q17" s="12">
        <f t="shared" ca="1" si="5"/>
        <v>3.7363320243426568</v>
      </c>
      <c r="R17" s="12">
        <f t="shared" ca="1" si="5"/>
        <v>1.973071659946789</v>
      </c>
      <c r="S17" s="12">
        <f t="shared" ca="1" si="5"/>
        <v>4.132559475370206</v>
      </c>
      <c r="T17" s="12">
        <f t="shared" ca="1" si="5"/>
        <v>-3.2352328015338729</v>
      </c>
      <c r="U17" s="12">
        <f t="shared" ca="1" si="5"/>
        <v>-1.4664455722211474</v>
      </c>
      <c r="V17" s="12">
        <f t="shared" ca="1" si="5"/>
        <v>1.1018000408902522</v>
      </c>
      <c r="W17" s="12">
        <f t="shared" ca="1" si="5"/>
        <v>1.4646249200594519</v>
      </c>
      <c r="X17" s="12">
        <f t="shared" ca="1" si="5"/>
        <v>2.4794665301567669</v>
      </c>
      <c r="Y17" s="12">
        <f t="shared" ca="1" si="5"/>
        <v>-0.75596536799523251</v>
      </c>
      <c r="Z17" s="12">
        <f t="shared" ca="1" si="5"/>
        <v>-2.677721285261375</v>
      </c>
      <c r="AA17" s="12">
        <f t="shared" ca="1" si="2"/>
        <v>1.2228694417382755</v>
      </c>
      <c r="AB17" s="12">
        <f t="shared" ca="1" si="2"/>
        <v>-0.25861709908615083</v>
      </c>
      <c r="AC17" s="12">
        <f t="shared" ca="1" si="2"/>
        <v>-3.5733888857211795</v>
      </c>
      <c r="AD17" s="12">
        <f t="shared" ca="1" si="2"/>
        <v>2.4207902613118244</v>
      </c>
    </row>
    <row r="18" spans="1:30">
      <c r="A18">
        <v>13</v>
      </c>
      <c r="B18" s="15">
        <v>5.7350000000000003</v>
      </c>
      <c r="C18">
        <f t="shared" si="3"/>
        <v>5.24</v>
      </c>
      <c r="D18" s="62">
        <v>39902</v>
      </c>
      <c r="F18" s="37">
        <f t="shared" si="4"/>
        <v>5.9921769891543901</v>
      </c>
      <c r="G18" s="8">
        <f t="shared" si="0"/>
        <v>0.2571769891543898</v>
      </c>
      <c r="I18" s="13"/>
      <c r="J18" s="13"/>
      <c r="K18" s="12">
        <f t="shared" ca="1" si="1"/>
        <v>0.44113278193977212</v>
      </c>
      <c r="L18" s="12">
        <f t="shared" ca="1" si="1"/>
        <v>-3.3356305257021464</v>
      </c>
      <c r="M18" s="12">
        <f t="shared" ca="1" si="1"/>
        <v>-0.62879022510278981</v>
      </c>
      <c r="N18" s="12">
        <f t="shared" ca="1" si="1"/>
        <v>1.6733996793309571</v>
      </c>
      <c r="O18" s="12">
        <f t="shared" ca="1" si="1"/>
        <v>2.4236630269122239</v>
      </c>
      <c r="P18" s="12">
        <f t="shared" ca="1" si="1"/>
        <v>-0.62291590500638971</v>
      </c>
      <c r="Q18" s="12">
        <f t="shared" ca="1" si="5"/>
        <v>-0.48572287447332418</v>
      </c>
      <c r="R18" s="12">
        <f t="shared" ca="1" si="5"/>
        <v>2.8754741290676864</v>
      </c>
      <c r="S18" s="12">
        <f t="shared" ca="1" si="5"/>
        <v>1.4005290188089834</v>
      </c>
      <c r="T18" s="12">
        <f t="shared" ca="1" si="5"/>
        <v>2.4779021330029392</v>
      </c>
      <c r="U18" s="12">
        <f t="shared" ca="1" si="5"/>
        <v>-1.8178036483217141</v>
      </c>
      <c r="V18" s="12">
        <f t="shared" ca="1" si="5"/>
        <v>2.9599493796752978</v>
      </c>
      <c r="W18" s="12">
        <f t="shared" ca="1" si="5"/>
        <v>-2.4130200535922186</v>
      </c>
      <c r="X18" s="12">
        <f t="shared" ca="1" si="5"/>
        <v>-1.1595075493363611</v>
      </c>
      <c r="Y18" s="12">
        <f t="shared" ca="1" si="5"/>
        <v>3.0476641502052946</v>
      </c>
      <c r="Z18" s="12">
        <f t="shared" ca="1" si="5"/>
        <v>0.78667899847237499</v>
      </c>
      <c r="AA18" s="12">
        <f t="shared" ca="1" si="2"/>
        <v>-0.63658668873673729</v>
      </c>
      <c r="AB18" s="12">
        <f t="shared" ca="1" si="2"/>
        <v>2.1863004054849831</v>
      </c>
      <c r="AC18" s="12">
        <f t="shared" ca="1" si="2"/>
        <v>-1.262156359107742</v>
      </c>
      <c r="AD18" s="12">
        <f t="shared" ca="1" si="2"/>
        <v>-1.9319002909131382</v>
      </c>
    </row>
    <row r="19" spans="1:30">
      <c r="A19">
        <v>14</v>
      </c>
      <c r="B19" s="15">
        <v>6.95</v>
      </c>
      <c r="C19">
        <f t="shared" si="3"/>
        <v>5.7350000000000003</v>
      </c>
      <c r="D19" s="62">
        <v>39573</v>
      </c>
      <c r="F19" s="37">
        <f t="shared" si="4"/>
        <v>6.4576687603115044</v>
      </c>
      <c r="G19" s="8">
        <f t="shared" si="0"/>
        <v>-0.49233123968849579</v>
      </c>
      <c r="I19" s="13"/>
      <c r="J19" s="13"/>
      <c r="K19" s="12">
        <f t="shared" ca="1" si="1"/>
        <v>-1.6272283414082198</v>
      </c>
      <c r="L19" s="12">
        <f t="shared" ca="1" si="1"/>
        <v>0.90933744824718887</v>
      </c>
      <c r="M19" s="12">
        <f t="shared" ca="1" si="1"/>
        <v>0.9061123713778596</v>
      </c>
      <c r="N19" s="12">
        <f t="shared" ca="1" si="1"/>
        <v>2.8872828462744033</v>
      </c>
      <c r="O19" s="12">
        <f t="shared" ca="1" si="1"/>
        <v>-2.4416928312174773</v>
      </c>
      <c r="P19" s="12">
        <f t="shared" ca="1" si="1"/>
        <v>-1.6252467715433394</v>
      </c>
      <c r="Q19" s="12">
        <f t="shared" ca="1" si="5"/>
        <v>4.7906513710164589</v>
      </c>
      <c r="R19" s="12">
        <f t="shared" ca="1" si="5"/>
        <v>2.7960980219163929</v>
      </c>
      <c r="S19" s="12">
        <f t="shared" ca="1" si="5"/>
        <v>-0.16992719614749424</v>
      </c>
      <c r="T19" s="12">
        <f t="shared" ca="1" si="5"/>
        <v>-3.7323805647832851</v>
      </c>
      <c r="U19" s="12">
        <f t="shared" ca="1" si="5"/>
        <v>4.2890093475748179</v>
      </c>
      <c r="V19" s="12">
        <f t="shared" ca="1" si="5"/>
        <v>1.5393288474323803</v>
      </c>
      <c r="W19" s="12">
        <f t="shared" ca="1" si="5"/>
        <v>2.5834956375343694</v>
      </c>
      <c r="X19" s="12">
        <f t="shared" ca="1" si="5"/>
        <v>3.4824691241297208</v>
      </c>
      <c r="Y19" s="12">
        <f t="shared" ca="1" si="5"/>
        <v>-4.3132047120361516</v>
      </c>
      <c r="Z19" s="12">
        <f t="shared" ca="1" si="5"/>
        <v>2.2609834713388115</v>
      </c>
      <c r="AA19" s="12">
        <f t="shared" ca="1" si="2"/>
        <v>-1.1234287385901893</v>
      </c>
      <c r="AB19" s="12">
        <f t="shared" ca="1" si="2"/>
        <v>1.5967883374140865</v>
      </c>
      <c r="AC19" s="12">
        <f t="shared" ca="1" si="2"/>
        <v>3.1743936733872506</v>
      </c>
      <c r="AD19" s="12">
        <f t="shared" ca="1" si="2"/>
        <v>0.87344527340212241</v>
      </c>
    </row>
    <row r="20" spans="1:30">
      <c r="A20">
        <v>15</v>
      </c>
      <c r="B20" s="15">
        <v>8.0079999999999991</v>
      </c>
      <c r="C20">
        <f t="shared" si="3"/>
        <v>6.95</v>
      </c>
      <c r="D20" s="62">
        <v>40080</v>
      </c>
      <c r="F20" s="37">
        <f t="shared" si="4"/>
        <v>7.6002394713335102</v>
      </c>
      <c r="G20" s="8">
        <f t="shared" si="0"/>
        <v>-0.40776052866648893</v>
      </c>
      <c r="I20" s="13"/>
      <c r="J20" s="13"/>
      <c r="K20" s="12">
        <f t="shared" ca="1" si="1"/>
        <v>0.41484842275807354</v>
      </c>
      <c r="L20" s="12">
        <f t="shared" ca="1" si="1"/>
        <v>7.4721411591333373</v>
      </c>
      <c r="M20" s="12">
        <f t="shared" ca="1" si="1"/>
        <v>-3.0991758950560975</v>
      </c>
      <c r="N20" s="12">
        <f t="shared" ca="1" si="1"/>
        <v>-5.2858054629178977</v>
      </c>
      <c r="O20" s="12">
        <f t="shared" ca="1" si="1"/>
        <v>2.5130342601286659</v>
      </c>
      <c r="P20" s="12">
        <f t="shared" ca="1" si="1"/>
        <v>-2.3689165425046168</v>
      </c>
      <c r="Q20" s="12">
        <f t="shared" ca="1" si="5"/>
        <v>-6.0885575387858042</v>
      </c>
      <c r="R20" s="12">
        <f t="shared" ca="1" si="5"/>
        <v>1.9052690505531498</v>
      </c>
      <c r="S20" s="12">
        <f t="shared" ca="1" si="5"/>
        <v>0.60273087585685192</v>
      </c>
      <c r="T20" s="12">
        <f t="shared" ca="1" si="5"/>
        <v>0.28183974030421588</v>
      </c>
      <c r="U20" s="12">
        <f t="shared" ca="1" si="5"/>
        <v>1.1048161067712663</v>
      </c>
      <c r="V20" s="12">
        <f t="shared" ca="1" si="5"/>
        <v>-1.7277003961690283</v>
      </c>
      <c r="W20" s="12">
        <f t="shared" ca="1" si="5"/>
        <v>-3.1666841874263567</v>
      </c>
      <c r="X20" s="12">
        <f t="shared" ca="1" si="5"/>
        <v>-0.41577339431478588</v>
      </c>
      <c r="Y20" s="12">
        <f t="shared" ca="1" si="5"/>
        <v>0.27097553321195567</v>
      </c>
      <c r="Z20" s="12">
        <f t="shared" ca="1" si="5"/>
        <v>0.75606574732862197</v>
      </c>
      <c r="AA20" s="12">
        <f t="shared" ca="1" si="2"/>
        <v>1.7872535102223945</v>
      </c>
      <c r="AB20" s="12">
        <f t="shared" ca="1" si="2"/>
        <v>3.6297996677011541</v>
      </c>
      <c r="AC20" s="12">
        <f t="shared" ca="1" si="2"/>
        <v>-0.18181082442384253</v>
      </c>
      <c r="AD20" s="12">
        <f t="shared" ca="1" si="2"/>
        <v>3.6085763919141107</v>
      </c>
    </row>
    <row r="21" spans="1:30">
      <c r="A21">
        <v>16</v>
      </c>
      <c r="B21" s="15">
        <v>9.0229999999999997</v>
      </c>
      <c r="C21">
        <f t="shared" si="3"/>
        <v>8.0079999999999991</v>
      </c>
      <c r="D21" s="62">
        <v>39758</v>
      </c>
      <c r="F21" s="37">
        <f t="shared" si="4"/>
        <v>8.5951693579683095</v>
      </c>
      <c r="G21" s="8">
        <f t="shared" si="0"/>
        <v>-0.42783064203169019</v>
      </c>
      <c r="I21" s="13"/>
      <c r="J21" s="13"/>
      <c r="K21" s="12">
        <f t="shared" ca="1" si="1"/>
        <v>3.0606389645995793</v>
      </c>
      <c r="L21" s="12">
        <f t="shared" ca="1" si="1"/>
        <v>3.6033554206654879</v>
      </c>
      <c r="M21" s="12">
        <f t="shared" ca="1" si="1"/>
        <v>1.2171960133658857</v>
      </c>
      <c r="N21" s="12">
        <f t="shared" ca="1" si="1"/>
        <v>-1.659791113807608</v>
      </c>
      <c r="O21" s="12">
        <f t="shared" ca="1" si="1"/>
        <v>-4.1556356332207898</v>
      </c>
      <c r="P21" s="12">
        <f t="shared" ca="1" si="1"/>
        <v>0.78037941557380153</v>
      </c>
      <c r="Q21" s="12">
        <f t="shared" ca="1" si="5"/>
        <v>-3.2936498300638779</v>
      </c>
      <c r="R21" s="12">
        <f t="shared" ca="1" si="5"/>
        <v>-8.9446149095254862E-2</v>
      </c>
      <c r="S21" s="12">
        <f t="shared" ca="1" si="5"/>
        <v>0.34505283669742659</v>
      </c>
      <c r="T21" s="12">
        <f t="shared" ca="1" si="5"/>
        <v>1.7601721164739816</v>
      </c>
      <c r="U21" s="12">
        <f t="shared" ca="1" si="5"/>
        <v>1.3347648067743423</v>
      </c>
      <c r="V21" s="12">
        <f t="shared" ca="1" si="5"/>
        <v>0.28688958374988538</v>
      </c>
      <c r="W21" s="12">
        <f t="shared" ca="1" si="5"/>
        <v>2.6626733737169332</v>
      </c>
      <c r="X21" s="12">
        <f t="shared" ca="1" si="5"/>
        <v>0.57876229459499395</v>
      </c>
      <c r="Y21" s="12">
        <f t="shared" ca="1" si="5"/>
        <v>2.6354322383962829</v>
      </c>
      <c r="Z21" s="12">
        <f t="shared" ca="1" si="5"/>
        <v>-3.4228694000844353</v>
      </c>
      <c r="AA21" s="12">
        <f t="shared" ca="1" si="2"/>
        <v>1.3054670805711126</v>
      </c>
      <c r="AB21" s="12">
        <f t="shared" ca="1" si="2"/>
        <v>-0.69985354481800222</v>
      </c>
      <c r="AC21" s="12">
        <f t="shared" ca="1" si="2"/>
        <v>3.2084319593796922</v>
      </c>
      <c r="AD21" s="12">
        <f t="shared" ca="1" si="2"/>
        <v>1.4724024286777597</v>
      </c>
    </row>
    <row r="22" spans="1:30">
      <c r="A22">
        <v>17</v>
      </c>
      <c r="B22" s="15">
        <v>9.5850000000000009</v>
      </c>
      <c r="C22">
        <f t="shared" si="3"/>
        <v>9.0229999999999997</v>
      </c>
      <c r="D22" s="62">
        <v>40262</v>
      </c>
      <c r="F22" s="37">
        <f t="shared" si="4"/>
        <v>9.549662585694513</v>
      </c>
      <c r="G22" s="8">
        <f t="shared" si="0"/>
        <v>-3.5337414305487869E-2</v>
      </c>
      <c r="I22" s="13"/>
      <c r="J22" s="13"/>
      <c r="K22" s="12">
        <f t="shared" ca="1" si="1"/>
        <v>1.5658263383813806</v>
      </c>
      <c r="L22" s="12">
        <f t="shared" ca="1" si="1"/>
        <v>3.7047089123288788</v>
      </c>
      <c r="M22" s="12">
        <f t="shared" ca="1" si="1"/>
        <v>0.75338771572795771</v>
      </c>
      <c r="N22" s="12">
        <f t="shared" ca="1" si="1"/>
        <v>-1.2851694684628256</v>
      </c>
      <c r="O22" s="12">
        <f t="shared" ca="1" si="1"/>
        <v>-3.6749871680655612</v>
      </c>
      <c r="P22" s="12">
        <f t="shared" ca="1" si="1"/>
        <v>1.7383472534837012</v>
      </c>
      <c r="Q22" s="12">
        <f t="shared" ca="1" si="5"/>
        <v>-3.162357924135673</v>
      </c>
      <c r="R22" s="12">
        <f t="shared" ca="1" si="5"/>
        <v>-1.9604821594390098</v>
      </c>
      <c r="S22" s="12">
        <f t="shared" ca="1" si="5"/>
        <v>2.0548549895177057</v>
      </c>
      <c r="T22" s="12">
        <f t="shared" ca="1" si="5"/>
        <v>2.058824971480413</v>
      </c>
      <c r="U22" s="12">
        <f t="shared" ca="1" si="5"/>
        <v>-0.27797562373097567</v>
      </c>
      <c r="V22" s="12">
        <f t="shared" ca="1" si="5"/>
        <v>-0.39015133285573911</v>
      </c>
      <c r="W22" s="12">
        <f t="shared" ca="1" si="5"/>
        <v>-1.2320732167300541</v>
      </c>
      <c r="X22" s="12">
        <f t="shared" ca="1" si="5"/>
        <v>0.30421247564059051</v>
      </c>
      <c r="Y22" s="12">
        <f t="shared" ca="1" si="5"/>
        <v>-2.286881946833677</v>
      </c>
      <c r="Z22" s="12">
        <f t="shared" ca="1" si="5"/>
        <v>2.0676890275107729</v>
      </c>
      <c r="AA22" s="12">
        <f t="shared" ca="1" si="2"/>
        <v>0.64011487992733529</v>
      </c>
      <c r="AB22" s="12">
        <f t="shared" ca="1" si="2"/>
        <v>-0.45206437223925056</v>
      </c>
      <c r="AC22" s="12">
        <f t="shared" ca="1" si="2"/>
        <v>0.80911265577954061</v>
      </c>
      <c r="AD22" s="12">
        <f t="shared" ca="1" si="2"/>
        <v>-1.1564617571740017</v>
      </c>
    </row>
    <row r="23" spans="1:30">
      <c r="A23">
        <v>18</v>
      </c>
      <c r="B23" s="15">
        <v>9.8480000000000008</v>
      </c>
      <c r="C23">
        <f t="shared" si="3"/>
        <v>9.5850000000000009</v>
      </c>
      <c r="D23" s="62">
        <v>39940</v>
      </c>
      <c r="F23" s="37">
        <f t="shared" si="4"/>
        <v>10.078160313755722</v>
      </c>
      <c r="G23" s="8">
        <f t="shared" si="0"/>
        <v>0.23016031375572155</v>
      </c>
      <c r="I23" s="13"/>
      <c r="J23" s="13"/>
      <c r="K23" s="12">
        <f t="shared" ca="1" si="1"/>
        <v>0.50928091391906838</v>
      </c>
      <c r="L23" s="12">
        <f t="shared" ca="1" si="1"/>
        <v>-1.7346950399280088</v>
      </c>
      <c r="M23" s="12">
        <f t="shared" ca="1" si="1"/>
        <v>0.71437908022637098</v>
      </c>
      <c r="N23" s="12">
        <f t="shared" ca="1" si="1"/>
        <v>-1.1045020451940293</v>
      </c>
      <c r="O23" s="12">
        <f t="shared" ca="1" si="1"/>
        <v>-3.3840073922813132</v>
      </c>
      <c r="P23" s="12">
        <f t="shared" ca="1" si="1"/>
        <v>1.4950575668982156</v>
      </c>
      <c r="Q23" s="12">
        <f t="shared" ca="1" si="5"/>
        <v>0.74914721410904861</v>
      </c>
      <c r="R23" s="12">
        <f t="shared" ca="1" si="5"/>
        <v>-2.4367626848551249</v>
      </c>
      <c r="S23" s="12">
        <f t="shared" ca="1" si="5"/>
        <v>-2.5335510402529682</v>
      </c>
      <c r="T23" s="12">
        <f t="shared" ca="1" si="5"/>
        <v>1.4756981036168277</v>
      </c>
      <c r="U23" s="12">
        <f t="shared" ca="1" si="5"/>
        <v>2.3448861331845774</v>
      </c>
      <c r="V23" s="12">
        <f t="shared" ca="1" si="5"/>
        <v>2.0347968482999019</v>
      </c>
      <c r="W23" s="12">
        <f t="shared" ca="1" si="5"/>
        <v>-0.63190165789438046</v>
      </c>
      <c r="X23" s="12">
        <f t="shared" ca="1" si="5"/>
        <v>-1.273135940912884</v>
      </c>
      <c r="Y23" s="12">
        <f t="shared" ca="1" si="5"/>
        <v>2.7434550533903712</v>
      </c>
      <c r="Z23" s="12">
        <f t="shared" ca="1" si="5"/>
        <v>-2.0956690194458232</v>
      </c>
      <c r="AA23" s="12">
        <f t="shared" ca="1" si="5"/>
        <v>-0.28717985621870268</v>
      </c>
      <c r="AB23" s="12">
        <f t="shared" ca="1" si="5"/>
        <v>-1.6450600928725359</v>
      </c>
      <c r="AC23" s="12">
        <f t="shared" ca="1" si="5"/>
        <v>-1.464317716610315</v>
      </c>
      <c r="AD23" s="12">
        <f t="shared" ca="1" si="5"/>
        <v>-0.99838295484914563</v>
      </c>
    </row>
    <row r="24" spans="1:30">
      <c r="A24">
        <v>19</v>
      </c>
      <c r="B24" s="15">
        <v>6.673</v>
      </c>
      <c r="C24">
        <f t="shared" si="3"/>
        <v>9.8480000000000008</v>
      </c>
      <c r="D24" s="62">
        <v>40437</v>
      </c>
      <c r="F24" s="37">
        <f t="shared" si="4"/>
        <v>10.325482204289704</v>
      </c>
      <c r="G24" s="8">
        <f t="shared" si="0"/>
        <v>3.6524822042897043</v>
      </c>
      <c r="I24" s="13"/>
      <c r="J24" s="13"/>
      <c r="K24" s="12">
        <f t="shared" ca="1" si="1"/>
        <v>2.717703675061558</v>
      </c>
      <c r="L24" s="12">
        <f t="shared" ca="1" si="1"/>
        <v>2.2198863743980654E-2</v>
      </c>
      <c r="M24" s="12">
        <f t="shared" ca="1" si="1"/>
        <v>-2.9372596142334064</v>
      </c>
      <c r="N24" s="12">
        <f t="shared" ca="1" si="1"/>
        <v>7.3199947565216958E-2</v>
      </c>
      <c r="O24" s="12">
        <f t="shared" ca="1" si="1"/>
        <v>-3.6253171146793552</v>
      </c>
      <c r="P24" s="12">
        <f t="shared" ca="1" si="1"/>
        <v>2.2101983877101783</v>
      </c>
      <c r="Q24" s="12">
        <f t="shared" ca="1" si="5"/>
        <v>1.0020471797231445</v>
      </c>
      <c r="R24" s="12">
        <f t="shared" ca="1" si="5"/>
        <v>-0.85816005793832051</v>
      </c>
      <c r="S24" s="12">
        <f t="shared" ca="1" si="5"/>
        <v>0.24203594278083021</v>
      </c>
      <c r="T24" s="12">
        <f t="shared" ca="1" si="5"/>
        <v>-1.4630196975243981</v>
      </c>
      <c r="U24" s="12">
        <f t="shared" ca="1" si="5"/>
        <v>-1.9045828763522303</v>
      </c>
      <c r="V24" s="12">
        <f t="shared" ca="1" si="5"/>
        <v>1.3220352768832784</v>
      </c>
      <c r="W24" s="12">
        <f t="shared" ca="1" si="5"/>
        <v>-1.3137174665170921</v>
      </c>
      <c r="X24" s="12">
        <f t="shared" ca="1" si="5"/>
        <v>-0.14796490023648318</v>
      </c>
      <c r="Y24" s="12">
        <f t="shared" ca="1" si="5"/>
        <v>0.92148006732977161</v>
      </c>
      <c r="Z24" s="12">
        <f t="shared" ca="1" si="5"/>
        <v>-1.2081182521001168</v>
      </c>
      <c r="AA24" s="12">
        <f t="shared" ca="1" si="5"/>
        <v>2.2824883922668584</v>
      </c>
      <c r="AB24" s="12">
        <f t="shared" ca="1" si="5"/>
        <v>-1.5424079972803368</v>
      </c>
      <c r="AC24" s="12">
        <f t="shared" ca="1" si="5"/>
        <v>-0.20805750689344477</v>
      </c>
      <c r="AD24" s="12">
        <f t="shared" ca="1" si="5"/>
        <v>1.4434051670911037</v>
      </c>
    </row>
    <row r="25" spans="1:30">
      <c r="A25">
        <v>20</v>
      </c>
      <c r="B25" s="15">
        <v>10.651</v>
      </c>
      <c r="C25">
        <f t="shared" si="3"/>
        <v>6.673</v>
      </c>
      <c r="D25" s="62">
        <v>40115</v>
      </c>
      <c r="F25" s="37">
        <f t="shared" si="4"/>
        <v>7.3397521569688227</v>
      </c>
      <c r="G25" s="8">
        <f t="shared" si="0"/>
        <v>-3.3112478430311771</v>
      </c>
      <c r="I25" s="13"/>
      <c r="J25" s="13"/>
      <c r="K25" s="12">
        <f t="shared" ca="1" si="1"/>
        <v>1.4190029819501127</v>
      </c>
      <c r="L25" s="12">
        <f t="shared" ca="1" si="1"/>
        <v>-0.24407482471697092</v>
      </c>
      <c r="M25" s="12">
        <f t="shared" ca="1" si="1"/>
        <v>0.14716383750080389</v>
      </c>
      <c r="N25" s="12">
        <f t="shared" ca="1" si="1"/>
        <v>-1.3326478870526168</v>
      </c>
      <c r="O25" s="12">
        <f t="shared" ca="1" si="1"/>
        <v>-0.60832108562605058</v>
      </c>
      <c r="P25" s="12">
        <f t="shared" ca="1" si="1"/>
        <v>2.3788964318035237</v>
      </c>
      <c r="Q25" s="12">
        <f t="shared" ca="1" si="5"/>
        <v>-0.79501705985969529</v>
      </c>
      <c r="R25" s="12">
        <f t="shared" ca="1" si="5"/>
        <v>0.25807095577368</v>
      </c>
      <c r="S25" s="12">
        <f t="shared" ca="1" si="5"/>
        <v>1.0070298979638073</v>
      </c>
      <c r="T25" s="12">
        <f t="shared" ca="1" si="5"/>
        <v>3.0847688071606281</v>
      </c>
      <c r="U25" s="12">
        <f t="shared" ca="1" si="5"/>
        <v>2.2970639416722314</v>
      </c>
      <c r="V25" s="12">
        <f t="shared" ca="1" si="5"/>
        <v>-2.2347537014095598</v>
      </c>
      <c r="W25" s="12">
        <f t="shared" ca="1" si="5"/>
        <v>1.562058439177253</v>
      </c>
      <c r="X25" s="12">
        <f t="shared" ca="1" si="5"/>
        <v>0.39325851160531577</v>
      </c>
      <c r="Y25" s="12">
        <f t="shared" ca="1" si="5"/>
        <v>0.55455243919834984</v>
      </c>
      <c r="Z25" s="12">
        <f t="shared" ca="1" si="5"/>
        <v>-0.81620378404798288</v>
      </c>
      <c r="AA25" s="12">
        <f t="shared" ca="1" si="5"/>
        <v>0.42417338109687042</v>
      </c>
      <c r="AB25" s="12">
        <f t="shared" ca="1" si="5"/>
        <v>-1.8242274424037863</v>
      </c>
      <c r="AC25" s="12">
        <f t="shared" ca="1" si="5"/>
        <v>-1.9020118120679588</v>
      </c>
      <c r="AD25" s="12">
        <f t="shared" ca="1" si="5"/>
        <v>-3.4888494107966093</v>
      </c>
    </row>
    <row r="26" spans="1:30">
      <c r="A26">
        <v>21</v>
      </c>
      <c r="B26" s="15">
        <v>12.874000000000001</v>
      </c>
      <c r="C26">
        <f t="shared" si="3"/>
        <v>10.651</v>
      </c>
      <c r="D26" s="62">
        <v>40633</v>
      </c>
      <c r="F26" s="37">
        <f t="shared" si="4"/>
        <v>11.080613299722355</v>
      </c>
      <c r="G26" s="8">
        <f t="shared" si="0"/>
        <v>-1.7933867002776456</v>
      </c>
      <c r="I26" s="13"/>
      <c r="J26" s="13"/>
      <c r="K26" s="12">
        <f t="shared" ca="1" si="1"/>
        <v>0.88995287635312081</v>
      </c>
      <c r="L26" s="12">
        <f t="shared" ca="1" si="1"/>
        <v>1.5462194891752179</v>
      </c>
      <c r="M26" s="12">
        <f t="shared" ca="1" si="1"/>
        <v>0.49126606840342846</v>
      </c>
      <c r="N26" s="12">
        <f t="shared" ca="1" si="1"/>
        <v>2.4952070823799168</v>
      </c>
      <c r="O26" s="12">
        <f t="shared" ca="1" si="1"/>
        <v>-1.5474767628582671</v>
      </c>
      <c r="P26" s="12">
        <f t="shared" ca="1" si="1"/>
        <v>0.99975455332606267</v>
      </c>
      <c r="Q26" s="12">
        <f t="shared" ca="1" si="5"/>
        <v>-1.2154205920865977</v>
      </c>
      <c r="R26" s="12">
        <f t="shared" ca="1" si="5"/>
        <v>-4.6977862070618466</v>
      </c>
      <c r="S26" s="12">
        <f t="shared" ca="1" si="5"/>
        <v>0.62059435695403475</v>
      </c>
      <c r="T26" s="12">
        <f t="shared" ca="1" si="5"/>
        <v>-0.66192543317545938</v>
      </c>
      <c r="U26" s="12">
        <f t="shared" ca="1" si="5"/>
        <v>-2.5751601574724945</v>
      </c>
      <c r="V26" s="12">
        <f t="shared" ca="1" si="5"/>
        <v>-1.3225021483557065</v>
      </c>
      <c r="W26" s="12">
        <f t="shared" ca="1" si="5"/>
        <v>-0.50373942995075005</v>
      </c>
      <c r="X26" s="12">
        <f t="shared" ca="1" si="5"/>
        <v>0.75467553406565169</v>
      </c>
      <c r="Y26" s="12">
        <f t="shared" ca="1" si="5"/>
        <v>1.6524463901409236</v>
      </c>
      <c r="Z26" s="12">
        <f t="shared" ca="1" si="5"/>
        <v>7.9543228835775526E-2</v>
      </c>
      <c r="AA26" s="12">
        <f t="shared" ca="1" si="5"/>
        <v>-7.9738036459337788E-2</v>
      </c>
      <c r="AB26" s="12">
        <f t="shared" ca="1" si="5"/>
        <v>3.7701542496944755</v>
      </c>
      <c r="AC26" s="12">
        <f t="shared" ca="1" si="5"/>
        <v>0.49579693574542527</v>
      </c>
      <c r="AD26" s="12">
        <f t="shared" ca="1" si="5"/>
        <v>4.7756416892659734</v>
      </c>
    </row>
    <row r="27" spans="1:30">
      <c r="A27">
        <v>22</v>
      </c>
      <c r="B27" s="15">
        <v>13.587999999999999</v>
      </c>
      <c r="C27">
        <f t="shared" si="3"/>
        <v>12.874000000000001</v>
      </c>
      <c r="D27" s="62">
        <v>40304</v>
      </c>
      <c r="F27" s="37">
        <f t="shared" si="4"/>
        <v>13.17109452655521</v>
      </c>
      <c r="G27" s="8">
        <f t="shared" si="0"/>
        <v>-0.41690547344478901</v>
      </c>
      <c r="I27" s="13"/>
      <c r="J27" s="13"/>
      <c r="K27" s="12">
        <f t="shared" ca="1" si="1"/>
        <v>-1.163604741270023</v>
      </c>
      <c r="L27" s="12">
        <f t="shared" ca="1" si="1"/>
        <v>-3.4683588489919748</v>
      </c>
      <c r="M27" s="12">
        <f t="shared" ca="1" si="1"/>
        <v>0.3681056250466197</v>
      </c>
      <c r="N27" s="12">
        <f t="shared" ca="1" si="1"/>
        <v>-0.96507543854662992</v>
      </c>
      <c r="O27" s="12">
        <f t="shared" ca="1" si="1"/>
        <v>1.8480169454769053</v>
      </c>
      <c r="P27" s="12">
        <f t="shared" ca="1" si="1"/>
        <v>-2.0854032958539661</v>
      </c>
      <c r="Q27" s="12">
        <f t="shared" ca="1" si="5"/>
        <v>-1.3054752263683302</v>
      </c>
      <c r="R27" s="12">
        <f t="shared" ca="1" si="5"/>
        <v>-1.9428043471827905</v>
      </c>
      <c r="S27" s="12">
        <f t="shared" ca="1" si="5"/>
        <v>-0.62548703243352066</v>
      </c>
      <c r="T27" s="12">
        <f t="shared" ca="1" si="5"/>
        <v>1.9791302112535214E-2</v>
      </c>
      <c r="U27" s="12">
        <f t="shared" ca="1" si="5"/>
        <v>0.82228984604691568</v>
      </c>
      <c r="V27" s="12">
        <f t="shared" ca="1" si="5"/>
        <v>-1.335866103030187</v>
      </c>
      <c r="W27" s="12">
        <f t="shared" ca="1" si="5"/>
        <v>2.6377639501024874</v>
      </c>
      <c r="X27" s="12">
        <f t="shared" ca="1" si="5"/>
        <v>2.4604216923267539</v>
      </c>
      <c r="Y27" s="12">
        <f t="shared" ca="1" si="5"/>
        <v>1.296159699142178</v>
      </c>
      <c r="Z27" s="12">
        <f t="shared" ca="1" si="5"/>
        <v>-2.8974349792849496</v>
      </c>
      <c r="AA27" s="12">
        <f t="shared" ca="1" si="5"/>
        <v>-1.2098950037847674E-2</v>
      </c>
      <c r="AB27" s="12">
        <f t="shared" ca="1" si="5"/>
        <v>1.4646988557772456</v>
      </c>
      <c r="AC27" s="12">
        <f t="shared" ca="1" si="5"/>
        <v>-5.8601534624620761</v>
      </c>
      <c r="AD27" s="12">
        <f t="shared" ca="1" si="5"/>
        <v>-0.14588988319346347</v>
      </c>
    </row>
    <row r="28" spans="1:30">
      <c r="A28">
        <v>23</v>
      </c>
      <c r="B28" s="15">
        <v>14.897</v>
      </c>
      <c r="C28">
        <f t="shared" si="3"/>
        <v>13.587999999999999</v>
      </c>
      <c r="D28" s="62">
        <v>40813</v>
      </c>
      <c r="F28" s="37">
        <f t="shared" si="4"/>
        <v>13.842531141921228</v>
      </c>
      <c r="G28" s="8">
        <f t="shared" si="0"/>
        <v>-1.0544688580787724</v>
      </c>
      <c r="I28" s="13"/>
      <c r="J28" s="13"/>
      <c r="K28" s="12">
        <f t="shared" ca="1" si="1"/>
        <v>-0.72117444458849078</v>
      </c>
      <c r="L28" s="12">
        <f t="shared" ca="1" si="1"/>
        <v>0.48376999239439711</v>
      </c>
      <c r="M28" s="12">
        <f t="shared" ca="1" si="1"/>
        <v>3.6431454166863277</v>
      </c>
      <c r="N28" s="12">
        <f t="shared" ca="1" si="1"/>
        <v>-0.63000831677889257</v>
      </c>
      <c r="O28" s="12">
        <f t="shared" ca="1" si="1"/>
        <v>-1.5069684592187806</v>
      </c>
      <c r="P28" s="12">
        <f t="shared" ca="1" si="1"/>
        <v>2.0164843199069078</v>
      </c>
      <c r="Q28" s="12">
        <f t="shared" ca="1" si="5"/>
        <v>-1.0935820107915275</v>
      </c>
      <c r="R28" s="12">
        <f t="shared" ca="1" si="5"/>
        <v>1.8887745713707753</v>
      </c>
      <c r="S28" s="12">
        <f t="shared" ca="1" si="5"/>
        <v>3.4599383666023913</v>
      </c>
      <c r="T28" s="12">
        <f t="shared" ca="1" si="5"/>
        <v>1.079037916257406</v>
      </c>
      <c r="U28" s="12">
        <f t="shared" ca="1" si="5"/>
        <v>-2.1538606650997472</v>
      </c>
      <c r="V28" s="12">
        <f t="shared" ca="1" si="5"/>
        <v>3.4524245703482395</v>
      </c>
      <c r="W28" s="12">
        <f t="shared" ca="1" si="5"/>
        <v>-9.0777043011903119E-2</v>
      </c>
      <c r="X28" s="12">
        <f t="shared" ca="1" si="5"/>
        <v>0.80128084314190906</v>
      </c>
      <c r="Y28" s="12">
        <f t="shared" ca="1" si="5"/>
        <v>0.45421452878848101</v>
      </c>
      <c r="Z28" s="12">
        <f t="shared" ca="1" si="5"/>
        <v>-1.1999869256319382</v>
      </c>
      <c r="AA28" s="12">
        <f t="shared" ca="1" si="5"/>
        <v>0.32308584675024665</v>
      </c>
      <c r="AB28" s="12">
        <f t="shared" ca="1" si="5"/>
        <v>-2.6066744695349953</v>
      </c>
      <c r="AC28" s="12">
        <f t="shared" ca="1" si="5"/>
        <v>-0.8671935903602902</v>
      </c>
      <c r="AD28" s="12">
        <f t="shared" ca="1" si="5"/>
        <v>-0.14660634058249067</v>
      </c>
    </row>
    <row r="29" spans="1:30">
      <c r="A29">
        <v>24</v>
      </c>
      <c r="B29" s="15">
        <v>16.376999999999999</v>
      </c>
      <c r="C29">
        <f t="shared" si="3"/>
        <v>14.897</v>
      </c>
      <c r="D29" s="62">
        <v>40479</v>
      </c>
      <c r="F29" s="37">
        <f t="shared" si="4"/>
        <v>15.073498270092264</v>
      </c>
      <c r="G29" s="8">
        <f t="shared" si="0"/>
        <v>-1.3035017299077349</v>
      </c>
      <c r="I29" s="13"/>
      <c r="J29" s="13"/>
      <c r="K29" s="12">
        <f t="shared" ca="1" si="1"/>
        <v>-1.1407396665107616</v>
      </c>
      <c r="L29" s="12">
        <f t="shared" ca="1" si="1"/>
        <v>-1.4330196043658912</v>
      </c>
      <c r="M29" s="12">
        <f t="shared" ca="1" si="1"/>
        <v>-0.67677417051399147</v>
      </c>
      <c r="N29" s="12">
        <f t="shared" ca="1" si="1"/>
        <v>2.4525765184189039</v>
      </c>
      <c r="O29" s="12">
        <f t="shared" ca="1" si="1"/>
        <v>5.1861083455936559</v>
      </c>
      <c r="P29" s="12">
        <f t="shared" ca="1" si="1"/>
        <v>-0.42373864529621597</v>
      </c>
      <c r="Q29" s="12">
        <f t="shared" ca="1" si="5"/>
        <v>6.1378476315036803E-2</v>
      </c>
      <c r="R29" s="12">
        <f t="shared" ca="1" si="5"/>
        <v>-0.7559981125930878</v>
      </c>
      <c r="S29" s="12">
        <f t="shared" ca="1" si="5"/>
        <v>5.994786206093114E-2</v>
      </c>
      <c r="T29" s="12">
        <f t="shared" ca="1" si="5"/>
        <v>0.30413212707938964</v>
      </c>
      <c r="U29" s="12">
        <f t="shared" ca="1" si="5"/>
        <v>-1.4137027304004508</v>
      </c>
      <c r="V29" s="12">
        <f t="shared" ca="1" si="5"/>
        <v>0.95703827453999579</v>
      </c>
      <c r="W29" s="12">
        <f t="shared" ca="1" si="5"/>
        <v>5.9116028963621936</v>
      </c>
      <c r="X29" s="12">
        <f t="shared" ca="1" si="5"/>
        <v>2.5413861248811913</v>
      </c>
      <c r="Y29" s="12">
        <f t="shared" ca="1" si="5"/>
        <v>-1.8100896412491718</v>
      </c>
      <c r="Z29" s="12">
        <f t="shared" ca="1" si="5"/>
        <v>-0.3865193653525264</v>
      </c>
      <c r="AA29" s="12">
        <f t="shared" ca="1" si="5"/>
        <v>-1.998744668538065</v>
      </c>
      <c r="AB29" s="12">
        <f t="shared" ca="1" si="5"/>
        <v>-8.0428561531937675</v>
      </c>
      <c r="AC29" s="12">
        <f t="shared" ca="1" si="5"/>
        <v>0.18162773625322237</v>
      </c>
      <c r="AD29" s="12">
        <f t="shared" ca="1" si="5"/>
        <v>-1.5451153085691303</v>
      </c>
    </row>
    <row r="30" spans="1:30">
      <c r="A30">
        <v>25</v>
      </c>
      <c r="B30" s="15">
        <v>17.135999999999999</v>
      </c>
      <c r="C30">
        <f t="shared" si="3"/>
        <v>16.376999999999999</v>
      </c>
      <c r="D30" s="62">
        <v>40997</v>
      </c>
      <c r="F30" s="37">
        <f t="shared" si="4"/>
        <v>16.465271646481206</v>
      </c>
      <c r="G30" s="8">
        <f t="shared" si="0"/>
        <v>-0.67072835351879334</v>
      </c>
      <c r="I30" s="13"/>
      <c r="J30" s="13"/>
      <c r="K30" s="12">
        <f t="shared" ca="1" si="1"/>
        <v>-2.0840569147034649</v>
      </c>
      <c r="L30" s="12">
        <f t="shared" ca="1" si="1"/>
        <v>-0.91647130302197666</v>
      </c>
      <c r="M30" s="12">
        <f t="shared" ca="1" si="1"/>
        <v>-0.41416738614470283</v>
      </c>
      <c r="N30" s="12">
        <f t="shared" ca="1" si="1"/>
        <v>-2.5366623325568565</v>
      </c>
      <c r="O30" s="12">
        <f t="shared" ca="1" si="1"/>
        <v>-3.5797106730435764</v>
      </c>
      <c r="P30" s="12">
        <f t="shared" ca="1" si="1"/>
        <v>-1.6672744332719835</v>
      </c>
      <c r="Q30" s="12">
        <f t="shared" ca="1" si="5"/>
        <v>1.1482812463961684E-2</v>
      </c>
      <c r="R30" s="12">
        <f t="shared" ca="1" si="5"/>
        <v>1.0138268947724525</v>
      </c>
      <c r="S30" s="12">
        <f t="shared" ca="1" si="5"/>
        <v>2.9076171973046323</v>
      </c>
      <c r="T30" s="12">
        <f t="shared" ca="1" si="5"/>
        <v>-1.0892956337012951</v>
      </c>
      <c r="U30" s="12">
        <f t="shared" ca="1" si="5"/>
        <v>-3.0740920084799668</v>
      </c>
      <c r="V30" s="12">
        <f t="shared" ca="1" si="5"/>
        <v>-0.3917060728800138</v>
      </c>
      <c r="W30" s="12">
        <f t="shared" ca="1" si="5"/>
        <v>-3.5263727317243498</v>
      </c>
      <c r="X30" s="12">
        <f t="shared" ca="1" si="5"/>
        <v>-0.14806770995562851</v>
      </c>
      <c r="Y30" s="12">
        <f t="shared" ca="1" si="5"/>
        <v>3.8581160725697745</v>
      </c>
      <c r="Z30" s="12">
        <f t="shared" ca="1" si="5"/>
        <v>-0.36674942379700604</v>
      </c>
      <c r="AA30" s="12">
        <f t="shared" ca="1" si="5"/>
        <v>1.5297522118565479</v>
      </c>
      <c r="AB30" s="12">
        <f t="shared" ca="1" si="5"/>
        <v>1.366141650494374</v>
      </c>
      <c r="AC30" s="12">
        <f t="shared" ref="AA30:AD45" ca="1" si="6">NORMINV(RAND(),$I$3,$I$2)</f>
        <v>-0.29326554366873608</v>
      </c>
      <c r="AD30" s="12">
        <f t="shared" ca="1" si="6"/>
        <v>-5.6963017578786329E-2</v>
      </c>
    </row>
    <row r="31" spans="1:30">
      <c r="A31">
        <v>26</v>
      </c>
      <c r="B31" s="15">
        <v>13.179</v>
      </c>
      <c r="C31">
        <f t="shared" si="3"/>
        <v>17.135999999999999</v>
      </c>
      <c r="D31" s="62">
        <v>40667</v>
      </c>
      <c r="F31" s="37">
        <f t="shared" si="4"/>
        <v>17.179025695588784</v>
      </c>
      <c r="G31" s="8">
        <f t="shared" si="0"/>
        <v>4.0000256955887838</v>
      </c>
      <c r="I31" s="13"/>
      <c r="J31" s="13"/>
      <c r="K31" s="12">
        <f t="shared" ca="1" si="1"/>
        <v>-0.35640646994160941</v>
      </c>
      <c r="L31" s="12">
        <f t="shared" ca="1" si="1"/>
        <v>-1.113182197495644</v>
      </c>
      <c r="M31" s="12">
        <f t="shared" ca="1" si="1"/>
        <v>-4.0922901498030848</v>
      </c>
      <c r="N31" s="12">
        <f t="shared" ca="1" si="1"/>
        <v>-5.5235297045303666E-2</v>
      </c>
      <c r="O31" s="12">
        <f t="shared" ca="1" si="1"/>
        <v>2.2840532966187914</v>
      </c>
      <c r="P31" s="12">
        <f t="shared" ca="1" si="1"/>
        <v>-1.4185159527809552</v>
      </c>
      <c r="Q31" s="12">
        <f t="shared" ref="Q31:Z45" ca="1" si="7">NORMINV(RAND(),$I$3,$I$2)</f>
        <v>-1.2983186737607872</v>
      </c>
      <c r="R31" s="12">
        <f t="shared" ca="1" si="7"/>
        <v>-3.7223685063297989</v>
      </c>
      <c r="S31" s="12">
        <f t="shared" ca="1" si="7"/>
        <v>0.97250450365784313</v>
      </c>
      <c r="T31" s="12">
        <f t="shared" ca="1" si="7"/>
        <v>2.3558058523329874</v>
      </c>
      <c r="U31" s="12">
        <f t="shared" ca="1" si="7"/>
        <v>-3.2831060198552433</v>
      </c>
      <c r="V31" s="12">
        <f t="shared" ca="1" si="7"/>
        <v>2.4031117781570588</v>
      </c>
      <c r="W31" s="12">
        <f t="shared" ca="1" si="7"/>
        <v>-1.7498617221568327</v>
      </c>
      <c r="X31" s="12">
        <f t="shared" ca="1" si="7"/>
        <v>1.3060248700194297</v>
      </c>
      <c r="Y31" s="12">
        <f t="shared" ca="1" si="7"/>
        <v>3.086001565076312</v>
      </c>
      <c r="Z31" s="12">
        <f t="shared" ca="1" si="7"/>
        <v>2.5508758845271746</v>
      </c>
      <c r="AA31" s="12">
        <f t="shared" ca="1" si="6"/>
        <v>6.5656743308056758</v>
      </c>
      <c r="AB31" s="12">
        <f t="shared" ca="1" si="6"/>
        <v>3.8894417484999142</v>
      </c>
      <c r="AC31" s="12">
        <f t="shared" ca="1" si="6"/>
        <v>-0.17729023846086092</v>
      </c>
      <c r="AD31" s="12">
        <f t="shared" ca="1" si="6"/>
        <v>2.2590113983158702E-2</v>
      </c>
    </row>
    <row r="32" spans="1:30">
      <c r="A32">
        <v>27</v>
      </c>
      <c r="B32" s="15">
        <v>17.306000000000001</v>
      </c>
      <c r="C32">
        <f t="shared" si="3"/>
        <v>13.179</v>
      </c>
      <c r="D32" s="62">
        <v>41179</v>
      </c>
      <c r="F32" s="37">
        <f t="shared" si="4"/>
        <v>13.457912688581311</v>
      </c>
      <c r="G32" s="8">
        <f t="shared" si="0"/>
        <v>-3.8480873114186895</v>
      </c>
      <c r="I32" s="13"/>
      <c r="J32" s="13"/>
      <c r="K32" s="12">
        <f t="shared" ca="1" si="1"/>
        <v>0.38531030651469433</v>
      </c>
      <c r="L32" s="12">
        <f t="shared" ca="1" si="1"/>
        <v>1.9781962090156433</v>
      </c>
      <c r="M32" s="12">
        <f t="shared" ca="1" si="1"/>
        <v>-0.87794143613133047</v>
      </c>
      <c r="N32" s="12">
        <f t="shared" ca="1" si="1"/>
        <v>0.77509182097514195</v>
      </c>
      <c r="O32" s="12">
        <f t="shared" ca="1" si="1"/>
        <v>2.1713572855691199</v>
      </c>
      <c r="P32" s="12">
        <f t="shared" ca="1" si="1"/>
        <v>-2.0259274279058865</v>
      </c>
      <c r="Q32" s="12">
        <f t="shared" ca="1" si="7"/>
        <v>-0.46121369626227093</v>
      </c>
      <c r="R32" s="12">
        <f t="shared" ca="1" si="7"/>
        <v>-1.554637350649978</v>
      </c>
      <c r="S32" s="12">
        <f t="shared" ca="1" si="7"/>
        <v>-1.0732617149996719</v>
      </c>
      <c r="T32" s="12">
        <f t="shared" ca="1" si="7"/>
        <v>2.8529225713970825</v>
      </c>
      <c r="U32" s="12">
        <f t="shared" ca="1" si="7"/>
        <v>2.0134496471798533</v>
      </c>
      <c r="V32" s="12">
        <f t="shared" ca="1" si="7"/>
        <v>0.83439366028891515</v>
      </c>
      <c r="W32" s="12">
        <f t="shared" ca="1" si="7"/>
        <v>1.5234521772661134</v>
      </c>
      <c r="X32" s="12">
        <f t="shared" ca="1" si="7"/>
        <v>1.7218483625980043</v>
      </c>
      <c r="Y32" s="12">
        <f t="shared" ca="1" si="7"/>
        <v>-0.56386309165270798</v>
      </c>
      <c r="Z32" s="12">
        <f t="shared" ca="1" si="7"/>
        <v>3.8390841686330668</v>
      </c>
      <c r="AA32" s="12">
        <f t="shared" ca="1" si="6"/>
        <v>2.7119628772354489</v>
      </c>
      <c r="AB32" s="12">
        <f t="shared" ca="1" si="6"/>
        <v>-2.1771036983320702</v>
      </c>
      <c r="AC32" s="12">
        <f t="shared" ca="1" si="6"/>
        <v>-0.73123695672622935</v>
      </c>
      <c r="AD32" s="12">
        <f t="shared" ca="1" si="6"/>
        <v>-2.5018584422775323</v>
      </c>
    </row>
    <row r="33" spans="1:30">
      <c r="A33">
        <v>28</v>
      </c>
      <c r="B33" s="15">
        <v>18.702999999999999</v>
      </c>
      <c r="C33">
        <f t="shared" si="3"/>
        <v>17.306000000000001</v>
      </c>
      <c r="D33" s="62">
        <v>40849</v>
      </c>
      <c r="F33" s="37">
        <f t="shared" si="4"/>
        <v>17.338891556390216</v>
      </c>
      <c r="G33" s="8">
        <f t="shared" si="0"/>
        <v>-1.3641084436097834</v>
      </c>
      <c r="I33" s="13"/>
      <c r="J33" s="13"/>
      <c r="K33" s="12">
        <f t="shared" ca="1" si="1"/>
        <v>-1.7759303064972245</v>
      </c>
      <c r="L33" s="12">
        <f t="shared" ca="1" si="1"/>
        <v>-2.6302386041349743</v>
      </c>
      <c r="M33" s="12">
        <f t="shared" ca="1" si="1"/>
        <v>-0.74379455565784569</v>
      </c>
      <c r="N33" s="12">
        <f t="shared" ca="1" si="1"/>
        <v>1.5598491750748094</v>
      </c>
      <c r="O33" s="12">
        <f t="shared" ca="1" si="1"/>
        <v>-4.4228202723183978</v>
      </c>
      <c r="P33" s="12">
        <f t="shared" ca="1" si="1"/>
        <v>2.7934896073316753</v>
      </c>
      <c r="Q33" s="12">
        <f t="shared" ca="1" si="7"/>
        <v>1.9531975374612356</v>
      </c>
      <c r="R33" s="12">
        <f t="shared" ca="1" si="7"/>
        <v>5.782779760187802E-2</v>
      </c>
      <c r="S33" s="12">
        <f t="shared" ca="1" si="7"/>
        <v>-2.2834107305704476</v>
      </c>
      <c r="T33" s="12">
        <f t="shared" ca="1" si="7"/>
        <v>4.535594085810418</v>
      </c>
      <c r="U33" s="12">
        <f t="shared" ca="1" si="7"/>
        <v>0.7913274625788852</v>
      </c>
      <c r="V33" s="12">
        <f t="shared" ca="1" si="7"/>
        <v>0.2036555624090188</v>
      </c>
      <c r="W33" s="12">
        <f t="shared" ca="1" si="7"/>
        <v>-1.9348980289072886</v>
      </c>
      <c r="X33" s="12">
        <f t="shared" ca="1" si="7"/>
        <v>3.1185078321909092</v>
      </c>
      <c r="Y33" s="12">
        <f t="shared" ca="1" si="7"/>
        <v>-3.3823453018526606</v>
      </c>
      <c r="Z33" s="12">
        <f t="shared" ca="1" si="7"/>
        <v>-0.92678011290783391</v>
      </c>
      <c r="AA33" s="12">
        <f t="shared" ca="1" si="6"/>
        <v>-0.63640368626196242</v>
      </c>
      <c r="AB33" s="12">
        <f t="shared" ca="1" si="6"/>
        <v>-3.2765172879651665</v>
      </c>
      <c r="AC33" s="12">
        <f t="shared" ca="1" si="6"/>
        <v>-3.1695857308132198</v>
      </c>
      <c r="AD33" s="12">
        <f t="shared" ca="1" si="6"/>
        <v>0.48943310958642461</v>
      </c>
    </row>
    <row r="34" spans="1:30">
      <c r="A34">
        <v>29</v>
      </c>
      <c r="B34" s="15">
        <v>14.269</v>
      </c>
      <c r="C34">
        <f t="shared" si="3"/>
        <v>18.702999999999999</v>
      </c>
      <c r="D34" s="62">
        <v>41354</v>
      </c>
      <c r="F34" s="37">
        <f t="shared" si="4"/>
        <v>18.652612777211402</v>
      </c>
      <c r="G34" s="9">
        <f t="shared" ref="G34:G45" si="8">F34-B34</f>
        <v>4.3836127772114022</v>
      </c>
      <c r="I34" s="13"/>
      <c r="J34" s="13"/>
      <c r="K34" s="12">
        <f t="shared" ca="1" si="1"/>
        <v>-1.6738882590432838</v>
      </c>
      <c r="L34" s="12">
        <f t="shared" ca="1" si="1"/>
        <v>1.2982728692619345</v>
      </c>
      <c r="M34" s="12">
        <f t="shared" ca="1" si="1"/>
        <v>-0.75928213341980422</v>
      </c>
      <c r="N34" s="12">
        <f t="shared" ca="1" si="1"/>
        <v>-1.8766932553999751</v>
      </c>
      <c r="O34" s="12">
        <f t="shared" ca="1" si="1"/>
        <v>-0.76331745021950403</v>
      </c>
      <c r="P34" s="12">
        <f t="shared" ca="1" si="1"/>
        <v>-5.3561089394877408</v>
      </c>
      <c r="Q34" s="12">
        <f t="shared" ca="1" si="7"/>
        <v>-2.6824068255715017</v>
      </c>
      <c r="R34" s="12">
        <f t="shared" ca="1" si="7"/>
        <v>1.4170711036976724</v>
      </c>
      <c r="S34" s="12">
        <f t="shared" ca="1" si="7"/>
        <v>-5.6681706190101488</v>
      </c>
      <c r="T34" s="12">
        <f t="shared" ca="1" si="7"/>
        <v>-1.4710087102510385</v>
      </c>
      <c r="U34" s="12">
        <f t="shared" ca="1" si="7"/>
        <v>-2.4963734712845724</v>
      </c>
      <c r="V34" s="12">
        <f t="shared" ca="1" si="7"/>
        <v>-1.0445873705204249</v>
      </c>
      <c r="W34" s="12">
        <f t="shared" ca="1" si="7"/>
        <v>-1.1132290324177656</v>
      </c>
      <c r="X34" s="12">
        <f t="shared" ca="1" si="7"/>
        <v>0.2288975492254979</v>
      </c>
      <c r="Y34" s="12">
        <f t="shared" ca="1" si="7"/>
        <v>2.1266938302586449</v>
      </c>
      <c r="Z34" s="12">
        <f t="shared" ca="1" si="7"/>
        <v>1.2940796244627777</v>
      </c>
      <c r="AA34" s="12">
        <f t="shared" ca="1" si="6"/>
        <v>-3.5232762486827265</v>
      </c>
      <c r="AB34" s="12">
        <f t="shared" ca="1" si="6"/>
        <v>1.8502524630724255</v>
      </c>
      <c r="AC34" s="12">
        <f t="shared" ca="1" si="6"/>
        <v>2.0538642446689024</v>
      </c>
      <c r="AD34" s="12">
        <f t="shared" ca="1" si="6"/>
        <v>-2.6435483977614878</v>
      </c>
    </row>
    <row r="35" spans="1:30">
      <c r="A35">
        <v>30</v>
      </c>
      <c r="B35" s="15">
        <v>14.414999999999999</v>
      </c>
      <c r="C35">
        <f t="shared" si="3"/>
        <v>14.269</v>
      </c>
      <c r="D35" s="62">
        <v>41038</v>
      </c>
      <c r="F35" s="37">
        <f t="shared" si="4"/>
        <v>14.48293497254344</v>
      </c>
      <c r="G35" s="9">
        <f t="shared" si="8"/>
        <v>6.7934972543440608E-2</v>
      </c>
      <c r="I35" s="13"/>
      <c r="J35" s="13"/>
      <c r="K35" s="12">
        <f t="shared" ca="1" si="1"/>
        <v>3.2074482255336139</v>
      </c>
      <c r="L35" s="12">
        <f t="shared" ca="1" si="1"/>
        <v>0.49210892831838549</v>
      </c>
      <c r="M35" s="12">
        <f t="shared" ca="1" si="1"/>
        <v>-0.35843998552389011</v>
      </c>
      <c r="N35" s="12">
        <f t="shared" ca="1" si="1"/>
        <v>0.97969369637255033</v>
      </c>
      <c r="O35" s="12">
        <f t="shared" ca="1" si="1"/>
        <v>-3.4520800359276769</v>
      </c>
      <c r="P35" s="12">
        <f t="shared" ca="1" si="1"/>
        <v>2.5451785289327251</v>
      </c>
      <c r="Q35" s="12">
        <f t="shared" ca="1" si="7"/>
        <v>-1.2870567695136066</v>
      </c>
      <c r="R35" s="12">
        <f t="shared" ca="1" si="7"/>
        <v>-1.7361704155080908</v>
      </c>
      <c r="S35" s="12">
        <f t="shared" ca="1" si="7"/>
        <v>-1.7635266304014143</v>
      </c>
      <c r="T35" s="12">
        <f t="shared" ca="1" si="7"/>
        <v>2.6138242176237632</v>
      </c>
      <c r="U35" s="12">
        <f t="shared" ca="1" si="7"/>
        <v>2.0087686878025068</v>
      </c>
      <c r="V35" s="12">
        <f t="shared" ca="1" si="7"/>
        <v>-0.80044834890905148</v>
      </c>
      <c r="W35" s="12">
        <f t="shared" ca="1" si="7"/>
        <v>2.1056497741134685</v>
      </c>
      <c r="X35" s="12">
        <f t="shared" ca="1" si="7"/>
        <v>-1.3514092922803664</v>
      </c>
      <c r="Y35" s="12">
        <f t="shared" ca="1" si="7"/>
        <v>-1.3971225484946748</v>
      </c>
      <c r="Z35" s="12">
        <f t="shared" ca="1" si="7"/>
        <v>-1.9042511584722144</v>
      </c>
      <c r="AA35" s="12">
        <f t="shared" ca="1" si="6"/>
        <v>-2.0010965154089733</v>
      </c>
      <c r="AB35" s="12">
        <f t="shared" ca="1" si="6"/>
        <v>1.9742841403893283</v>
      </c>
      <c r="AC35" s="12">
        <f t="shared" ca="1" si="6"/>
        <v>-1.6217803583127042</v>
      </c>
      <c r="AD35" s="12">
        <f t="shared" ca="1" si="6"/>
        <v>0.28628016289033387</v>
      </c>
    </row>
    <row r="36" spans="1:30">
      <c r="A36">
        <v>31</v>
      </c>
      <c r="B36" s="15">
        <v>15.798</v>
      </c>
      <c r="C36">
        <f t="shared" si="3"/>
        <v>14.414999999999999</v>
      </c>
      <c r="D36" s="62">
        <v>41179</v>
      </c>
      <c r="F36" s="37">
        <f t="shared" si="4"/>
        <v>14.620231535349376</v>
      </c>
      <c r="G36" s="9">
        <f t="shared" si="8"/>
        <v>-1.1777684646506241</v>
      </c>
      <c r="I36" s="13"/>
      <c r="J36" s="13"/>
      <c r="K36" s="12">
        <f t="shared" ca="1" si="1"/>
        <v>-0.29817871977180888</v>
      </c>
      <c r="L36" s="12">
        <f t="shared" ca="1" si="1"/>
        <v>1.9286288461573775</v>
      </c>
      <c r="M36" s="12">
        <f t="shared" ca="1" si="1"/>
        <v>-1.2827112105169618</v>
      </c>
      <c r="N36" s="12">
        <f t="shared" ca="1" si="1"/>
        <v>1.6982791288640484</v>
      </c>
      <c r="O36" s="12">
        <f t="shared" ca="1" si="1"/>
        <v>3.7057417838081399</v>
      </c>
      <c r="P36" s="12">
        <f t="shared" ca="1" si="1"/>
        <v>-0.61960943199902463</v>
      </c>
      <c r="Q36" s="12">
        <f t="shared" ca="1" si="7"/>
        <v>-1.5292933467408718</v>
      </c>
      <c r="R36" s="12">
        <f t="shared" ca="1" si="7"/>
        <v>0.30135310921183533</v>
      </c>
      <c r="S36" s="12">
        <f t="shared" ca="1" si="7"/>
        <v>-1.8870301840943124</v>
      </c>
      <c r="T36" s="12">
        <f t="shared" ca="1" si="7"/>
        <v>0.95143391210527339</v>
      </c>
      <c r="U36" s="12">
        <f t="shared" ca="1" si="7"/>
        <v>1.860508937311097</v>
      </c>
      <c r="V36" s="12">
        <f t="shared" ca="1" si="7"/>
        <v>-2.7102500227159854</v>
      </c>
      <c r="W36" s="12">
        <f t="shared" ca="1" si="7"/>
        <v>-0.63247100704586112</v>
      </c>
      <c r="X36" s="12">
        <f t="shared" ca="1" si="7"/>
        <v>1.1486884586900055</v>
      </c>
      <c r="Y36" s="12">
        <f t="shared" ca="1" si="7"/>
        <v>1.5450884143269601</v>
      </c>
      <c r="Z36" s="12">
        <f t="shared" ca="1" si="7"/>
        <v>2.627942033584036</v>
      </c>
      <c r="AA36" s="12">
        <f t="shared" ca="1" si="6"/>
        <v>3.3173549822347006</v>
      </c>
      <c r="AB36" s="12">
        <f t="shared" ca="1" si="6"/>
        <v>-1.4202663279306726</v>
      </c>
      <c r="AC36" s="12">
        <f t="shared" ca="1" si="6"/>
        <v>1.8916911504010483</v>
      </c>
      <c r="AD36" s="12">
        <f t="shared" ca="1" si="6"/>
        <v>1.4149594321563528</v>
      </c>
    </row>
    <row r="37" spans="1:30">
      <c r="A37">
        <v>32</v>
      </c>
      <c r="B37" s="15">
        <v>9.2870000000000008</v>
      </c>
      <c r="C37">
        <f t="shared" si="3"/>
        <v>15.798</v>
      </c>
      <c r="D37" s="62">
        <v>41221</v>
      </c>
      <c r="F37" s="37">
        <f t="shared" si="4"/>
        <v>15.920787332339858</v>
      </c>
      <c r="G37" s="9">
        <f t="shared" si="8"/>
        <v>6.6337873323398568</v>
      </c>
      <c r="I37" s="13"/>
      <c r="J37" s="13"/>
      <c r="K37" s="12">
        <f t="shared" ca="1" si="1"/>
        <v>2.4597964679514597</v>
      </c>
      <c r="L37" s="12">
        <f t="shared" ca="1" si="1"/>
        <v>1.26962437944055</v>
      </c>
      <c r="M37" s="12">
        <f t="shared" ca="1" si="1"/>
        <v>-1.34302698971589</v>
      </c>
      <c r="N37" s="12">
        <f t="shared" ca="1" si="1"/>
        <v>-1.4669984978639476</v>
      </c>
      <c r="O37" s="12">
        <f t="shared" ca="1" si="1"/>
        <v>0.14885200793032777</v>
      </c>
      <c r="P37" s="12">
        <f t="shared" ca="1" si="1"/>
        <v>-0.97149271292707318</v>
      </c>
      <c r="Q37" s="12">
        <f t="shared" ca="1" si="7"/>
        <v>3.0544705981799924</v>
      </c>
      <c r="R37" s="12">
        <f t="shared" ca="1" si="7"/>
        <v>-1.2833841717780587</v>
      </c>
      <c r="S37" s="12">
        <f t="shared" ca="1" si="7"/>
        <v>-1.9388105418323127</v>
      </c>
      <c r="T37" s="12">
        <f t="shared" ca="1" si="7"/>
        <v>-1.3670027139676439</v>
      </c>
      <c r="U37" s="12">
        <f t="shared" ca="1" si="7"/>
        <v>1.8854751742190938</v>
      </c>
      <c r="V37" s="12">
        <f t="shared" ca="1" si="7"/>
        <v>-1.7748432383492359</v>
      </c>
      <c r="W37" s="12">
        <f t="shared" ca="1" si="7"/>
        <v>-1.7288715364001199</v>
      </c>
      <c r="X37" s="12">
        <f t="shared" ca="1" si="7"/>
        <v>0.46165202034983854</v>
      </c>
      <c r="Y37" s="12">
        <f t="shared" ca="1" si="7"/>
        <v>-4.0205650372197059</v>
      </c>
      <c r="Z37" s="12">
        <f t="shared" ca="1" si="7"/>
        <v>-2.7006520631154971</v>
      </c>
      <c r="AA37" s="12">
        <f t="shared" ca="1" si="6"/>
        <v>-1.0230113969009802</v>
      </c>
      <c r="AB37" s="12">
        <f t="shared" ca="1" si="6"/>
        <v>-0.16626538078280462</v>
      </c>
      <c r="AC37" s="12">
        <f t="shared" ca="1" si="6"/>
        <v>-0.82394283353273245</v>
      </c>
      <c r="AD37" s="12">
        <f t="shared" ca="1" si="6"/>
        <v>-2.4410866931303148</v>
      </c>
    </row>
    <row r="38" spans="1:30">
      <c r="A38">
        <v>33</v>
      </c>
      <c r="B38" s="15">
        <v>15.207000000000001</v>
      </c>
      <c r="C38">
        <f t="shared" si="3"/>
        <v>9.2870000000000008</v>
      </c>
      <c r="D38" s="62">
        <v>41725</v>
      </c>
      <c r="F38" s="37">
        <f t="shared" si="4"/>
        <v>9.7979248636449761</v>
      </c>
      <c r="G38" s="9">
        <f t="shared" si="8"/>
        <v>-5.4090751363550247</v>
      </c>
      <c r="I38" s="13"/>
      <c r="J38" s="13"/>
      <c r="K38" s="12">
        <f t="shared" ca="1" si="1"/>
        <v>-0.45338304978234401</v>
      </c>
      <c r="L38" s="12">
        <f t="shared" ca="1" si="1"/>
        <v>0.81343841955246732</v>
      </c>
      <c r="M38" s="12">
        <f t="shared" ca="1" si="1"/>
        <v>-1.3686078638668731</v>
      </c>
      <c r="N38" s="12">
        <f t="shared" ca="1" si="1"/>
        <v>2.6281121020164733</v>
      </c>
      <c r="O38" s="12">
        <f t="shared" ca="1" si="1"/>
        <v>-0.42303549136260366</v>
      </c>
      <c r="P38" s="12">
        <f t="shared" ca="1" si="1"/>
        <v>0.33975697159533991</v>
      </c>
      <c r="Q38" s="12">
        <f t="shared" ca="1" si="7"/>
        <v>2.7719150460042949</v>
      </c>
      <c r="R38" s="12">
        <f t="shared" ca="1" si="7"/>
        <v>2.7718393248015967</v>
      </c>
      <c r="S38" s="12">
        <f t="shared" ca="1" si="7"/>
        <v>2.3523676404643181</v>
      </c>
      <c r="T38" s="12">
        <f t="shared" ca="1" si="7"/>
        <v>1.7661581618906093</v>
      </c>
      <c r="U38" s="12">
        <f t="shared" ca="1" si="7"/>
        <v>-0.9623042570149728</v>
      </c>
      <c r="V38" s="12">
        <f t="shared" ca="1" si="7"/>
        <v>2.4791778454302715</v>
      </c>
      <c r="W38" s="12">
        <f t="shared" ca="1" si="7"/>
        <v>-0.74109474601965952</v>
      </c>
      <c r="X38" s="12">
        <f t="shared" ca="1" si="7"/>
        <v>-0.90060769932225126</v>
      </c>
      <c r="Y38" s="12">
        <f t="shared" ca="1" si="7"/>
        <v>-0.38436214479328323</v>
      </c>
      <c r="Z38" s="12">
        <f t="shared" ca="1" si="7"/>
        <v>-1.4141358241649913</v>
      </c>
      <c r="AA38" s="12">
        <f t="shared" ca="1" si="6"/>
        <v>-0.70996383900368454</v>
      </c>
      <c r="AB38" s="12">
        <f t="shared" ca="1" si="6"/>
        <v>-1.9531246664892141</v>
      </c>
      <c r="AC38" s="12">
        <f t="shared" ca="1" si="6"/>
        <v>-2.2272533166628032</v>
      </c>
      <c r="AD38" s="12">
        <f t="shared" ca="1" si="6"/>
        <v>-0.6676201166424407</v>
      </c>
    </row>
    <row r="39" spans="1:30">
      <c r="A39">
        <v>34</v>
      </c>
      <c r="B39" s="15">
        <v>15.295999999999999</v>
      </c>
      <c r="C39">
        <f t="shared" si="3"/>
        <v>15.207000000000001</v>
      </c>
      <c r="D39" s="62">
        <v>41402</v>
      </c>
      <c r="F39" s="37">
        <f t="shared" si="4"/>
        <v>15.36501836920076</v>
      </c>
      <c r="G39" s="9">
        <f t="shared" si="8"/>
        <v>6.9018369200760432E-2</v>
      </c>
      <c r="I39" s="13"/>
      <c r="J39" s="13"/>
      <c r="K39" s="12">
        <f t="shared" ca="1" si="1"/>
        <v>-1.3743336404944786</v>
      </c>
      <c r="L39" s="12">
        <f t="shared" ca="1" si="1"/>
        <v>0.94245673201950597</v>
      </c>
      <c r="M39" s="12">
        <f t="shared" ca="1" si="1"/>
        <v>-1.039255009108605</v>
      </c>
      <c r="N39" s="12">
        <f t="shared" ca="1" si="1"/>
        <v>0.47250589911974317</v>
      </c>
      <c r="O39" s="12">
        <f t="shared" ca="1" si="1"/>
        <v>-2.4906596620644308</v>
      </c>
      <c r="P39" s="12">
        <f t="shared" ca="1" si="1"/>
        <v>-3.5856647078038657</v>
      </c>
      <c r="Q39" s="12">
        <f t="shared" ca="1" si="7"/>
        <v>-1.5424994674378218</v>
      </c>
      <c r="R39" s="12">
        <f t="shared" ca="1" si="7"/>
        <v>-5.8357027970420621</v>
      </c>
      <c r="S39" s="12">
        <f t="shared" ca="1" si="7"/>
        <v>3.1673601868522696</v>
      </c>
      <c r="T39" s="12">
        <f t="shared" ca="1" si="7"/>
        <v>2.8580106101960658</v>
      </c>
      <c r="U39" s="12">
        <f t="shared" ca="1" si="7"/>
        <v>3.2712572486353473</v>
      </c>
      <c r="V39" s="12">
        <f t="shared" ca="1" si="7"/>
        <v>-3.4957237645098029</v>
      </c>
      <c r="W39" s="12">
        <f t="shared" ca="1" si="7"/>
        <v>1.0457935999114161</v>
      </c>
      <c r="X39" s="12">
        <f t="shared" ca="1" si="7"/>
        <v>-3.4694768117810897</v>
      </c>
      <c r="Y39" s="12">
        <f t="shared" ca="1" si="7"/>
        <v>-3.5673273742128804</v>
      </c>
      <c r="Z39" s="12">
        <f t="shared" ca="1" si="7"/>
        <v>-3.3288078889245152</v>
      </c>
      <c r="AA39" s="12">
        <f t="shared" ca="1" si="6"/>
        <v>4.2761941701055379</v>
      </c>
      <c r="AB39" s="12">
        <f t="shared" ca="1" si="6"/>
        <v>4.6406135803788242</v>
      </c>
      <c r="AC39" s="12">
        <f t="shared" ca="1" si="6"/>
        <v>-0.93114645803442564</v>
      </c>
      <c r="AD39" s="12">
        <f t="shared" ca="1" si="6"/>
        <v>-0.70292968724835003</v>
      </c>
    </row>
    <row r="40" spans="1:30">
      <c r="A40">
        <v>35</v>
      </c>
      <c r="B40" s="15">
        <v>16.652999999999999</v>
      </c>
      <c r="C40">
        <f t="shared" si="3"/>
        <v>15.295999999999999</v>
      </c>
      <c r="D40" s="62">
        <v>41493</v>
      </c>
      <c r="F40" s="37">
        <f t="shared" si="4"/>
        <v>15.448712849267391</v>
      </c>
      <c r="G40" s="9">
        <f t="shared" si="8"/>
        <v>-1.2042871507326076</v>
      </c>
      <c r="I40" s="13"/>
      <c r="J40" s="13"/>
      <c r="K40" s="12">
        <f t="shared" ca="1" si="1"/>
        <v>-0.82312648803274657</v>
      </c>
      <c r="L40" s="12">
        <f t="shared" ca="1" si="1"/>
        <v>2.9491383046451447</v>
      </c>
      <c r="M40" s="12">
        <f t="shared" ca="1" si="1"/>
        <v>-0.70815541593457387</v>
      </c>
      <c r="N40" s="12">
        <f t="shared" ca="1" si="1"/>
        <v>-1.6620631079746866E-2</v>
      </c>
      <c r="O40" s="12">
        <f t="shared" ca="1" si="1"/>
        <v>2.0252781365109698</v>
      </c>
      <c r="P40" s="12">
        <f t="shared" ca="1" si="1"/>
        <v>-0.34711512945972534</v>
      </c>
      <c r="Q40" s="12">
        <f t="shared" ca="1" si="7"/>
        <v>-2.6516872795050825</v>
      </c>
      <c r="R40" s="12">
        <f t="shared" ca="1" si="7"/>
        <v>-1.5766800231058584</v>
      </c>
      <c r="S40" s="12">
        <f t="shared" ca="1" si="7"/>
        <v>-1.3198594195660878</v>
      </c>
      <c r="T40" s="12">
        <f t="shared" ca="1" si="7"/>
        <v>1.3580686675139448</v>
      </c>
      <c r="U40" s="12">
        <f t="shared" ca="1" si="7"/>
        <v>1.1047608929286317</v>
      </c>
      <c r="V40" s="12">
        <f t="shared" ca="1" si="7"/>
        <v>-0.76451333456607673</v>
      </c>
      <c r="W40" s="12">
        <f t="shared" ca="1" si="7"/>
        <v>-1.1766639523482467</v>
      </c>
      <c r="X40" s="12">
        <f t="shared" ca="1" si="7"/>
        <v>0.91308278982822</v>
      </c>
      <c r="Y40" s="12">
        <f t="shared" ca="1" si="7"/>
        <v>3.5609340484289445</v>
      </c>
      <c r="Z40" s="12">
        <f t="shared" ca="1" si="7"/>
        <v>3.4881924868142913</v>
      </c>
      <c r="AA40" s="12">
        <f t="shared" ca="1" si="6"/>
        <v>-1.4337888686069709</v>
      </c>
      <c r="AB40" s="12">
        <f t="shared" ca="1" si="6"/>
        <v>-2.598555173790253</v>
      </c>
      <c r="AC40" s="12">
        <f t="shared" ca="1" si="6"/>
        <v>-1.3229895964942209</v>
      </c>
      <c r="AD40" s="12">
        <f t="shared" ca="1" si="6"/>
        <v>2.6014429619113049</v>
      </c>
    </row>
    <row r="41" spans="1:30">
      <c r="A41">
        <v>36</v>
      </c>
      <c r="B41" s="15">
        <v>18.803999999999998</v>
      </c>
      <c r="C41">
        <f t="shared" si="3"/>
        <v>16.652999999999999</v>
      </c>
      <c r="D41" s="62">
        <v>41584</v>
      </c>
      <c r="F41" s="37">
        <f t="shared" si="4"/>
        <v>16.724818573429417</v>
      </c>
      <c r="G41" s="9">
        <f t="shared" si="8"/>
        <v>-2.0791814265705817</v>
      </c>
      <c r="I41" s="13"/>
      <c r="J41" s="13"/>
      <c r="K41" s="12">
        <f t="shared" ca="1" si="1"/>
        <v>-0.92589044303009149</v>
      </c>
      <c r="L41" s="12">
        <f t="shared" ca="1" si="1"/>
        <v>2.4475381682004529</v>
      </c>
      <c r="M41" s="12">
        <f t="shared" ca="1" si="1"/>
        <v>3.8316097346313263</v>
      </c>
      <c r="N41" s="12">
        <f t="shared" ca="1" si="1"/>
        <v>1.270482651995259</v>
      </c>
      <c r="O41" s="12">
        <f t="shared" ca="1" si="1"/>
        <v>-4.6162228607393594</v>
      </c>
      <c r="P41" s="12">
        <f t="shared" ca="1" si="1"/>
        <v>2.1565637907577813</v>
      </c>
      <c r="Q41" s="12">
        <f t="shared" ca="1" si="7"/>
        <v>0.85772457064228946</v>
      </c>
      <c r="R41" s="12">
        <f t="shared" ca="1" si="7"/>
        <v>-2.2319140221230338</v>
      </c>
      <c r="S41" s="12">
        <f t="shared" ca="1" si="7"/>
        <v>-1.2883284531306434</v>
      </c>
      <c r="T41" s="12">
        <f t="shared" ca="1" si="7"/>
        <v>1.3006706532506545</v>
      </c>
      <c r="U41" s="12">
        <f t="shared" ca="1" si="7"/>
        <v>3.3059017391814391</v>
      </c>
      <c r="V41" s="12">
        <f t="shared" ca="1" si="7"/>
        <v>1.7364449928778578</v>
      </c>
      <c r="W41" s="12">
        <f t="shared" ca="1" si="7"/>
        <v>0.27984870253242</v>
      </c>
      <c r="X41" s="12">
        <f t="shared" ca="1" si="7"/>
        <v>0.32528441354441184</v>
      </c>
      <c r="Y41" s="12">
        <f t="shared" ca="1" si="7"/>
        <v>1.2930471753662716</v>
      </c>
      <c r="Z41" s="12">
        <f t="shared" ca="1" si="7"/>
        <v>-0.30870692309168934</v>
      </c>
      <c r="AA41" s="12">
        <f t="shared" ca="1" si="6"/>
        <v>-2.4563747779223086</v>
      </c>
      <c r="AB41" s="12">
        <f t="shared" ca="1" si="6"/>
        <v>-5.4624353928952922E-2</v>
      </c>
      <c r="AC41" s="12">
        <f t="shared" ca="1" si="6"/>
        <v>1.9412514082192458</v>
      </c>
      <c r="AD41" s="12">
        <f t="shared" ca="1" si="6"/>
        <v>-0.17860830328449762</v>
      </c>
    </row>
    <row r="42" spans="1:30">
      <c r="A42">
        <v>37</v>
      </c>
      <c r="B42" s="15">
        <v>20.097000000000001</v>
      </c>
      <c r="C42">
        <f t="shared" si="3"/>
        <v>18.803999999999998</v>
      </c>
      <c r="D42" s="62">
        <v>41725</v>
      </c>
      <c r="F42" s="37">
        <f t="shared" si="4"/>
        <v>18.747591906275787</v>
      </c>
      <c r="G42" s="9">
        <f>F42-B43</f>
        <v>-1.5404080937242135</v>
      </c>
      <c r="I42" s="13"/>
      <c r="J42" s="13"/>
      <c r="K42" s="12">
        <f t="shared" ca="1" si="1"/>
        <v>-1.8784190009908235</v>
      </c>
      <c r="L42" s="12">
        <f t="shared" ca="1" si="1"/>
        <v>2.501945890465672</v>
      </c>
      <c r="M42" s="12">
        <f t="shared" ca="1" si="1"/>
        <v>7.531267512752246E-2</v>
      </c>
      <c r="N42" s="12">
        <f t="shared" ca="1" si="1"/>
        <v>-3.1984246346952232</v>
      </c>
      <c r="O42" s="12">
        <f t="shared" ca="1" si="1"/>
        <v>0.55918488144809819</v>
      </c>
      <c r="P42" s="12">
        <f t="shared" ca="1" si="1"/>
        <v>-2.013321769007332</v>
      </c>
      <c r="Q42" s="12">
        <f t="shared" ca="1" si="7"/>
        <v>-0.72739884831578505</v>
      </c>
      <c r="R42" s="12">
        <f t="shared" ca="1" si="7"/>
        <v>-1.162813278144986</v>
      </c>
      <c r="S42" s="12">
        <f t="shared" ca="1" si="7"/>
        <v>-4.1718559464412648</v>
      </c>
      <c r="T42" s="12">
        <f t="shared" ca="1" si="7"/>
        <v>-0.40516257469960548</v>
      </c>
      <c r="U42" s="12">
        <f t="shared" ca="1" si="7"/>
        <v>-0.5112198576853183</v>
      </c>
      <c r="V42" s="12">
        <f t="shared" ca="1" si="7"/>
        <v>4.5916856645585389</v>
      </c>
      <c r="W42" s="12">
        <f t="shared" ca="1" si="7"/>
        <v>0.60998559080212544</v>
      </c>
      <c r="X42" s="12">
        <f t="shared" ca="1" si="7"/>
        <v>1.456730013118138</v>
      </c>
      <c r="Y42" s="12">
        <f t="shared" ca="1" si="7"/>
        <v>0.84901308949731091</v>
      </c>
      <c r="Z42" s="12">
        <f t="shared" ca="1" si="7"/>
        <v>0.66955299866705964</v>
      </c>
      <c r="AA42" s="12">
        <f t="shared" ca="1" si="6"/>
        <v>-2.0838313346987709</v>
      </c>
      <c r="AB42" s="12">
        <f t="shared" ca="1" si="6"/>
        <v>2.2334208480473712</v>
      </c>
      <c r="AC42" s="12">
        <f t="shared" ca="1" si="6"/>
        <v>-0.7105339241927876</v>
      </c>
      <c r="AD42" s="12">
        <f t="shared" ca="1" si="6"/>
        <v>3.4494387558226594</v>
      </c>
    </row>
    <row r="43" spans="1:30">
      <c r="A43">
        <v>38</v>
      </c>
      <c r="B43" s="15">
        <v>20.288</v>
      </c>
      <c r="C43">
        <f t="shared" si="3"/>
        <v>20.097000000000001</v>
      </c>
      <c r="D43" s="62">
        <v>41773</v>
      </c>
      <c r="F43" s="37">
        <f t="shared" si="4"/>
        <v>19.963512835783156</v>
      </c>
      <c r="G43" s="9">
        <f>F43-B44</f>
        <v>-2.1384871642168441</v>
      </c>
      <c r="I43" s="13"/>
      <c r="J43" s="13"/>
      <c r="K43" s="12">
        <f t="shared" ca="1" si="1"/>
        <v>-0.23609428377899522</v>
      </c>
      <c r="L43" s="12">
        <f t="shared" ca="1" si="1"/>
        <v>-0.35708484892549497</v>
      </c>
      <c r="M43" s="12">
        <f t="shared" ca="1" si="1"/>
        <v>-2.0786527458796669</v>
      </c>
      <c r="N43" s="12">
        <f t="shared" ca="1" si="1"/>
        <v>0.50552871506219466</v>
      </c>
      <c r="O43" s="12">
        <f t="shared" ca="1" si="1"/>
        <v>0.46582637578750608</v>
      </c>
      <c r="P43" s="12">
        <f t="shared" ca="1" si="1"/>
        <v>-1.7737072896875947</v>
      </c>
      <c r="Q43" s="12">
        <f t="shared" ca="1" si="7"/>
        <v>1.7358346075844713</v>
      </c>
      <c r="R43" s="12">
        <f t="shared" ca="1" si="7"/>
        <v>0.44922299469418925</v>
      </c>
      <c r="S43" s="12">
        <f t="shared" ca="1" si="7"/>
        <v>-3.8625112910882522</v>
      </c>
      <c r="T43" s="12">
        <f t="shared" ca="1" si="7"/>
        <v>-2.5582123909126615</v>
      </c>
      <c r="U43" s="12">
        <f t="shared" ca="1" si="7"/>
        <v>3.1158188956086978</v>
      </c>
      <c r="V43" s="12">
        <f t="shared" ca="1" si="7"/>
        <v>-1.8060594346355689</v>
      </c>
      <c r="W43" s="12">
        <f t="shared" ca="1" si="7"/>
        <v>1.8346155413119316</v>
      </c>
      <c r="X43" s="12">
        <f t="shared" ca="1" si="7"/>
        <v>-1.5773973751328503</v>
      </c>
      <c r="Y43" s="12">
        <f t="shared" ca="1" si="7"/>
        <v>-0.61987779299601853</v>
      </c>
      <c r="Z43" s="12">
        <f t="shared" ca="1" si="7"/>
        <v>1.7985242902868341</v>
      </c>
      <c r="AA43" s="12">
        <f t="shared" ca="1" si="6"/>
        <v>2.4635870196235707</v>
      </c>
      <c r="AB43" s="12">
        <f t="shared" ca="1" si="6"/>
        <v>0.46246259177252014</v>
      </c>
      <c r="AC43" s="12">
        <f t="shared" ca="1" si="6"/>
        <v>-0.48600803419139027</v>
      </c>
      <c r="AD43" s="12">
        <f t="shared" ca="1" si="6"/>
        <v>-2.4564480182777162</v>
      </c>
    </row>
    <row r="44" spans="1:30">
      <c r="A44">
        <v>39</v>
      </c>
      <c r="B44" s="15">
        <v>22.102</v>
      </c>
      <c r="C44">
        <f t="shared" si="3"/>
        <v>20.288</v>
      </c>
      <c r="D44" s="62">
        <v>41864</v>
      </c>
      <c r="F44" s="37">
        <f t="shared" si="4"/>
        <v>20.143126832330644</v>
      </c>
      <c r="G44" s="9">
        <f t="shared" ref="G44" si="9">F44-B44</f>
        <v>-1.9588731676693563</v>
      </c>
      <c r="I44" s="13"/>
      <c r="J44" s="13"/>
      <c r="K44" s="12">
        <f t="shared" ca="1" si="1"/>
        <v>-0.74724231167511812</v>
      </c>
      <c r="L44" s="12">
        <f t="shared" ca="1" si="1"/>
        <v>-4.3184491798786873</v>
      </c>
      <c r="M44" s="12">
        <f t="shared" ca="1" si="1"/>
        <v>0.31341917306959188</v>
      </c>
      <c r="N44" s="12">
        <f t="shared" ca="1" si="1"/>
        <v>-0.85114476894576718</v>
      </c>
      <c r="O44" s="12">
        <f t="shared" ca="1" si="1"/>
        <v>1.6276586693065243</v>
      </c>
      <c r="P44" s="12">
        <f t="shared" ca="1" si="1"/>
        <v>-2.5029524487932484</v>
      </c>
      <c r="Q44" s="12">
        <f t="shared" ca="1" si="7"/>
        <v>-0.8276602650140642</v>
      </c>
      <c r="R44" s="12">
        <f t="shared" ca="1" si="7"/>
        <v>0.5560590909290748</v>
      </c>
      <c r="S44" s="12">
        <f t="shared" ca="1" si="7"/>
        <v>3.9816017475259562</v>
      </c>
      <c r="T44" s="12">
        <f t="shared" ca="1" si="7"/>
        <v>1.0041483438472609</v>
      </c>
      <c r="U44" s="12">
        <f t="shared" ca="1" si="7"/>
        <v>-2.8273930000227288</v>
      </c>
      <c r="V44" s="12">
        <f t="shared" ca="1" si="7"/>
        <v>1.3903092742828471</v>
      </c>
      <c r="W44" s="12">
        <f t="shared" ca="1" si="7"/>
        <v>2.6134507444779151</v>
      </c>
      <c r="X44" s="12">
        <f t="shared" ca="1" si="7"/>
        <v>-0.29633638417332031</v>
      </c>
      <c r="Y44" s="12">
        <f t="shared" ca="1" si="7"/>
        <v>2.2828484710248937</v>
      </c>
      <c r="Z44" s="12">
        <f t="shared" ca="1" si="7"/>
        <v>-0.39341008063121186</v>
      </c>
      <c r="AA44" s="12">
        <f t="shared" ca="1" si="6"/>
        <v>-2.331710597862438</v>
      </c>
      <c r="AB44" s="12">
        <f t="shared" ca="1" si="6"/>
        <v>2.2092902349994774</v>
      </c>
      <c r="AC44" s="12">
        <f t="shared" ca="1" si="6"/>
        <v>-1.9607036672593241</v>
      </c>
      <c r="AD44" s="12">
        <f t="shared" ca="1" si="6"/>
        <v>1.7934989427309354</v>
      </c>
    </row>
    <row r="45" spans="1:30">
      <c r="A45">
        <v>40</v>
      </c>
      <c r="B45" s="16">
        <v>19.241</v>
      </c>
      <c r="C45">
        <f t="shared" si="3"/>
        <v>22.102</v>
      </c>
      <c r="D45" s="84">
        <v>41955</v>
      </c>
      <c r="F45" s="37">
        <f t="shared" si="4"/>
        <v>21.848989605823583</v>
      </c>
      <c r="G45" s="11">
        <f t="shared" si="8"/>
        <v>2.6079896058235832</v>
      </c>
      <c r="I45" s="13"/>
      <c r="J45" s="13"/>
      <c r="K45" s="17">
        <f t="shared" ca="1" si="1"/>
        <v>0.42625229957569744</v>
      </c>
      <c r="L45" s="17">
        <f t="shared" ca="1" si="1"/>
        <v>-0.49331870488215945</v>
      </c>
      <c r="M45" s="17">
        <f t="shared" ca="1" si="1"/>
        <v>-2.3296395422019014</v>
      </c>
      <c r="N45" s="17">
        <f t="shared" ca="1" si="1"/>
        <v>-1.0151358864874123</v>
      </c>
      <c r="O45" s="17">
        <f t="shared" ca="1" si="1"/>
        <v>1.30804859043818</v>
      </c>
      <c r="P45" s="17">
        <f t="shared" ca="1" si="1"/>
        <v>3.6432433654608003</v>
      </c>
      <c r="Q45" s="12">
        <f t="shared" ca="1" si="7"/>
        <v>-0.25795644979923021</v>
      </c>
      <c r="R45" s="12">
        <f t="shared" ca="1" si="7"/>
        <v>-5.944455834561734</v>
      </c>
      <c r="S45" s="12">
        <f t="shared" ca="1" si="7"/>
        <v>2.1214615615031045</v>
      </c>
      <c r="T45" s="12">
        <f t="shared" ca="1" si="7"/>
        <v>-4.3660742415039566</v>
      </c>
      <c r="U45" s="12">
        <f t="shared" ca="1" si="7"/>
        <v>-3.2127946644987704</v>
      </c>
      <c r="V45" s="12">
        <f t="shared" ca="1" si="7"/>
        <v>0.91418042165575231</v>
      </c>
      <c r="W45" s="12">
        <f t="shared" ca="1" si="7"/>
        <v>0.53889159349726201</v>
      </c>
      <c r="X45" s="12">
        <f t="shared" ca="1" si="7"/>
        <v>-2.6211265914525725</v>
      </c>
      <c r="Y45" s="12">
        <f t="shared" ca="1" si="7"/>
        <v>-0.61175545906168927</v>
      </c>
      <c r="Z45" s="12">
        <f t="shared" ca="1" si="7"/>
        <v>0.23377810118520867</v>
      </c>
      <c r="AA45" s="12">
        <f t="shared" ca="1" si="6"/>
        <v>0.52628818464298333</v>
      </c>
      <c r="AB45" s="12">
        <f t="shared" ca="1" si="6"/>
        <v>0.6677449996690662</v>
      </c>
      <c r="AC45" s="12">
        <f t="shared" ca="1" si="6"/>
        <v>0.47046457682639475</v>
      </c>
      <c r="AD45" s="12">
        <f t="shared" ca="1" si="6"/>
        <v>-3.6097404437941734</v>
      </c>
    </row>
    <row r="46" spans="1:30">
      <c r="A46" s="86"/>
      <c r="B46" s="65"/>
      <c r="C46" s="87"/>
      <c r="D46" s="87"/>
      <c r="E46" s="86"/>
      <c r="F46" s="88"/>
      <c r="G46" s="13"/>
      <c r="I46" s="13"/>
      <c r="J46" s="13"/>
      <c r="K46" s="13"/>
      <c r="L46" s="13"/>
      <c r="M46" s="13"/>
      <c r="N46" s="13"/>
      <c r="O46" s="13"/>
      <c r="P46" s="13"/>
    </row>
    <row r="47" spans="1:30">
      <c r="A47" s="86"/>
      <c r="B47" s="65"/>
      <c r="C47" s="87"/>
      <c r="D47" s="87"/>
      <c r="E47" s="86"/>
      <c r="F47" s="88"/>
      <c r="G47" s="13"/>
      <c r="I47" s="13"/>
      <c r="J47" s="13"/>
      <c r="K47" s="13"/>
      <c r="L47" s="13"/>
      <c r="M47" s="13"/>
      <c r="N47" s="13"/>
      <c r="O47" s="13"/>
      <c r="P47" s="13"/>
    </row>
    <row r="48" spans="1:30">
      <c r="A48" s="86"/>
      <c r="B48" s="65"/>
      <c r="C48" s="87"/>
      <c r="D48" s="87"/>
      <c r="E48" s="86"/>
      <c r="F48" s="88"/>
      <c r="G48" s="13"/>
      <c r="I48" s="13"/>
      <c r="J48" s="13"/>
      <c r="K48" s="13"/>
      <c r="L48" s="13"/>
      <c r="M48" s="13"/>
      <c r="N48" s="13"/>
      <c r="O48" s="13"/>
      <c r="P48" s="13"/>
    </row>
    <row r="49" spans="1:16">
      <c r="B49" s="20"/>
      <c r="C49" s="20"/>
      <c r="D49" s="20"/>
      <c r="E49" s="21"/>
      <c r="F49" s="20"/>
      <c r="G49" s="20"/>
      <c r="H49" t="s">
        <v>0</v>
      </c>
      <c r="I49" t="s">
        <v>17</v>
      </c>
      <c r="J49" t="s">
        <v>18</v>
      </c>
      <c r="K49" s="13"/>
      <c r="L49" s="13"/>
      <c r="M49" s="13"/>
      <c r="N49" s="13"/>
      <c r="O49" s="13"/>
      <c r="P49" s="13"/>
    </row>
    <row r="50" spans="1:16">
      <c r="B50" s="21"/>
      <c r="C50" s="21"/>
      <c r="D50" s="21"/>
      <c r="E50" s="21" t="s">
        <v>24</v>
      </c>
      <c r="F50" s="21"/>
      <c r="G50" s="21"/>
      <c r="H50" t="s">
        <v>14</v>
      </c>
      <c r="I50">
        <f>STDEVP(G54:G82)</f>
        <v>2.5967224081579778</v>
      </c>
      <c r="J50">
        <f ca="1">STDEVP(K52:P80)</f>
        <v>0.75554019575241371</v>
      </c>
    </row>
    <row r="51" spans="1:16">
      <c r="B51" t="s">
        <v>1</v>
      </c>
      <c r="C51">
        <f>SLOPE(B54:B82,C54:C82)</f>
        <v>0.82007073386383733</v>
      </c>
      <c r="H51" t="s">
        <v>13</v>
      </c>
      <c r="I51" s="25">
        <f>AVERAGE(G54:G82)</f>
        <v>2.7033751028994764</v>
      </c>
      <c r="J51">
        <f ca="1">AVERAGE(K52:P80)</f>
        <v>1.2252225434499304</v>
      </c>
    </row>
    <row r="52" spans="1:16">
      <c r="B52" t="s">
        <v>2</v>
      </c>
      <c r="C52">
        <f>INTERCEPT(B54:B82,C54:C82)</f>
        <v>4.3554376657824925</v>
      </c>
      <c r="H52" t="s">
        <v>16</v>
      </c>
      <c r="I52">
        <f>SUM(G54:G82)</f>
        <v>78.397877984084815</v>
      </c>
      <c r="J52">
        <f ca="1">SUM(K52:P80)</f>
        <v>213.18872256028789</v>
      </c>
      <c r="K52" s="12">
        <f t="shared" ref="K52:P80" ca="1" si="10">RAND()*$I$50</f>
        <v>0.11765186865596594</v>
      </c>
      <c r="L52" s="12">
        <f t="shared" ca="1" si="10"/>
        <v>2.0490509468638951</v>
      </c>
      <c r="M52" s="12">
        <f t="shared" ca="1" si="10"/>
        <v>1.6544969109580139</v>
      </c>
      <c r="N52" s="12">
        <f t="shared" ca="1" si="10"/>
        <v>0.27092655140740352</v>
      </c>
      <c r="O52" s="12">
        <f t="shared" ca="1" si="10"/>
        <v>2.4697231265228634</v>
      </c>
      <c r="P52" s="12">
        <f t="shared" ca="1" si="10"/>
        <v>1.4996105475391432</v>
      </c>
    </row>
    <row r="53" spans="1:16">
      <c r="B53" s="7" t="s">
        <v>39</v>
      </c>
      <c r="C53" s="8" t="s">
        <v>23</v>
      </c>
      <c r="D53" s="13"/>
      <c r="F53" s="7" t="s">
        <v>12</v>
      </c>
      <c r="G53" s="8" t="s">
        <v>0</v>
      </c>
      <c r="K53" s="12">
        <f t="shared" ca="1" si="10"/>
        <v>2.2165288653177257</v>
      </c>
      <c r="L53" s="12">
        <f t="shared" ca="1" si="10"/>
        <v>0.50641985332271044</v>
      </c>
      <c r="M53" s="12">
        <f t="shared" ca="1" si="10"/>
        <v>1.5584668073155479</v>
      </c>
      <c r="N53" s="12">
        <f t="shared" ca="1" si="10"/>
        <v>1.6159824994879883</v>
      </c>
      <c r="O53" s="12">
        <f t="shared" ca="1" si="10"/>
        <v>2.0433306350551543</v>
      </c>
      <c r="P53" s="12">
        <f t="shared" ca="1" si="10"/>
        <v>0.25717689310402303</v>
      </c>
    </row>
    <row r="54" spans="1:16">
      <c r="A54">
        <v>1</v>
      </c>
      <c r="B54" s="15">
        <v>1</v>
      </c>
      <c r="C54" s="9">
        <v>0</v>
      </c>
      <c r="D54" s="13"/>
      <c r="F54" s="14">
        <f>$C$52+C54*$C$51</f>
        <v>4.3554376657824925</v>
      </c>
      <c r="G54" s="8">
        <f>F54-B54</f>
        <v>3.3554376657824925</v>
      </c>
      <c r="K54" s="12">
        <f t="shared" ca="1" si="10"/>
        <v>0.78080908361688239</v>
      </c>
      <c r="L54" s="12">
        <f t="shared" ca="1" si="10"/>
        <v>2.225145556301229</v>
      </c>
      <c r="M54" s="12">
        <f t="shared" ca="1" si="10"/>
        <v>1.4331780864168553</v>
      </c>
      <c r="N54" s="12">
        <f t="shared" ca="1" si="10"/>
        <v>1.4845563684006129</v>
      </c>
      <c r="O54" s="12">
        <f t="shared" ca="1" si="10"/>
        <v>1.2780408108200811</v>
      </c>
      <c r="P54" s="12">
        <f t="shared" ca="1" si="10"/>
        <v>1.2129984803192568</v>
      </c>
    </row>
    <row r="55" spans="1:16">
      <c r="A55">
        <v>2</v>
      </c>
      <c r="B55" s="15"/>
      <c r="C55" s="9"/>
      <c r="D55" s="13"/>
      <c r="F55" s="14">
        <f t="shared" ref="F55:F73" si="11">$C$52+C55*$C$51</f>
        <v>4.3554376657824925</v>
      </c>
      <c r="G55" s="8">
        <f t="shared" ref="G55:G73" si="12">F55-B55</f>
        <v>4.3554376657824925</v>
      </c>
      <c r="K55" s="12">
        <f t="shared" ca="1" si="10"/>
        <v>0.4281315476009761</v>
      </c>
      <c r="L55" s="12">
        <f t="shared" ca="1" si="10"/>
        <v>2.066878160120357</v>
      </c>
      <c r="M55" s="12">
        <f t="shared" ca="1" si="10"/>
        <v>7.2792699338731809E-2</v>
      </c>
      <c r="N55" s="12">
        <f t="shared" ca="1" si="10"/>
        <v>1.370018909561441</v>
      </c>
      <c r="O55" s="12">
        <f t="shared" ca="1" si="10"/>
        <v>2.3772884363734952</v>
      </c>
      <c r="P55" s="12">
        <f t="shared" ca="1" si="10"/>
        <v>1.9684227399920391</v>
      </c>
    </row>
    <row r="56" spans="1:16">
      <c r="A56">
        <v>3</v>
      </c>
      <c r="B56" s="15"/>
      <c r="C56" s="9"/>
      <c r="D56" s="13"/>
      <c r="F56" s="14">
        <f t="shared" si="11"/>
        <v>4.3554376657824925</v>
      </c>
      <c r="G56" s="8">
        <f t="shared" si="12"/>
        <v>4.3554376657824925</v>
      </c>
      <c r="K56" s="12">
        <f t="shared" ca="1" si="10"/>
        <v>2.3284520351278943</v>
      </c>
      <c r="L56" s="12">
        <f t="shared" ca="1" si="10"/>
        <v>3.067984069318588E-2</v>
      </c>
      <c r="M56" s="12">
        <f t="shared" ca="1" si="10"/>
        <v>0.81143097757851979</v>
      </c>
      <c r="N56" s="12">
        <f t="shared" ca="1" si="10"/>
        <v>0.76337766488063419</v>
      </c>
      <c r="O56" s="12">
        <f t="shared" ca="1" si="10"/>
        <v>4.6828523614777406E-2</v>
      </c>
      <c r="P56" s="12">
        <f t="shared" ca="1" si="10"/>
        <v>2.4970034462641912</v>
      </c>
    </row>
    <row r="57" spans="1:16">
      <c r="A57">
        <v>4</v>
      </c>
      <c r="B57" s="15"/>
      <c r="C57" s="9"/>
      <c r="D57" s="13"/>
      <c r="F57" s="14">
        <f t="shared" si="11"/>
        <v>4.3554376657824925</v>
      </c>
      <c r="G57" s="8">
        <f t="shared" si="12"/>
        <v>4.3554376657824925</v>
      </c>
      <c r="K57" s="12">
        <f t="shared" ca="1" si="10"/>
        <v>0.98055840244808634</v>
      </c>
      <c r="L57" s="12">
        <f t="shared" ca="1" si="10"/>
        <v>1.6646964991792557</v>
      </c>
      <c r="M57" s="12">
        <f t="shared" ca="1" si="10"/>
        <v>1.3733822670684366</v>
      </c>
      <c r="N57" s="12">
        <f t="shared" ca="1" si="10"/>
        <v>0.70631821861238764</v>
      </c>
      <c r="O57" s="12">
        <f t="shared" ca="1" si="10"/>
        <v>0.94947224961982568</v>
      </c>
      <c r="P57" s="12">
        <f t="shared" ca="1" si="10"/>
        <v>0.56025726113652696</v>
      </c>
    </row>
    <row r="58" spans="1:16">
      <c r="A58">
        <v>5</v>
      </c>
      <c r="B58" s="15"/>
      <c r="C58" s="9"/>
      <c r="D58" s="13"/>
      <c r="F58" s="14">
        <f t="shared" si="11"/>
        <v>4.3554376657824925</v>
      </c>
      <c r="G58" s="8">
        <f t="shared" si="12"/>
        <v>4.3554376657824925</v>
      </c>
      <c r="K58" s="12">
        <f t="shared" ca="1" si="10"/>
        <v>1.0808903323709602</v>
      </c>
      <c r="L58" s="12">
        <f t="shared" ca="1" si="10"/>
        <v>1.2357447349423847</v>
      </c>
      <c r="M58" s="12">
        <f t="shared" ca="1" si="10"/>
        <v>0.80558755481631372</v>
      </c>
      <c r="N58" s="12">
        <f t="shared" ca="1" si="10"/>
        <v>2.2469721806832883</v>
      </c>
      <c r="O58" s="12">
        <f t="shared" ca="1" si="10"/>
        <v>1.9383390907108651</v>
      </c>
      <c r="P58" s="12">
        <f t="shared" ca="1" si="10"/>
        <v>2.3174058980623533</v>
      </c>
    </row>
    <row r="59" spans="1:16">
      <c r="A59">
        <v>6</v>
      </c>
      <c r="B59" s="15"/>
      <c r="C59" s="9"/>
      <c r="D59" s="13"/>
      <c r="F59" s="14">
        <f t="shared" si="11"/>
        <v>4.3554376657824925</v>
      </c>
      <c r="G59" s="8">
        <f t="shared" si="12"/>
        <v>4.3554376657824925</v>
      </c>
      <c r="K59" s="12">
        <f t="shared" ca="1" si="10"/>
        <v>1.3911504669408965</v>
      </c>
      <c r="L59" s="12">
        <f t="shared" ca="1" si="10"/>
        <v>0.59951588116017807</v>
      </c>
      <c r="M59" s="12">
        <f t="shared" ca="1" si="10"/>
        <v>0.29267855789588554</v>
      </c>
      <c r="N59" s="12">
        <f t="shared" ca="1" si="10"/>
        <v>0.4454978041393538</v>
      </c>
      <c r="O59" s="12">
        <f t="shared" ca="1" si="10"/>
        <v>0.90278610126365699</v>
      </c>
      <c r="P59" s="12">
        <f t="shared" ca="1" si="10"/>
        <v>2.2511906766678251</v>
      </c>
    </row>
    <row r="60" spans="1:16">
      <c r="A60">
        <v>7</v>
      </c>
      <c r="B60" s="15"/>
      <c r="C60" s="9"/>
      <c r="D60" s="13"/>
      <c r="F60" s="14">
        <f t="shared" si="11"/>
        <v>4.3554376657824925</v>
      </c>
      <c r="G60" s="8">
        <f t="shared" si="12"/>
        <v>4.3554376657824925</v>
      </c>
      <c r="K60" s="12">
        <f t="shared" ca="1" si="10"/>
        <v>0.6999760814244379</v>
      </c>
      <c r="L60" s="12">
        <f t="shared" ca="1" si="10"/>
        <v>1.8703357698051848</v>
      </c>
      <c r="M60" s="12">
        <f t="shared" ca="1" si="10"/>
        <v>0.52969725438424597</v>
      </c>
      <c r="N60" s="12">
        <f t="shared" ca="1" si="10"/>
        <v>0.3250216249454862</v>
      </c>
      <c r="O60" s="12">
        <f t="shared" ca="1" si="10"/>
        <v>1.7957501359526711</v>
      </c>
      <c r="P60" s="12">
        <f t="shared" ca="1" si="10"/>
        <v>1.5504834711948186</v>
      </c>
    </row>
    <row r="61" spans="1:16">
      <c r="A61">
        <v>8</v>
      </c>
      <c r="B61" s="15"/>
      <c r="C61" s="9"/>
      <c r="D61" s="13"/>
      <c r="F61" s="14">
        <f t="shared" si="11"/>
        <v>4.3554376657824925</v>
      </c>
      <c r="G61" s="8">
        <f t="shared" si="12"/>
        <v>4.3554376657824925</v>
      </c>
      <c r="K61" s="12">
        <f t="shared" ca="1" si="10"/>
        <v>0.87583652909962295</v>
      </c>
      <c r="L61" s="12">
        <f t="shared" ca="1" si="10"/>
        <v>1.2212160453476266</v>
      </c>
      <c r="M61" s="12">
        <f t="shared" ca="1" si="10"/>
        <v>0.13472418207447073</v>
      </c>
      <c r="N61" s="12">
        <f t="shared" ca="1" si="10"/>
        <v>1.7570697388672931</v>
      </c>
      <c r="O61" s="12">
        <f t="shared" ca="1" si="10"/>
        <v>0.20487181012449049</v>
      </c>
      <c r="P61" s="12">
        <f t="shared" ca="1" si="10"/>
        <v>1.4418231083231812</v>
      </c>
    </row>
    <row r="62" spans="1:16">
      <c r="A62">
        <v>9</v>
      </c>
      <c r="B62" s="15"/>
      <c r="C62" s="9"/>
      <c r="D62" s="13"/>
      <c r="F62" s="14">
        <f t="shared" si="11"/>
        <v>4.3554376657824925</v>
      </c>
      <c r="G62" s="8">
        <f t="shared" si="12"/>
        <v>4.3554376657824925</v>
      </c>
      <c r="K62" s="12">
        <f t="shared" ca="1" si="10"/>
        <v>1.2204021633929982</v>
      </c>
      <c r="L62" s="12">
        <f t="shared" ca="1" si="10"/>
        <v>1.7743750408659489</v>
      </c>
      <c r="M62" s="12">
        <f t="shared" ca="1" si="10"/>
        <v>0.66635202483610412</v>
      </c>
      <c r="N62" s="12">
        <f t="shared" ca="1" si="10"/>
        <v>3.9271079232509443E-2</v>
      </c>
      <c r="O62" s="12">
        <f t="shared" ca="1" si="10"/>
        <v>1.1112997784010867</v>
      </c>
      <c r="P62" s="12">
        <f t="shared" ca="1" si="10"/>
        <v>0.16128709703560251</v>
      </c>
    </row>
    <row r="63" spans="1:16">
      <c r="A63">
        <v>10</v>
      </c>
      <c r="B63" s="15"/>
      <c r="C63" s="9"/>
      <c r="D63" s="13"/>
      <c r="F63" s="14">
        <f t="shared" si="11"/>
        <v>4.3554376657824925</v>
      </c>
      <c r="G63" s="8">
        <f t="shared" si="12"/>
        <v>4.3554376657824925</v>
      </c>
      <c r="K63" s="12">
        <f t="shared" ca="1" si="10"/>
        <v>1.3035247132516552</v>
      </c>
      <c r="L63" s="12">
        <f t="shared" ca="1" si="10"/>
        <v>2.0172861098602004</v>
      </c>
      <c r="M63" s="12">
        <f t="shared" ca="1" si="10"/>
        <v>0.76221970146795426</v>
      </c>
      <c r="N63" s="12">
        <f t="shared" ca="1" si="10"/>
        <v>0.49591119446938542</v>
      </c>
      <c r="O63" s="12">
        <f t="shared" ca="1" si="10"/>
        <v>0.42585810730426288</v>
      </c>
      <c r="P63" s="12">
        <f t="shared" ca="1" si="10"/>
        <v>2.5758690235720212</v>
      </c>
    </row>
    <row r="64" spans="1:16">
      <c r="A64">
        <v>11</v>
      </c>
      <c r="B64" s="15"/>
      <c r="C64" s="9"/>
      <c r="D64" s="13"/>
      <c r="F64" s="14">
        <f t="shared" si="11"/>
        <v>4.3554376657824925</v>
      </c>
      <c r="G64" s="8">
        <f t="shared" si="12"/>
        <v>4.3554376657824925</v>
      </c>
      <c r="K64" s="12">
        <f t="shared" ca="1" si="10"/>
        <v>2.3417864741689516</v>
      </c>
      <c r="L64" s="12">
        <f t="shared" ca="1" si="10"/>
        <v>1.5885989384819921</v>
      </c>
      <c r="M64" s="12">
        <f t="shared" ca="1" si="10"/>
        <v>1.7454382580546388</v>
      </c>
      <c r="N64" s="12">
        <f t="shared" ca="1" si="10"/>
        <v>0.23050321565428553</v>
      </c>
      <c r="O64" s="12">
        <f t="shared" ca="1" si="10"/>
        <v>0.10224088407267704</v>
      </c>
      <c r="P64" s="12">
        <f t="shared" ca="1" si="10"/>
        <v>2.5152673016690117</v>
      </c>
    </row>
    <row r="65" spans="1:16">
      <c r="A65">
        <v>12</v>
      </c>
      <c r="B65" s="15"/>
      <c r="C65" s="9"/>
      <c r="D65" s="13"/>
      <c r="F65" s="14">
        <f t="shared" si="11"/>
        <v>4.3554376657824925</v>
      </c>
      <c r="G65" s="8">
        <f t="shared" si="12"/>
        <v>4.3554376657824925</v>
      </c>
      <c r="K65" s="12">
        <f t="shared" ca="1" si="10"/>
        <v>1.8279447119628027</v>
      </c>
      <c r="L65" s="12">
        <f t="shared" ca="1" si="10"/>
        <v>0.81838995329773656</v>
      </c>
      <c r="M65" s="12">
        <f t="shared" ca="1" si="10"/>
        <v>2.2904210204734463</v>
      </c>
      <c r="N65" s="12">
        <f t="shared" ca="1" si="10"/>
        <v>1.2157194859277938</v>
      </c>
      <c r="O65" s="12">
        <f t="shared" ca="1" si="10"/>
        <v>0.51093767444864058</v>
      </c>
      <c r="P65" s="12">
        <f t="shared" ca="1" si="10"/>
        <v>1.2006237275031211</v>
      </c>
    </row>
    <row r="66" spans="1:16">
      <c r="A66">
        <v>13</v>
      </c>
      <c r="B66" s="15"/>
      <c r="C66" s="9"/>
      <c r="D66" s="13"/>
      <c r="F66" s="14">
        <f t="shared" si="11"/>
        <v>4.3554376657824925</v>
      </c>
      <c r="G66" s="8">
        <f t="shared" si="12"/>
        <v>4.3554376657824925</v>
      </c>
      <c r="K66" s="12">
        <f t="shared" ca="1" si="10"/>
        <v>1.2652787073234129</v>
      </c>
      <c r="L66" s="12">
        <f t="shared" ca="1" si="10"/>
        <v>1.4945421813036057</v>
      </c>
      <c r="M66" s="12">
        <f t="shared" ca="1" si="10"/>
        <v>0.66267011735492232</v>
      </c>
      <c r="N66" s="12">
        <f t="shared" ca="1" si="10"/>
        <v>1.7393104734790739</v>
      </c>
      <c r="O66" s="12">
        <f t="shared" ca="1" si="10"/>
        <v>1.3067377515527836</v>
      </c>
      <c r="P66" s="12">
        <f t="shared" ca="1" si="10"/>
        <v>1.3173161353822054</v>
      </c>
    </row>
    <row r="67" spans="1:16">
      <c r="A67">
        <v>14</v>
      </c>
      <c r="B67" s="15"/>
      <c r="C67" s="9"/>
      <c r="D67" s="13"/>
      <c r="F67" s="14">
        <f t="shared" si="11"/>
        <v>4.3554376657824925</v>
      </c>
      <c r="G67" s="8">
        <f t="shared" si="12"/>
        <v>4.3554376657824925</v>
      </c>
      <c r="K67" s="12">
        <f t="shared" ca="1" si="10"/>
        <v>0.36293826441049232</v>
      </c>
      <c r="L67" s="12">
        <f t="shared" ca="1" si="10"/>
        <v>1.173384255245765</v>
      </c>
      <c r="M67" s="12">
        <f t="shared" ca="1" si="10"/>
        <v>2.121021526936981</v>
      </c>
      <c r="N67" s="12">
        <f t="shared" ca="1" si="10"/>
        <v>0.691813112917671</v>
      </c>
      <c r="O67" s="12">
        <f t="shared" ca="1" si="10"/>
        <v>0.7761511267552651</v>
      </c>
      <c r="P67" s="12">
        <f t="shared" ca="1" si="10"/>
        <v>1.4569077954823111</v>
      </c>
    </row>
    <row r="68" spans="1:16">
      <c r="A68">
        <v>15</v>
      </c>
      <c r="B68" s="15"/>
      <c r="C68" s="9"/>
      <c r="D68" s="13"/>
      <c r="F68" s="14">
        <f t="shared" si="11"/>
        <v>4.3554376657824925</v>
      </c>
      <c r="G68" s="8">
        <f t="shared" si="12"/>
        <v>4.3554376657824925</v>
      </c>
      <c r="K68" s="12">
        <f t="shared" ca="1" si="10"/>
        <v>1.2199975482796577</v>
      </c>
      <c r="L68" s="12">
        <f t="shared" ca="1" si="10"/>
        <v>1.9287511328320437</v>
      </c>
      <c r="M68" s="12">
        <f t="shared" ca="1" si="10"/>
        <v>1.5610025791860738</v>
      </c>
      <c r="N68" s="12">
        <f t="shared" ca="1" si="10"/>
        <v>0.42952833914232325</v>
      </c>
      <c r="O68" s="12">
        <f t="shared" ca="1" si="10"/>
        <v>2.5499466189619082</v>
      </c>
      <c r="P68" s="12">
        <f t="shared" ca="1" si="10"/>
        <v>1.6121451883944722</v>
      </c>
    </row>
    <row r="69" spans="1:16">
      <c r="A69">
        <v>16</v>
      </c>
      <c r="B69" s="15"/>
      <c r="C69" s="9"/>
      <c r="D69" s="13"/>
      <c r="F69" s="14">
        <f t="shared" si="11"/>
        <v>4.3554376657824925</v>
      </c>
      <c r="G69" s="8">
        <f t="shared" si="12"/>
        <v>4.3554376657824925</v>
      </c>
      <c r="K69" s="12">
        <f t="shared" ca="1" si="10"/>
        <v>1.3836087040579492</v>
      </c>
      <c r="L69" s="12">
        <f t="shared" ca="1" si="10"/>
        <v>2.4142781961731426E-2</v>
      </c>
      <c r="M69" s="12">
        <f t="shared" ca="1" si="10"/>
        <v>2.4909114480308023</v>
      </c>
      <c r="N69" s="12">
        <f t="shared" ca="1" si="10"/>
        <v>1.2088990604154253</v>
      </c>
      <c r="O69" s="12">
        <f t="shared" ca="1" si="10"/>
        <v>2.1663595780936498</v>
      </c>
      <c r="P69" s="12">
        <f t="shared" ca="1" si="10"/>
        <v>1.5000674672811261</v>
      </c>
    </row>
    <row r="70" spans="1:16">
      <c r="A70">
        <v>17</v>
      </c>
      <c r="B70" s="15"/>
      <c r="C70" s="9"/>
      <c r="D70" s="13"/>
      <c r="F70" s="14">
        <f t="shared" si="11"/>
        <v>4.3554376657824925</v>
      </c>
      <c r="G70" s="8">
        <f t="shared" si="12"/>
        <v>4.3554376657824925</v>
      </c>
      <c r="K70" s="12">
        <f t="shared" ca="1" si="10"/>
        <v>0.6107871026905175</v>
      </c>
      <c r="L70" s="12">
        <f t="shared" ca="1" si="10"/>
        <v>1.8586681182355549</v>
      </c>
      <c r="M70" s="12">
        <f t="shared" ca="1" si="10"/>
        <v>2.4353359633186238</v>
      </c>
      <c r="N70" s="12">
        <f t="shared" ca="1" si="10"/>
        <v>0.20812703778627648</v>
      </c>
      <c r="O70" s="12">
        <f t="shared" ca="1" si="10"/>
        <v>1.6074915330724127</v>
      </c>
      <c r="P70" s="12">
        <f t="shared" ca="1" si="10"/>
        <v>2.4895986119700209</v>
      </c>
    </row>
    <row r="71" spans="1:16">
      <c r="A71">
        <v>18</v>
      </c>
      <c r="B71" s="15"/>
      <c r="C71" s="9"/>
      <c r="D71" s="13"/>
      <c r="F71" s="14">
        <f t="shared" si="11"/>
        <v>4.3554376657824925</v>
      </c>
      <c r="G71" s="8">
        <f t="shared" si="12"/>
        <v>4.3554376657824925</v>
      </c>
      <c r="K71" s="12">
        <f t="shared" ca="1" si="10"/>
        <v>1.9064030817747317</v>
      </c>
      <c r="L71" s="12">
        <f t="shared" ca="1" si="10"/>
        <v>0.32159828746927915</v>
      </c>
      <c r="M71" s="12">
        <f t="shared" ca="1" si="10"/>
        <v>1.8493596736927633</v>
      </c>
      <c r="N71" s="12">
        <f t="shared" ca="1" si="10"/>
        <v>0.57208024304065197</v>
      </c>
      <c r="O71" s="12">
        <f t="shared" ca="1" si="10"/>
        <v>1.8937616113450286</v>
      </c>
      <c r="P71" s="12">
        <f t="shared" ca="1" si="10"/>
        <v>0.39155915254104828</v>
      </c>
    </row>
    <row r="72" spans="1:16">
      <c r="A72">
        <v>19</v>
      </c>
      <c r="B72" s="15"/>
      <c r="C72" s="9"/>
      <c r="D72" s="13"/>
      <c r="F72" s="14">
        <f t="shared" si="11"/>
        <v>4.3554376657824925</v>
      </c>
      <c r="G72" s="8">
        <f t="shared" si="12"/>
        <v>4.3554376657824925</v>
      </c>
      <c r="K72" s="12">
        <f t="shared" ca="1" si="10"/>
        <v>1.1912571488561623</v>
      </c>
      <c r="L72" s="12">
        <f t="shared" ca="1" si="10"/>
        <v>1.8261016781175323</v>
      </c>
      <c r="M72" s="12">
        <f t="shared" ca="1" si="10"/>
        <v>1.0499176911127546</v>
      </c>
      <c r="N72" s="12">
        <f t="shared" ca="1" si="10"/>
        <v>2.4967808435469534</v>
      </c>
      <c r="O72" s="12">
        <f t="shared" ca="1" si="10"/>
        <v>2.5730104078174234</v>
      </c>
      <c r="P72" s="12">
        <f t="shared" ca="1" si="10"/>
        <v>1.0264016405590366</v>
      </c>
    </row>
    <row r="73" spans="1:16" ht="15.75" customHeight="1">
      <c r="A73">
        <v>20</v>
      </c>
      <c r="B73" s="15">
        <v>7</v>
      </c>
      <c r="C73" s="9">
        <f>B54</f>
        <v>1</v>
      </c>
      <c r="D73" s="13"/>
      <c r="F73" s="14">
        <f t="shared" si="11"/>
        <v>5.17550839964633</v>
      </c>
      <c r="G73" s="8">
        <f t="shared" si="12"/>
        <v>-1.82449160035367</v>
      </c>
      <c r="K73" s="12">
        <f t="shared" ca="1" si="10"/>
        <v>9.2411103951790807E-2</v>
      </c>
      <c r="L73" s="12">
        <f t="shared" ca="1" si="10"/>
        <v>0.75187802976899476</v>
      </c>
      <c r="M73" s="12">
        <f t="shared" ca="1" si="10"/>
        <v>2.3243468944158283</v>
      </c>
      <c r="N73" s="12">
        <f t="shared" ca="1" si="10"/>
        <v>2.510281441662678</v>
      </c>
      <c r="O73" s="12">
        <f t="shared" ca="1" si="10"/>
        <v>0.30613875337617613</v>
      </c>
      <c r="P73" s="12">
        <f t="shared" ca="1" si="10"/>
        <v>5.8426719032787316E-2</v>
      </c>
    </row>
    <row r="74" spans="1:16">
      <c r="A74">
        <v>21</v>
      </c>
      <c r="B74" s="15">
        <f t="shared" ref="B74" si="13">2*C74</f>
        <v>14</v>
      </c>
      <c r="C74" s="9">
        <f t="shared" ref="C74:C82" si="14">B73</f>
        <v>7</v>
      </c>
      <c r="D74" s="13"/>
      <c r="F74" s="14">
        <f t="shared" ref="F74:F82" si="15">$C$52+C74*$C$51</f>
        <v>10.095932802829353</v>
      </c>
      <c r="G74" s="9">
        <f t="shared" ref="G74:G82" si="16">F74-B74</f>
        <v>-3.9040671971706473</v>
      </c>
      <c r="K74" s="12">
        <f t="shared" ca="1" si="10"/>
        <v>0.52911873639645002</v>
      </c>
      <c r="L74" s="12">
        <f t="shared" ca="1" si="10"/>
        <v>1.6532329827627641</v>
      </c>
      <c r="M74" s="12">
        <f t="shared" ca="1" si="10"/>
        <v>0.16680732276347141</v>
      </c>
      <c r="N74" s="12">
        <f t="shared" ca="1" si="10"/>
        <v>1.0749750353041925</v>
      </c>
      <c r="O74" s="12">
        <f t="shared" ca="1" si="10"/>
        <v>1.4843700773829813</v>
      </c>
      <c r="P74" s="12">
        <f t="shared" ca="1" si="10"/>
        <v>0.69677950361941854</v>
      </c>
    </row>
    <row r="75" spans="1:16">
      <c r="A75">
        <v>22</v>
      </c>
      <c r="B75" s="15">
        <v>11</v>
      </c>
      <c r="C75" s="9">
        <f t="shared" si="14"/>
        <v>14</v>
      </c>
      <c r="D75" s="13"/>
      <c r="F75" s="14">
        <f t="shared" si="15"/>
        <v>15.836427939876215</v>
      </c>
      <c r="G75" s="9">
        <f t="shared" si="16"/>
        <v>4.8364279398762147</v>
      </c>
      <c r="K75" s="12">
        <f t="shared" ca="1" si="10"/>
        <v>1.5089662621588853</v>
      </c>
      <c r="L75" s="12">
        <f t="shared" ca="1" si="10"/>
        <v>1.1519174011973525</v>
      </c>
      <c r="M75" s="12">
        <f t="shared" ca="1" si="10"/>
        <v>0.29219703443407097</v>
      </c>
      <c r="N75" s="12">
        <f t="shared" ca="1" si="10"/>
        <v>1.6283226842203027</v>
      </c>
      <c r="O75" s="12">
        <f t="shared" ca="1" si="10"/>
        <v>2.2962989102675526</v>
      </c>
      <c r="P75" s="12">
        <f t="shared" ca="1" si="10"/>
        <v>0.1065611507230477</v>
      </c>
    </row>
    <row r="76" spans="1:16">
      <c r="A76">
        <v>23</v>
      </c>
      <c r="B76" s="15">
        <v>13</v>
      </c>
      <c r="C76" s="9">
        <f t="shared" si="14"/>
        <v>11</v>
      </c>
      <c r="D76" s="13"/>
      <c r="F76" s="14">
        <f t="shared" si="15"/>
        <v>13.376215738284703</v>
      </c>
      <c r="G76" s="9">
        <f t="shared" si="16"/>
        <v>0.37621573828470289</v>
      </c>
      <c r="K76" s="12">
        <f t="shared" ca="1" si="10"/>
        <v>0.61399743226615322</v>
      </c>
      <c r="L76" s="12">
        <f t="shared" ca="1" si="10"/>
        <v>2.3094947219151871</v>
      </c>
      <c r="M76" s="12">
        <f t="shared" ca="1" si="10"/>
        <v>0.28409124492304488</v>
      </c>
      <c r="N76" s="12">
        <f t="shared" ca="1" si="10"/>
        <v>1.1065113096534458</v>
      </c>
      <c r="O76" s="12">
        <f t="shared" ca="1" si="10"/>
        <v>0.38184883730833979</v>
      </c>
      <c r="P76" s="12">
        <f t="shared" ca="1" si="10"/>
        <v>0.25175815311803673</v>
      </c>
    </row>
    <row r="77" spans="1:16">
      <c r="A77">
        <v>24</v>
      </c>
      <c r="B77" s="15">
        <v>15</v>
      </c>
      <c r="C77" s="9">
        <f t="shared" si="14"/>
        <v>13</v>
      </c>
      <c r="D77" s="13"/>
      <c r="F77" s="14">
        <f t="shared" si="15"/>
        <v>15.016357206012378</v>
      </c>
      <c r="G77" s="9">
        <f t="shared" si="16"/>
        <v>1.6357206012378001E-2</v>
      </c>
      <c r="K77" s="12">
        <f t="shared" ca="1" si="10"/>
        <v>0.81300939005067729</v>
      </c>
      <c r="L77" s="12">
        <f t="shared" ca="1" si="10"/>
        <v>1.8946556335650797</v>
      </c>
      <c r="M77" s="12">
        <f t="shared" ca="1" si="10"/>
        <v>0.15791989508793119</v>
      </c>
      <c r="N77" s="12">
        <f t="shared" ca="1" si="10"/>
        <v>1.5744197352338145</v>
      </c>
      <c r="O77" s="12">
        <f t="shared" ca="1" si="10"/>
        <v>1.0230037824141147</v>
      </c>
      <c r="P77" s="12">
        <f t="shared" ca="1" si="10"/>
        <v>2.5907087933728978</v>
      </c>
    </row>
    <row r="78" spans="1:16">
      <c r="A78">
        <v>25</v>
      </c>
      <c r="B78" s="15">
        <v>18</v>
      </c>
      <c r="C78" s="9">
        <f t="shared" si="14"/>
        <v>15</v>
      </c>
      <c r="D78" s="13"/>
      <c r="F78" s="14">
        <f t="shared" si="15"/>
        <v>16.656498673740053</v>
      </c>
      <c r="G78" s="9">
        <f t="shared" si="16"/>
        <v>-1.3435013262599469</v>
      </c>
      <c r="K78" s="12">
        <f t="shared" ca="1" si="10"/>
        <v>1.6149274760844725</v>
      </c>
      <c r="L78" s="12">
        <f t="shared" ca="1" si="10"/>
        <v>0.9464823386132426</v>
      </c>
      <c r="M78" s="12">
        <f t="shared" ca="1" si="10"/>
        <v>0.76120033369892881</v>
      </c>
      <c r="N78" s="12">
        <f t="shared" ca="1" si="10"/>
        <v>0.25676361810428483</v>
      </c>
      <c r="O78" s="12">
        <f t="shared" ca="1" si="10"/>
        <v>1.4733107345568806</v>
      </c>
      <c r="P78" s="12">
        <f t="shared" ca="1" si="10"/>
        <v>1.6984901777811001</v>
      </c>
    </row>
    <row r="79" spans="1:16">
      <c r="A79">
        <v>26</v>
      </c>
      <c r="B79" s="15">
        <v>20</v>
      </c>
      <c r="C79" s="9">
        <f t="shared" si="14"/>
        <v>18</v>
      </c>
      <c r="D79" s="13"/>
      <c r="F79" s="14">
        <f t="shared" si="15"/>
        <v>19.116710875331563</v>
      </c>
      <c r="G79" s="9">
        <f t="shared" si="16"/>
        <v>-0.8832891246684369</v>
      </c>
      <c r="K79" s="12">
        <f t="shared" ca="1" si="10"/>
        <v>4.8086133564147676E-2</v>
      </c>
      <c r="L79" s="12">
        <f t="shared" ca="1" si="10"/>
        <v>0.60113984342360438</v>
      </c>
      <c r="M79" s="12">
        <f t="shared" ca="1" si="10"/>
        <v>2.2886327998119986</v>
      </c>
      <c r="N79" s="12">
        <f t="shared" ca="1" si="10"/>
        <v>7.2549285236445119E-2</v>
      </c>
      <c r="O79" s="12">
        <f t="shared" ca="1" si="10"/>
        <v>0.87360388073975082</v>
      </c>
      <c r="P79" s="12">
        <f t="shared" ca="1" si="10"/>
        <v>1.7175025789285874</v>
      </c>
    </row>
    <row r="80" spans="1:16">
      <c r="A80">
        <v>27</v>
      </c>
      <c r="B80" s="15">
        <v>21</v>
      </c>
      <c r="C80" s="9">
        <f t="shared" si="14"/>
        <v>20</v>
      </c>
      <c r="D80" s="13"/>
      <c r="F80" s="14">
        <f t="shared" si="15"/>
        <v>20.75685234305924</v>
      </c>
      <c r="G80" s="9">
        <f t="shared" si="16"/>
        <v>-0.24314765694076002</v>
      </c>
      <c r="K80" s="12">
        <f t="shared" ca="1" si="10"/>
        <v>0.12284341051867537</v>
      </c>
      <c r="L80" s="12">
        <f t="shared" ca="1" si="10"/>
        <v>0.59796385833310972</v>
      </c>
      <c r="M80" s="12">
        <f t="shared" ca="1" si="10"/>
        <v>2.5394758940707702</v>
      </c>
      <c r="N80" s="12">
        <f t="shared" ca="1" si="10"/>
        <v>1.6711753266932883</v>
      </c>
      <c r="O80" s="12">
        <f t="shared" ca="1" si="10"/>
        <v>1.918891802317525</v>
      </c>
      <c r="P80" s="12">
        <f t="shared" ca="1" si="10"/>
        <v>1.0733858924965893</v>
      </c>
    </row>
    <row r="81" spans="1:17">
      <c r="A81">
        <v>28</v>
      </c>
      <c r="B81" s="15">
        <v>24</v>
      </c>
      <c r="C81" s="9">
        <f t="shared" si="14"/>
        <v>21</v>
      </c>
      <c r="D81" s="13"/>
      <c r="F81" s="14">
        <f t="shared" si="15"/>
        <v>21.576923076923077</v>
      </c>
      <c r="G81" s="9">
        <f t="shared" si="16"/>
        <v>-2.4230769230769234</v>
      </c>
    </row>
    <row r="82" spans="1:17">
      <c r="A82">
        <v>29</v>
      </c>
      <c r="B82" s="16">
        <v>22</v>
      </c>
      <c r="C82" s="9">
        <f t="shared" si="14"/>
        <v>24</v>
      </c>
      <c r="D82" s="13"/>
      <c r="F82" s="14">
        <f t="shared" si="15"/>
        <v>24.037135278514587</v>
      </c>
      <c r="G82" s="11">
        <f t="shared" si="16"/>
        <v>2.0371352785145866</v>
      </c>
    </row>
    <row r="84" spans="1:17">
      <c r="H84" s="7" t="s">
        <v>0</v>
      </c>
      <c r="I84" s="8" t="s">
        <v>17</v>
      </c>
    </row>
    <row r="85" spans="1:17">
      <c r="B85" s="21"/>
      <c r="C85" s="21"/>
      <c r="D85" s="21"/>
      <c r="E85" s="21" t="s">
        <v>30</v>
      </c>
      <c r="F85" s="21"/>
      <c r="G85" s="21"/>
      <c r="H85" s="22" t="s">
        <v>14</v>
      </c>
      <c r="I85" s="9">
        <f>STDEVP(G105:G128)</f>
        <v>9.5972244614045774</v>
      </c>
    </row>
    <row r="86" spans="1:17">
      <c r="B86" t="s">
        <v>1</v>
      </c>
      <c r="C86">
        <f>SLOPE(B106:B128,C106:C128)</f>
        <v>0.19288128493666259</v>
      </c>
      <c r="H86" s="22" t="s">
        <v>13</v>
      </c>
      <c r="I86" s="9">
        <f>AVERAGE(G105:G117)</f>
        <v>-1.4184206921090026</v>
      </c>
    </row>
    <row r="87" spans="1:17">
      <c r="B87" t="s">
        <v>2</v>
      </c>
      <c r="C87">
        <f>INTERCEPT(B106:B128,C106:C128)</f>
        <v>28.820755684338621</v>
      </c>
      <c r="H87" s="22" t="s">
        <v>16</v>
      </c>
      <c r="I87" s="9">
        <f>SUM(G105:G117)</f>
        <v>-18.439468997417034</v>
      </c>
    </row>
    <row r="88" spans="1:17">
      <c r="B88" s="7" t="s">
        <v>25</v>
      </c>
      <c r="C88" s="8" t="s">
        <v>26</v>
      </c>
      <c r="D88" s="13" t="s">
        <v>19</v>
      </c>
      <c r="F88" s="7" t="s">
        <v>12</v>
      </c>
      <c r="G88" s="18" t="s">
        <v>0</v>
      </c>
      <c r="H88" s="22"/>
      <c r="L88" s="12">
        <f t="shared" ref="L88:Q117" ca="1" si="17">RAND()*$I$85</f>
        <v>6.684740562658229</v>
      </c>
      <c r="M88" s="12">
        <f t="shared" ca="1" si="17"/>
        <v>2.668619827240664</v>
      </c>
      <c r="N88" s="12">
        <f t="shared" ca="1" si="17"/>
        <v>1.9580931579429779</v>
      </c>
      <c r="O88" s="12">
        <f t="shared" ca="1" si="17"/>
        <v>1.1421113549608621</v>
      </c>
      <c r="P88" s="12">
        <f t="shared" ca="1" si="17"/>
        <v>4.1665550353892868</v>
      </c>
      <c r="Q88" s="12">
        <f t="shared" ca="1" si="17"/>
        <v>3.3204330845328007</v>
      </c>
    </row>
    <row r="89" spans="1:17">
      <c r="A89">
        <f>A6</f>
        <v>1</v>
      </c>
      <c r="B89" s="15" t="str">
        <f t="array" ref="B89:B128">TRANSPOSE(Input!B13:AO13)</f>
        <v/>
      </c>
      <c r="C89" s="9"/>
      <c r="D89" s="85">
        <f>D6</f>
        <v>38890</v>
      </c>
      <c r="F89" s="14"/>
      <c r="G89" s="18"/>
      <c r="H89" s="9" t="s">
        <v>27</v>
      </c>
      <c r="I89" s="11">
        <f>CORREL(G105:G128,G59:G82)</f>
        <v>3.2114157904003536E-2</v>
      </c>
      <c r="L89" s="12">
        <f t="shared" ca="1" si="17"/>
        <v>6.3363038902852882</v>
      </c>
      <c r="M89" s="12">
        <f t="shared" ca="1" si="17"/>
        <v>4.1046428855025257</v>
      </c>
      <c r="N89" s="12">
        <f t="shared" ca="1" si="17"/>
        <v>4.8615840212448829</v>
      </c>
      <c r="O89" s="12">
        <f t="shared" ca="1" si="17"/>
        <v>1.9544570731436854</v>
      </c>
      <c r="P89" s="12">
        <f t="shared" ca="1" si="17"/>
        <v>4.5258680791894577</v>
      </c>
      <c r="Q89" s="12">
        <f t="shared" ca="1" si="17"/>
        <v>2.2664858257260776</v>
      </c>
    </row>
    <row r="90" spans="1:17">
      <c r="A90">
        <f t="shared" ref="A90:A127" si="18">A7</f>
        <v>2</v>
      </c>
      <c r="B90" s="15" t="str">
        <v/>
      </c>
      <c r="C90" s="9" t="str">
        <f>B89</f>
        <v/>
      </c>
      <c r="D90" s="85">
        <f t="shared" ref="D90:D128" si="19">D7</f>
        <v>38481</v>
      </c>
      <c r="F90" s="14" t="e">
        <f t="shared" ref="F90:F128" si="20">$C$87+B90*$C$86</f>
        <v>#VALUE!</v>
      </c>
      <c r="G90" s="18" t="e">
        <f t="shared" ref="G90:G128" si="21">F90-B90</f>
        <v>#VALUE!</v>
      </c>
      <c r="H90" s="13"/>
      <c r="I90" s="13"/>
      <c r="L90" s="12">
        <f t="shared" ca="1" si="17"/>
        <v>0.92234900105771245</v>
      </c>
      <c r="M90" s="12">
        <f t="shared" ca="1" si="17"/>
        <v>4.8606433495797008</v>
      </c>
      <c r="N90" s="12">
        <f t="shared" ca="1" si="17"/>
        <v>1.5438940960121177</v>
      </c>
      <c r="O90" s="12">
        <f t="shared" ca="1" si="17"/>
        <v>5.7983784163315288</v>
      </c>
      <c r="P90" s="12">
        <f t="shared" ca="1" si="17"/>
        <v>8.4456206919681627</v>
      </c>
      <c r="Q90" s="12">
        <f t="shared" ca="1" si="17"/>
        <v>7.9087325750556241</v>
      </c>
    </row>
    <row r="91" spans="1:17">
      <c r="A91">
        <f t="shared" si="18"/>
        <v>3</v>
      </c>
      <c r="B91" s="15" t="str">
        <v/>
      </c>
      <c r="C91" s="9" t="str">
        <f t="shared" ref="C91:C128" si="22">B90</f>
        <v/>
      </c>
      <c r="D91" s="85">
        <f t="shared" si="19"/>
        <v>38989</v>
      </c>
      <c r="F91" s="14" t="e">
        <f t="shared" si="20"/>
        <v>#VALUE!</v>
      </c>
      <c r="G91" s="18" t="e">
        <f t="shared" si="21"/>
        <v>#VALUE!</v>
      </c>
      <c r="H91" s="13"/>
      <c r="I91" s="13"/>
      <c r="L91" s="12">
        <f t="shared" ca="1" si="17"/>
        <v>7.2329782290941766</v>
      </c>
      <c r="M91" s="12">
        <f t="shared" ca="1" si="17"/>
        <v>5.1129710483859405</v>
      </c>
      <c r="N91" s="12">
        <f t="shared" ca="1" si="17"/>
        <v>1.6751176407099808</v>
      </c>
      <c r="O91" s="12">
        <f t="shared" ca="1" si="17"/>
        <v>2.1074551936836028</v>
      </c>
      <c r="P91" s="12">
        <f t="shared" ca="1" si="17"/>
        <v>8.3520387453506721</v>
      </c>
      <c r="Q91" s="12">
        <f t="shared" ca="1" si="17"/>
        <v>9.3956950198472349</v>
      </c>
    </row>
    <row r="92" spans="1:17">
      <c r="A92">
        <f t="shared" si="18"/>
        <v>4</v>
      </c>
      <c r="B92" s="15" t="str">
        <v/>
      </c>
      <c r="C92" s="9" t="str">
        <f t="shared" si="22"/>
        <v/>
      </c>
      <c r="D92" s="85">
        <f t="shared" si="19"/>
        <v>38663</v>
      </c>
      <c r="F92" s="14" t="e">
        <f t="shared" si="20"/>
        <v>#VALUE!</v>
      </c>
      <c r="G92" s="18" t="e">
        <f t="shared" si="21"/>
        <v>#VALUE!</v>
      </c>
      <c r="H92" s="13"/>
      <c r="I92" s="13"/>
      <c r="L92" s="12">
        <f t="shared" ca="1" si="17"/>
        <v>5.3895887443545956</v>
      </c>
      <c r="M92" s="12">
        <f t="shared" ca="1" si="17"/>
        <v>4.8175946160376242</v>
      </c>
      <c r="N92" s="12">
        <f t="shared" ca="1" si="17"/>
        <v>2.9251988642396047</v>
      </c>
      <c r="O92" s="12">
        <f t="shared" ca="1" si="17"/>
        <v>3.679337589607103</v>
      </c>
      <c r="P92" s="12">
        <f t="shared" ca="1" si="17"/>
        <v>0.27131872873462198</v>
      </c>
      <c r="Q92" s="12">
        <f t="shared" ca="1" si="17"/>
        <v>3.5932494679766473</v>
      </c>
    </row>
    <row r="93" spans="1:17">
      <c r="A93">
        <f t="shared" si="18"/>
        <v>5</v>
      </c>
      <c r="B93" s="15" t="str">
        <v/>
      </c>
      <c r="C93" s="9" t="str">
        <f t="shared" si="22"/>
        <v/>
      </c>
      <c r="D93" s="85">
        <f t="shared" si="19"/>
        <v>39171</v>
      </c>
      <c r="F93" s="14" t="e">
        <f t="shared" si="20"/>
        <v>#VALUE!</v>
      </c>
      <c r="G93" s="18" t="e">
        <f t="shared" si="21"/>
        <v>#VALUE!</v>
      </c>
      <c r="H93" s="13"/>
      <c r="I93" s="13"/>
      <c r="L93" s="12">
        <f t="shared" ca="1" si="17"/>
        <v>6.7449679692076012</v>
      </c>
      <c r="M93" s="12">
        <f t="shared" ca="1" si="17"/>
        <v>7.1769374023230466</v>
      </c>
      <c r="N93" s="12">
        <f t="shared" ca="1" si="17"/>
        <v>4.1140060708451038</v>
      </c>
      <c r="O93" s="12">
        <f t="shared" ca="1" si="17"/>
        <v>5.2580324926287805</v>
      </c>
      <c r="P93" s="12">
        <f t="shared" ca="1" si="17"/>
        <v>4.374504509923697</v>
      </c>
      <c r="Q93" s="12">
        <f t="shared" ca="1" si="17"/>
        <v>4.3581090427762987</v>
      </c>
    </row>
    <row r="94" spans="1:17">
      <c r="A94">
        <f t="shared" si="18"/>
        <v>6</v>
      </c>
      <c r="B94" s="15" t="str">
        <v/>
      </c>
      <c r="C94" s="9" t="str">
        <f t="shared" si="22"/>
        <v/>
      </c>
      <c r="D94" s="85">
        <f t="shared" si="19"/>
        <v>38841</v>
      </c>
      <c r="F94" s="14" t="e">
        <f t="shared" si="20"/>
        <v>#VALUE!</v>
      </c>
      <c r="G94" s="18" t="e">
        <f t="shared" si="21"/>
        <v>#VALUE!</v>
      </c>
      <c r="H94" s="13"/>
      <c r="I94" s="13"/>
      <c r="L94" s="12">
        <f t="shared" ca="1" si="17"/>
        <v>6.3757552869543641</v>
      </c>
      <c r="M94" s="12">
        <f t="shared" ca="1" si="17"/>
        <v>2.9272085087094926</v>
      </c>
      <c r="N94" s="12">
        <f t="shared" ca="1" si="17"/>
        <v>3.4039654091930314</v>
      </c>
      <c r="O94" s="12">
        <f t="shared" ca="1" si="17"/>
        <v>1.1769182807830134</v>
      </c>
      <c r="P94" s="12">
        <f t="shared" ca="1" si="17"/>
        <v>7.0568678147262061</v>
      </c>
      <c r="Q94" s="12">
        <f t="shared" ca="1" si="17"/>
        <v>7.616559172031903</v>
      </c>
    </row>
    <row r="95" spans="1:17">
      <c r="A95">
        <f t="shared" si="18"/>
        <v>7</v>
      </c>
      <c r="B95" s="15" t="str">
        <v/>
      </c>
      <c r="C95" s="9" t="str">
        <f t="shared" si="22"/>
        <v/>
      </c>
      <c r="D95" s="85">
        <f t="shared" si="19"/>
        <v>39337</v>
      </c>
      <c r="F95" s="14" t="e">
        <f t="shared" si="20"/>
        <v>#VALUE!</v>
      </c>
      <c r="G95" s="18" t="e">
        <f t="shared" si="21"/>
        <v>#VALUE!</v>
      </c>
      <c r="H95" s="13"/>
      <c r="I95" s="13"/>
      <c r="L95" s="12">
        <f t="shared" ca="1" si="17"/>
        <v>1.0695619229659274</v>
      </c>
      <c r="M95" s="12">
        <f t="shared" ca="1" si="17"/>
        <v>6.6135614686394764</v>
      </c>
      <c r="N95" s="12">
        <f t="shared" ca="1" si="17"/>
        <v>3.4469449904256018</v>
      </c>
      <c r="O95" s="12">
        <f t="shared" ca="1" si="17"/>
        <v>6.6886351759805454</v>
      </c>
      <c r="P95" s="12">
        <f t="shared" ca="1" si="17"/>
        <v>4.9346254169884185</v>
      </c>
      <c r="Q95" s="12">
        <f t="shared" ca="1" si="17"/>
        <v>6.9405398034054597</v>
      </c>
    </row>
    <row r="96" spans="1:17">
      <c r="A96">
        <f t="shared" si="18"/>
        <v>8</v>
      </c>
      <c r="B96" s="15" t="str">
        <v/>
      </c>
      <c r="C96" s="9" t="str">
        <f t="shared" si="22"/>
        <v/>
      </c>
      <c r="D96" s="85">
        <f t="shared" si="19"/>
        <v>39020</v>
      </c>
      <c r="F96" s="14" t="e">
        <f t="shared" si="20"/>
        <v>#VALUE!</v>
      </c>
      <c r="G96" s="18" t="e">
        <f t="shared" si="21"/>
        <v>#VALUE!</v>
      </c>
      <c r="H96" s="13"/>
      <c r="I96" s="13"/>
      <c r="L96" s="12">
        <f t="shared" ca="1" si="17"/>
        <v>1.6077127050484836</v>
      </c>
      <c r="M96" s="12">
        <f t="shared" ca="1" si="17"/>
        <v>0.58817370839801286</v>
      </c>
      <c r="N96" s="12">
        <f t="shared" ca="1" si="17"/>
        <v>1.3890988543818461</v>
      </c>
      <c r="O96" s="12">
        <f t="shared" ca="1" si="17"/>
        <v>2.1460414172663063</v>
      </c>
      <c r="P96" s="12">
        <f t="shared" ca="1" si="17"/>
        <v>7.8433914446549799</v>
      </c>
      <c r="Q96" s="12">
        <f t="shared" ca="1" si="17"/>
        <v>3.4802756640728645</v>
      </c>
    </row>
    <row r="97" spans="1:17">
      <c r="A97">
        <f t="shared" si="18"/>
        <v>9</v>
      </c>
      <c r="B97" s="15" t="str">
        <v/>
      </c>
      <c r="C97" s="9" t="str">
        <f t="shared" si="22"/>
        <v/>
      </c>
      <c r="D97" s="85">
        <f t="shared" si="19"/>
        <v>39709</v>
      </c>
      <c r="F97" s="14" t="e">
        <f t="shared" si="20"/>
        <v>#VALUE!</v>
      </c>
      <c r="G97" s="18" t="e">
        <f t="shared" si="21"/>
        <v>#VALUE!</v>
      </c>
      <c r="H97" s="13"/>
      <c r="I97" s="13"/>
      <c r="L97" s="12">
        <f t="shared" ca="1" si="17"/>
        <v>4.1249653350803648</v>
      </c>
      <c r="M97" s="12">
        <f t="shared" ca="1" si="17"/>
        <v>5.0821645647997977</v>
      </c>
      <c r="N97" s="12">
        <f t="shared" ca="1" si="17"/>
        <v>2.1544579411742628</v>
      </c>
      <c r="O97" s="12">
        <f t="shared" ca="1" si="17"/>
        <v>1.0395274045469645</v>
      </c>
      <c r="P97" s="12">
        <f t="shared" ca="1" si="17"/>
        <v>4.9447452007279145</v>
      </c>
      <c r="Q97" s="12">
        <f t="shared" ca="1" si="17"/>
        <v>3.213011680415423</v>
      </c>
    </row>
    <row r="98" spans="1:17">
      <c r="A98">
        <f t="shared" si="18"/>
        <v>10</v>
      </c>
      <c r="B98" s="15" t="str">
        <v/>
      </c>
      <c r="C98" s="9" t="str">
        <f t="shared" si="22"/>
        <v/>
      </c>
      <c r="D98" s="85">
        <f t="shared" si="19"/>
        <v>39217</v>
      </c>
      <c r="F98" s="14" t="e">
        <f t="shared" si="20"/>
        <v>#VALUE!</v>
      </c>
      <c r="G98" s="18" t="e">
        <f t="shared" si="21"/>
        <v>#VALUE!</v>
      </c>
      <c r="H98" s="13"/>
      <c r="I98" s="13"/>
      <c r="L98" s="12">
        <f t="shared" ca="1" si="17"/>
        <v>8.1017124009118575</v>
      </c>
      <c r="M98" s="12">
        <f t="shared" ca="1" si="17"/>
        <v>1.2430914856314665</v>
      </c>
      <c r="N98" s="12">
        <f t="shared" ca="1" si="17"/>
        <v>2.0590147602471713</v>
      </c>
      <c r="O98" s="12">
        <f t="shared" ca="1" si="17"/>
        <v>5.3564431351169288</v>
      </c>
      <c r="P98" s="12">
        <f t="shared" ca="1" si="17"/>
        <v>8.5127465119170864</v>
      </c>
      <c r="Q98" s="12">
        <f t="shared" ca="1" si="17"/>
        <v>2.8606251535413665</v>
      </c>
    </row>
    <row r="99" spans="1:17">
      <c r="A99">
        <f t="shared" si="18"/>
        <v>11</v>
      </c>
      <c r="B99" s="15" t="str">
        <v/>
      </c>
      <c r="C99" s="9" t="str">
        <f t="shared" si="22"/>
        <v/>
      </c>
      <c r="D99" s="85">
        <f t="shared" si="19"/>
        <v>39714</v>
      </c>
      <c r="F99" s="14" t="e">
        <f t="shared" si="20"/>
        <v>#VALUE!</v>
      </c>
      <c r="G99" s="18" t="e">
        <f t="shared" si="21"/>
        <v>#VALUE!</v>
      </c>
      <c r="H99" s="13"/>
      <c r="I99" s="13"/>
      <c r="L99" s="12">
        <f t="shared" ca="1" si="17"/>
        <v>8.4327803364115024</v>
      </c>
      <c r="M99" s="12">
        <f t="shared" ca="1" si="17"/>
        <v>6.1054432692416833</v>
      </c>
      <c r="N99" s="12">
        <f t="shared" ca="1" si="17"/>
        <v>6.3352225839067602</v>
      </c>
      <c r="O99" s="12">
        <f t="shared" ca="1" si="17"/>
        <v>1.3895412625804786</v>
      </c>
      <c r="P99" s="12">
        <f t="shared" ca="1" si="17"/>
        <v>6.6249197073281332</v>
      </c>
      <c r="Q99" s="12">
        <f t="shared" ca="1" si="17"/>
        <v>4.1797988876332042</v>
      </c>
    </row>
    <row r="100" spans="1:17">
      <c r="A100">
        <f t="shared" si="18"/>
        <v>12</v>
      </c>
      <c r="B100" s="15" t="str">
        <v/>
      </c>
      <c r="C100" s="9" t="str">
        <f t="shared" si="22"/>
        <v/>
      </c>
      <c r="D100" s="85">
        <f t="shared" si="19"/>
        <v>39385</v>
      </c>
      <c r="F100" s="14" t="e">
        <f t="shared" si="20"/>
        <v>#VALUE!</v>
      </c>
      <c r="G100" s="18" t="e">
        <f t="shared" si="21"/>
        <v>#VALUE!</v>
      </c>
      <c r="H100" s="13"/>
      <c r="I100" s="13"/>
      <c r="L100" s="12">
        <f t="shared" ca="1" si="17"/>
        <v>7.9635824006170184</v>
      </c>
      <c r="M100" s="12">
        <f t="shared" ca="1" si="17"/>
        <v>5.8221651722596013</v>
      </c>
      <c r="N100" s="12">
        <f t="shared" ca="1" si="17"/>
        <v>4.6256433094319362</v>
      </c>
      <c r="O100" s="12">
        <f t="shared" ca="1" si="17"/>
        <v>1.9333400892535999</v>
      </c>
      <c r="P100" s="12">
        <f t="shared" ca="1" si="17"/>
        <v>6.5205863384107898</v>
      </c>
      <c r="Q100" s="12">
        <f t="shared" ca="1" si="17"/>
        <v>2.4823603669016521</v>
      </c>
    </row>
    <row r="101" spans="1:17">
      <c r="A101">
        <f t="shared" si="18"/>
        <v>13</v>
      </c>
      <c r="B101" s="15">
        <v>125.51311</v>
      </c>
      <c r="C101" s="9" t="str">
        <f t="shared" si="22"/>
        <v/>
      </c>
      <c r="D101" s="85">
        <f t="shared" si="19"/>
        <v>39902</v>
      </c>
      <c r="F101" s="14">
        <f t="shared" si="20"/>
        <v>53.0298856175353</v>
      </c>
      <c r="G101" s="18">
        <f t="shared" si="21"/>
        <v>-72.483224382464698</v>
      </c>
      <c r="H101" s="13"/>
      <c r="I101" s="13"/>
      <c r="L101" s="12">
        <f t="shared" ca="1" si="17"/>
        <v>8.6170318242083859</v>
      </c>
      <c r="M101" s="12">
        <f t="shared" ca="1" si="17"/>
        <v>4.8154456599876161</v>
      </c>
      <c r="N101" s="12">
        <f t="shared" ca="1" si="17"/>
        <v>8.9427650649882651</v>
      </c>
      <c r="O101" s="12">
        <f t="shared" ca="1" si="17"/>
        <v>7.8158191236632053</v>
      </c>
      <c r="P101" s="12">
        <f t="shared" ca="1" si="17"/>
        <v>8.9128181319393747</v>
      </c>
      <c r="Q101" s="12">
        <f t="shared" ca="1" si="17"/>
        <v>7.0399243181924289</v>
      </c>
    </row>
    <row r="102" spans="1:17">
      <c r="A102">
        <f t="shared" si="18"/>
        <v>14</v>
      </c>
      <c r="B102" s="15" t="str">
        <v/>
      </c>
      <c r="C102" s="9">
        <f t="shared" si="22"/>
        <v>125.51311</v>
      </c>
      <c r="D102" s="85">
        <f t="shared" si="19"/>
        <v>39573</v>
      </c>
      <c r="F102" s="14" t="e">
        <f t="shared" si="20"/>
        <v>#VALUE!</v>
      </c>
      <c r="G102" s="18" t="e">
        <f t="shared" si="21"/>
        <v>#VALUE!</v>
      </c>
      <c r="H102" s="13"/>
      <c r="I102" s="13"/>
      <c r="L102" s="12">
        <f t="shared" ca="1" si="17"/>
        <v>4.1291819878888729</v>
      </c>
      <c r="M102" s="12">
        <f t="shared" ca="1" si="17"/>
        <v>8.6108154832537274</v>
      </c>
      <c r="N102" s="12">
        <f t="shared" ca="1" si="17"/>
        <v>2.7245764949267466</v>
      </c>
      <c r="O102" s="12">
        <f t="shared" ca="1" si="17"/>
        <v>6.626991276077133</v>
      </c>
      <c r="P102" s="12">
        <f t="shared" ca="1" si="17"/>
        <v>0.27195426273666157</v>
      </c>
      <c r="Q102" s="12">
        <f t="shared" ca="1" si="17"/>
        <v>4.4114435771217719</v>
      </c>
    </row>
    <row r="103" spans="1:17">
      <c r="A103">
        <f t="shared" si="18"/>
        <v>15</v>
      </c>
      <c r="B103" s="15">
        <v>63.191609999999997</v>
      </c>
      <c r="C103" s="9" t="str">
        <f t="shared" si="22"/>
        <v/>
      </c>
      <c r="D103" s="85">
        <f t="shared" si="19"/>
        <v>40080</v>
      </c>
      <c r="F103" s="14">
        <f t="shared" si="20"/>
        <v>41.00923461835508</v>
      </c>
      <c r="G103" s="18">
        <f t="shared" si="21"/>
        <v>-22.182375381644917</v>
      </c>
      <c r="H103" s="13"/>
      <c r="I103" s="13"/>
      <c r="L103" s="12">
        <f t="shared" ca="1" si="17"/>
        <v>8.0454040750633666</v>
      </c>
      <c r="M103" s="12">
        <f t="shared" ca="1" si="17"/>
        <v>8.8206450295842025</v>
      </c>
      <c r="N103" s="12">
        <f t="shared" ca="1" si="17"/>
        <v>2.7733390597637797</v>
      </c>
      <c r="O103" s="12">
        <f t="shared" ca="1" si="17"/>
        <v>2.0389272962596805</v>
      </c>
      <c r="P103" s="12">
        <f t="shared" ca="1" si="17"/>
        <v>4.8413048888135837</v>
      </c>
      <c r="Q103" s="12">
        <f t="shared" ca="1" si="17"/>
        <v>6.0181591898235345</v>
      </c>
    </row>
    <row r="104" spans="1:17">
      <c r="A104">
        <f t="shared" si="18"/>
        <v>16</v>
      </c>
      <c r="B104" s="15" t="str">
        <v/>
      </c>
      <c r="C104" s="9">
        <f t="shared" si="22"/>
        <v>63.191609999999997</v>
      </c>
      <c r="D104" s="85">
        <f t="shared" si="19"/>
        <v>39758</v>
      </c>
      <c r="F104" s="14" t="e">
        <f t="shared" si="20"/>
        <v>#VALUE!</v>
      </c>
      <c r="G104" s="18" t="e">
        <f t="shared" si="21"/>
        <v>#VALUE!</v>
      </c>
      <c r="H104" s="13"/>
      <c r="I104" s="13"/>
      <c r="L104" s="12">
        <f t="shared" ca="1" si="17"/>
        <v>8.4086963609947585</v>
      </c>
      <c r="M104" s="12">
        <f t="shared" ca="1" si="17"/>
        <v>6.0438671520994749</v>
      </c>
      <c r="N104" s="12">
        <f t="shared" ca="1" si="17"/>
        <v>4.3932549660180662</v>
      </c>
      <c r="O104" s="12">
        <f t="shared" ca="1" si="17"/>
        <v>2.2590011781158945</v>
      </c>
      <c r="P104" s="12">
        <f t="shared" ca="1" si="17"/>
        <v>4.7709251692461141</v>
      </c>
      <c r="Q104" s="12">
        <f t="shared" ca="1" si="17"/>
        <v>7.9927590546377187</v>
      </c>
    </row>
    <row r="105" spans="1:17">
      <c r="A105">
        <f t="shared" si="18"/>
        <v>17</v>
      </c>
      <c r="B105" s="15">
        <v>50.030500000000004</v>
      </c>
      <c r="C105" s="9" t="str">
        <f t="shared" si="22"/>
        <v/>
      </c>
      <c r="D105" s="85">
        <f t="shared" si="19"/>
        <v>40262</v>
      </c>
      <c r="F105" s="14">
        <f t="shared" si="20"/>
        <v>38.470702810362319</v>
      </c>
      <c r="G105" s="18">
        <f t="shared" si="21"/>
        <v>-11.559797189637685</v>
      </c>
      <c r="H105" s="13"/>
      <c r="I105" s="13"/>
      <c r="L105" s="12">
        <f t="shared" ca="1" si="17"/>
        <v>9.2019352166458148</v>
      </c>
      <c r="M105" s="12">
        <f t="shared" ca="1" si="17"/>
        <v>6.2438794440611387</v>
      </c>
      <c r="N105" s="12">
        <f t="shared" ca="1" si="17"/>
        <v>8.2166696738999239</v>
      </c>
      <c r="O105" s="12">
        <f t="shared" ca="1" si="17"/>
        <v>0.92972174564485943</v>
      </c>
      <c r="P105" s="12">
        <f t="shared" ca="1" si="17"/>
        <v>5.1124992112944474</v>
      </c>
      <c r="Q105" s="12">
        <f t="shared" ca="1" si="17"/>
        <v>4.2378944623620312</v>
      </c>
    </row>
    <row r="106" spans="1:17">
      <c r="A106">
        <f t="shared" si="18"/>
        <v>18</v>
      </c>
      <c r="B106" s="15">
        <v>56.752139999999997</v>
      </c>
      <c r="C106" s="9">
        <f t="shared" si="22"/>
        <v>50.030500000000004</v>
      </c>
      <c r="D106" s="85">
        <f t="shared" si="19"/>
        <v>39940</v>
      </c>
      <c r="F106" s="14">
        <f t="shared" si="20"/>
        <v>39.767181370443986</v>
      </c>
      <c r="G106" s="18">
        <f t="shared" si="21"/>
        <v>-16.984958629556012</v>
      </c>
      <c r="H106" s="13"/>
      <c r="I106" s="13"/>
      <c r="L106" s="12">
        <f t="shared" ca="1" si="17"/>
        <v>4.7704120608575327</v>
      </c>
      <c r="M106" s="12">
        <f t="shared" ca="1" si="17"/>
        <v>9.0951428923053648</v>
      </c>
      <c r="N106" s="12">
        <f t="shared" ca="1" si="17"/>
        <v>1.8695984472684024</v>
      </c>
      <c r="O106" s="12">
        <f t="shared" ca="1" si="17"/>
        <v>3.762353823328449</v>
      </c>
      <c r="P106" s="12">
        <f t="shared" ca="1" si="17"/>
        <v>5.7634585913072289</v>
      </c>
      <c r="Q106" s="12">
        <f t="shared" ca="1" si="17"/>
        <v>9.4350803994585011</v>
      </c>
    </row>
    <row r="107" spans="1:17">
      <c r="A107">
        <f t="shared" si="18"/>
        <v>19</v>
      </c>
      <c r="B107" s="15">
        <v>34.621200000000002</v>
      </c>
      <c r="C107" s="9">
        <f t="shared" si="22"/>
        <v>56.752139999999997</v>
      </c>
      <c r="D107" s="85">
        <f t="shared" si="19"/>
        <v>40437</v>
      </c>
      <c r="F107" s="14">
        <f t="shared" si="20"/>
        <v>35.498537226387803</v>
      </c>
      <c r="G107" s="18">
        <f t="shared" si="21"/>
        <v>0.87733722638780165</v>
      </c>
      <c r="H107" s="13"/>
      <c r="I107" s="13"/>
      <c r="L107" s="12">
        <f t="shared" ca="1" si="17"/>
        <v>5.9076563567400866</v>
      </c>
      <c r="M107" s="12">
        <f t="shared" ca="1" si="17"/>
        <v>0.74710081031513198</v>
      </c>
      <c r="N107" s="12">
        <f t="shared" ca="1" si="17"/>
        <v>2.4307673453061716</v>
      </c>
      <c r="O107" s="12">
        <f t="shared" ca="1" si="17"/>
        <v>2.6706687026652882</v>
      </c>
      <c r="P107" s="12">
        <f t="shared" ca="1" si="17"/>
        <v>7.480970892233854</v>
      </c>
      <c r="Q107" s="12">
        <f t="shared" ca="1" si="17"/>
        <v>5.9926417851022196</v>
      </c>
    </row>
    <row r="108" spans="1:17">
      <c r="A108">
        <f t="shared" si="18"/>
        <v>20</v>
      </c>
      <c r="B108" s="15">
        <v>38.972050000000003</v>
      </c>
      <c r="C108" s="9">
        <f t="shared" si="22"/>
        <v>34.621200000000002</v>
      </c>
      <c r="D108" s="85">
        <f t="shared" si="19"/>
        <v>40115</v>
      </c>
      <c r="F108" s="14">
        <f t="shared" si="20"/>
        <v>36.337734764954483</v>
      </c>
      <c r="G108" s="18">
        <f t="shared" si="21"/>
        <v>-2.6343152350455199</v>
      </c>
      <c r="L108" s="12">
        <f t="shared" ca="1" si="17"/>
        <v>5.6938832674412936</v>
      </c>
      <c r="M108" s="12">
        <f t="shared" ca="1" si="17"/>
        <v>0.22793103587412983</v>
      </c>
      <c r="N108" s="12">
        <f t="shared" ca="1" si="17"/>
        <v>1.8810294533399314</v>
      </c>
      <c r="O108" s="12">
        <f t="shared" ca="1" si="17"/>
        <v>1.5295696682630364</v>
      </c>
      <c r="P108" s="12">
        <f t="shared" ca="1" si="17"/>
        <v>0.97808075908522518</v>
      </c>
      <c r="Q108" s="12">
        <f t="shared" ca="1" si="17"/>
        <v>9.2406479985558896</v>
      </c>
    </row>
    <row r="109" spans="1:17">
      <c r="A109">
        <f t="shared" si="18"/>
        <v>21</v>
      </c>
      <c r="B109" s="15">
        <v>27.222529999999999</v>
      </c>
      <c r="C109" s="9">
        <f t="shared" si="22"/>
        <v>38.972050000000003</v>
      </c>
      <c r="D109" s="85">
        <f t="shared" si="19"/>
        <v>40633</v>
      </c>
      <c r="F109" s="14">
        <f t="shared" si="20"/>
        <v>34.071472249965467</v>
      </c>
      <c r="G109" s="18">
        <f t="shared" si="21"/>
        <v>6.848942249965468</v>
      </c>
      <c r="L109" s="12">
        <f t="shared" ca="1" si="17"/>
        <v>7.3004380964379463</v>
      </c>
      <c r="M109" s="12">
        <f t="shared" ca="1" si="17"/>
        <v>9.1246895892233457</v>
      </c>
      <c r="N109" s="12">
        <f t="shared" ca="1" si="17"/>
        <v>4.6147210041026341</v>
      </c>
      <c r="O109" s="12">
        <f t="shared" ca="1" si="17"/>
        <v>8.6817417906572931</v>
      </c>
      <c r="P109" s="12">
        <f t="shared" ca="1" si="17"/>
        <v>7.7201343144820527</v>
      </c>
      <c r="Q109" s="12">
        <f t="shared" ca="1" si="17"/>
        <v>0.67830216374496755</v>
      </c>
    </row>
    <row r="110" spans="1:17">
      <c r="A110">
        <f t="shared" si="18"/>
        <v>22</v>
      </c>
      <c r="B110" s="15">
        <v>31.186160000000001</v>
      </c>
      <c r="C110" s="9">
        <f t="shared" si="22"/>
        <v>27.222529999999999</v>
      </c>
      <c r="D110" s="85">
        <f t="shared" si="19"/>
        <v>40304</v>
      </c>
      <c r="F110" s="14">
        <f t="shared" si="20"/>
        <v>34.835982297378969</v>
      </c>
      <c r="G110" s="18">
        <f t="shared" si="21"/>
        <v>3.649822297378968</v>
      </c>
      <c r="L110" s="12">
        <f t="shared" ca="1" si="17"/>
        <v>5.9693675161737891</v>
      </c>
      <c r="M110" s="12">
        <f t="shared" ca="1" si="17"/>
        <v>5.317647933977125</v>
      </c>
      <c r="N110" s="12">
        <f t="shared" ca="1" si="17"/>
        <v>0.30733607422399067</v>
      </c>
      <c r="O110" s="12">
        <f t="shared" ca="1" si="17"/>
        <v>4.8257788959576402</v>
      </c>
      <c r="P110" s="12">
        <f t="shared" ca="1" si="17"/>
        <v>2.8032293839741089</v>
      </c>
      <c r="Q110" s="12">
        <f t="shared" ca="1" si="17"/>
        <v>7.4056634834770518</v>
      </c>
    </row>
    <row r="111" spans="1:17">
      <c r="A111">
        <f t="shared" si="18"/>
        <v>23</v>
      </c>
      <c r="B111" s="15">
        <v>33.832509999999999</v>
      </c>
      <c r="C111" s="9">
        <f t="shared" si="22"/>
        <v>31.186160000000001</v>
      </c>
      <c r="D111" s="85">
        <f t="shared" si="19"/>
        <v>40813</v>
      </c>
      <c r="F111" s="14">
        <f t="shared" si="20"/>
        <v>35.346413685771111</v>
      </c>
      <c r="G111" s="18">
        <f t="shared" si="21"/>
        <v>1.5139036857711119</v>
      </c>
      <c r="L111" s="12">
        <f t="shared" ca="1" si="17"/>
        <v>4.7382158754984038</v>
      </c>
      <c r="M111" s="12">
        <f t="shared" ca="1" si="17"/>
        <v>9.0752704038928496</v>
      </c>
      <c r="N111" s="12">
        <f t="shared" ca="1" si="17"/>
        <v>4.6203230608727219</v>
      </c>
      <c r="O111" s="12">
        <f t="shared" ca="1" si="17"/>
        <v>1.2706009742914528</v>
      </c>
      <c r="P111" s="12">
        <f t="shared" ca="1" si="17"/>
        <v>1.1933430363507116</v>
      </c>
      <c r="Q111" s="12">
        <f t="shared" ca="1" si="17"/>
        <v>1.5574385014944716</v>
      </c>
    </row>
    <row r="112" spans="1:17">
      <c r="A112">
        <f t="shared" si="18"/>
        <v>24</v>
      </c>
      <c r="B112" s="15">
        <v>26.3765</v>
      </c>
      <c r="C112" s="9">
        <f t="shared" si="22"/>
        <v>33.832509999999999</v>
      </c>
      <c r="D112" s="85">
        <f t="shared" si="19"/>
        <v>40479</v>
      </c>
      <c r="F112" s="14">
        <f t="shared" si="20"/>
        <v>33.908288896470502</v>
      </c>
      <c r="G112" s="18">
        <f t="shared" si="21"/>
        <v>7.531788896470502</v>
      </c>
      <c r="L112" s="12">
        <f t="shared" ca="1" si="17"/>
        <v>8.4717460960589452</v>
      </c>
      <c r="M112" s="12">
        <f t="shared" ca="1" si="17"/>
        <v>9.2746693467754735</v>
      </c>
      <c r="N112" s="12">
        <f t="shared" ca="1" si="17"/>
        <v>2.2463839162669728</v>
      </c>
      <c r="O112" s="12">
        <f t="shared" ca="1" si="17"/>
        <v>7.9181724542269345</v>
      </c>
      <c r="P112" s="12">
        <f t="shared" ca="1" si="17"/>
        <v>7.3608265550400267</v>
      </c>
      <c r="Q112" s="12">
        <f t="shared" ca="1" si="17"/>
        <v>9.0568007477116588</v>
      </c>
    </row>
    <row r="113" spans="1:17">
      <c r="A113">
        <f t="shared" si="18"/>
        <v>25</v>
      </c>
      <c r="B113" s="15">
        <v>50.209290000000003</v>
      </c>
      <c r="C113" s="9">
        <f t="shared" si="22"/>
        <v>26.3765</v>
      </c>
      <c r="D113" s="85">
        <f t="shared" si="19"/>
        <v>40997</v>
      </c>
      <c r="F113" s="14">
        <f t="shared" si="20"/>
        <v>38.505188055296145</v>
      </c>
      <c r="G113" s="18">
        <f t="shared" si="21"/>
        <v>-11.704101944703858</v>
      </c>
      <c r="L113" s="12">
        <f t="shared" ca="1" si="17"/>
        <v>3.4036347499207373</v>
      </c>
      <c r="M113" s="12">
        <f t="shared" ca="1" si="17"/>
        <v>0.72961542460867324</v>
      </c>
      <c r="N113" s="12">
        <f t="shared" ca="1" si="17"/>
        <v>3.4934356072803272</v>
      </c>
      <c r="O113" s="12">
        <f t="shared" ca="1" si="17"/>
        <v>2.9917081404613604</v>
      </c>
      <c r="P113" s="12">
        <f t="shared" ca="1" si="17"/>
        <v>2.0768397422562854</v>
      </c>
      <c r="Q113" s="12">
        <f t="shared" ca="1" si="17"/>
        <v>4.2499506631477768</v>
      </c>
    </row>
    <row r="114" spans="1:17">
      <c r="A114">
        <f t="shared" si="18"/>
        <v>26</v>
      </c>
      <c r="B114" s="15">
        <v>33.120449999999998</v>
      </c>
      <c r="C114" s="9">
        <f t="shared" si="22"/>
        <v>50.209290000000003</v>
      </c>
      <c r="D114" s="85">
        <f t="shared" si="19"/>
        <v>40667</v>
      </c>
      <c r="F114" s="14">
        <f t="shared" si="20"/>
        <v>35.209070638019107</v>
      </c>
      <c r="G114" s="18">
        <f t="shared" si="21"/>
        <v>2.0886206380191084</v>
      </c>
      <c r="L114" s="12">
        <f t="shared" ca="1" si="17"/>
        <v>1.3716664496543487</v>
      </c>
      <c r="M114" s="12">
        <f t="shared" ca="1" si="17"/>
        <v>2.4467844711395053</v>
      </c>
      <c r="N114" s="12">
        <f t="shared" ca="1" si="17"/>
        <v>6.717073305111513</v>
      </c>
      <c r="O114" s="12">
        <f t="shared" ca="1" si="17"/>
        <v>1.7270456871753832</v>
      </c>
      <c r="P114" s="12">
        <f t="shared" ca="1" si="17"/>
        <v>7.626325986936032</v>
      </c>
      <c r="Q114" s="12">
        <f t="shared" ca="1" si="17"/>
        <v>6.2987385617165312</v>
      </c>
    </row>
    <row r="115" spans="1:17">
      <c r="A115">
        <f t="shared" si="18"/>
        <v>27</v>
      </c>
      <c r="B115" s="15">
        <v>36.091679999999997</v>
      </c>
      <c r="C115" s="9">
        <f t="shared" si="22"/>
        <v>33.120449999999998</v>
      </c>
      <c r="D115" s="85">
        <f t="shared" si="19"/>
        <v>41179</v>
      </c>
      <c r="F115" s="14">
        <f t="shared" si="20"/>
        <v>35.782165298261468</v>
      </c>
      <c r="G115" s="18">
        <f t="shared" si="21"/>
        <v>-0.30951470173852869</v>
      </c>
      <c r="L115" s="12">
        <f t="shared" ca="1" si="17"/>
        <v>0.92850808366010984</v>
      </c>
      <c r="M115" s="12">
        <f t="shared" ca="1" si="17"/>
        <v>3.4221878264718604</v>
      </c>
      <c r="N115" s="12">
        <f t="shared" ca="1" si="17"/>
        <v>0.78679241309397252</v>
      </c>
      <c r="O115" s="12">
        <f t="shared" ca="1" si="17"/>
        <v>9.3113520319361118</v>
      </c>
      <c r="P115" s="12">
        <f t="shared" ca="1" si="17"/>
        <v>1.9594890843627526</v>
      </c>
      <c r="Q115" s="12">
        <f t="shared" ca="1" si="17"/>
        <v>8.1406239795471667</v>
      </c>
    </row>
    <row r="116" spans="1:17">
      <c r="A116">
        <f t="shared" si="18"/>
        <v>28</v>
      </c>
      <c r="B116" s="15">
        <v>30.171980000000001</v>
      </c>
      <c r="C116" s="9">
        <f t="shared" si="22"/>
        <v>36.091679999999997</v>
      </c>
      <c r="D116" s="85">
        <f t="shared" si="19"/>
        <v>40849</v>
      </c>
      <c r="F116" s="14">
        <f t="shared" si="20"/>
        <v>34.640365955821906</v>
      </c>
      <c r="G116" s="18">
        <f t="shared" si="21"/>
        <v>4.4683859558219048</v>
      </c>
      <c r="L116" s="12">
        <f t="shared" ca="1" si="17"/>
        <v>0.19419318080723905</v>
      </c>
      <c r="M116" s="12">
        <f t="shared" ca="1" si="17"/>
        <v>5.7571279442366912</v>
      </c>
      <c r="N116" s="12">
        <f t="shared" ca="1" si="17"/>
        <v>7.5617533036664213</v>
      </c>
      <c r="O116" s="12">
        <f t="shared" ca="1" si="17"/>
        <v>7.1406045390887307</v>
      </c>
      <c r="P116" s="12">
        <f t="shared" ca="1" si="17"/>
        <v>8.441414248662733</v>
      </c>
      <c r="Q116" s="12">
        <f t="shared" ca="1" si="17"/>
        <v>1.8041969500324178</v>
      </c>
    </row>
    <row r="117" spans="1:17">
      <c r="A117">
        <f t="shared" si="18"/>
        <v>29</v>
      </c>
      <c r="B117" s="16">
        <v>38.46564</v>
      </c>
      <c r="C117" s="9">
        <f t="shared" si="22"/>
        <v>30.171980000000001</v>
      </c>
      <c r="D117" s="85">
        <f t="shared" si="19"/>
        <v>41354</v>
      </c>
      <c r="F117" s="14">
        <f t="shared" si="20"/>
        <v>36.240057753449705</v>
      </c>
      <c r="G117" s="18">
        <f t="shared" si="21"/>
        <v>-2.2255822465502959</v>
      </c>
      <c r="L117" s="12">
        <f t="shared" ca="1" si="17"/>
        <v>8.4749442164032143</v>
      </c>
      <c r="M117" s="12">
        <f t="shared" ca="1" si="17"/>
        <v>1.1800161301741376</v>
      </c>
      <c r="N117" s="12">
        <f t="shared" ca="1" si="17"/>
        <v>8.6140251651119595</v>
      </c>
      <c r="O117" s="12">
        <f t="shared" ca="1" si="17"/>
        <v>5.2067419673887532</v>
      </c>
      <c r="P117" s="12">
        <f t="shared" ca="1" si="17"/>
        <v>4.8912388098461923</v>
      </c>
      <c r="Q117" s="12">
        <f t="shared" ca="1" si="17"/>
        <v>2.6698055709944861</v>
      </c>
    </row>
    <row r="118" spans="1:17">
      <c r="A118">
        <f>A35</f>
        <v>30</v>
      </c>
      <c r="B118">
        <v>47.047800000000002</v>
      </c>
      <c r="C118" s="9">
        <f t="shared" si="22"/>
        <v>38.46564</v>
      </c>
      <c r="D118" s="85">
        <f t="shared" si="19"/>
        <v>41038</v>
      </c>
      <c r="F118" s="14">
        <f t="shared" si="20"/>
        <v>37.895395801781738</v>
      </c>
      <c r="G118" s="18">
        <f t="shared" si="21"/>
        <v>-9.1524041982182638</v>
      </c>
      <c r="L118" s="12">
        <f t="shared" ref="L118:Q128" ca="1" si="23">RAND()*$I$85</f>
        <v>4.0971723686190797</v>
      </c>
      <c r="M118" s="12">
        <f t="shared" ca="1" si="23"/>
        <v>0.91313412576945063</v>
      </c>
      <c r="N118" s="12">
        <f t="shared" ca="1" si="23"/>
        <v>6.9903609043377797</v>
      </c>
      <c r="O118" s="12">
        <f t="shared" ca="1" si="23"/>
        <v>8.2767430190683076</v>
      </c>
      <c r="P118" s="12">
        <f t="shared" ca="1" si="23"/>
        <v>8.9787669507153947</v>
      </c>
      <c r="Q118" s="12">
        <f t="shared" ca="1" si="23"/>
        <v>0.33545721199634565</v>
      </c>
    </row>
    <row r="119" spans="1:17">
      <c r="A119">
        <f t="shared" si="18"/>
        <v>31</v>
      </c>
      <c r="B119">
        <v>36.091679999999997</v>
      </c>
      <c r="C119" s="9">
        <f t="shared" si="22"/>
        <v>47.047800000000002</v>
      </c>
      <c r="D119" s="85">
        <f t="shared" si="19"/>
        <v>41179</v>
      </c>
      <c r="F119" s="14">
        <f t="shared" si="20"/>
        <v>35.782165298261468</v>
      </c>
      <c r="G119" s="18">
        <f t="shared" si="21"/>
        <v>-0.30951470173852869</v>
      </c>
      <c r="L119" s="12">
        <f t="shared" ca="1" si="23"/>
        <v>8.1820222650893868</v>
      </c>
      <c r="M119" s="12">
        <f t="shared" ca="1" si="23"/>
        <v>8.5388448995638999</v>
      </c>
      <c r="N119" s="12">
        <f t="shared" ca="1" si="23"/>
        <v>3.7993587469531489</v>
      </c>
      <c r="O119" s="12">
        <f t="shared" ca="1" si="23"/>
        <v>8.3796358517564009</v>
      </c>
      <c r="P119" s="12">
        <f t="shared" ca="1" si="23"/>
        <v>2.7252230793978978</v>
      </c>
      <c r="Q119" s="12">
        <f t="shared" ca="1" si="23"/>
        <v>4.3898708737520122</v>
      </c>
    </row>
    <row r="120" spans="1:17">
      <c r="A120">
        <f t="shared" si="18"/>
        <v>32</v>
      </c>
      <c r="B120">
        <v>59.901649999999997</v>
      </c>
      <c r="C120" s="9">
        <f t="shared" si="22"/>
        <v>36.091679999999997</v>
      </c>
      <c r="D120" s="85">
        <f t="shared" si="19"/>
        <v>41221</v>
      </c>
      <c r="F120" s="14">
        <f t="shared" si="20"/>
        <v>40.374662906164858</v>
      </c>
      <c r="G120" s="18">
        <f t="shared" si="21"/>
        <v>-19.526987093835139</v>
      </c>
      <c r="L120" s="12">
        <f t="shared" ca="1" si="23"/>
        <v>8.9302301954258887</v>
      </c>
      <c r="M120" s="12">
        <f t="shared" ca="1" si="23"/>
        <v>5.2228902597389482</v>
      </c>
      <c r="N120" s="12">
        <f t="shared" ca="1" si="23"/>
        <v>0.31747048457544136</v>
      </c>
      <c r="O120" s="12">
        <f t="shared" ca="1" si="23"/>
        <v>0.89508785757569553</v>
      </c>
      <c r="P120" s="12">
        <f t="shared" ca="1" si="23"/>
        <v>3.4474402907495731</v>
      </c>
      <c r="Q120" s="12">
        <f t="shared" ca="1" si="23"/>
        <v>9.2241660779651884</v>
      </c>
    </row>
    <row r="121" spans="1:17">
      <c r="A121">
        <f t="shared" si="18"/>
        <v>33</v>
      </c>
      <c r="B121">
        <v>26.60305</v>
      </c>
      <c r="C121" s="9">
        <f t="shared" si="22"/>
        <v>59.901649999999997</v>
      </c>
      <c r="D121" s="85">
        <f t="shared" si="19"/>
        <v>41725</v>
      </c>
      <c r="F121" s="14">
        <f t="shared" si="20"/>
        <v>33.951986151572903</v>
      </c>
      <c r="G121" s="18">
        <f t="shared" si="21"/>
        <v>7.3489361515729037</v>
      </c>
      <c r="L121" s="12">
        <f t="shared" ca="1" si="23"/>
        <v>8.8611650068084327</v>
      </c>
      <c r="M121" s="12">
        <f t="shared" ca="1" si="23"/>
        <v>6.9726083678810102</v>
      </c>
      <c r="N121" s="12">
        <f t="shared" ca="1" si="23"/>
        <v>4.8119233464874061</v>
      </c>
      <c r="O121" s="12">
        <f t="shared" ca="1" si="23"/>
        <v>3.9561589846509393</v>
      </c>
      <c r="P121" s="12">
        <f t="shared" ca="1" si="23"/>
        <v>9.1584809455435039</v>
      </c>
      <c r="Q121" s="12">
        <f t="shared" ca="1" si="23"/>
        <v>3.3142090914053406</v>
      </c>
    </row>
    <row r="122" spans="1:17">
      <c r="A122">
        <f t="shared" si="18"/>
        <v>34</v>
      </c>
      <c r="B122">
        <v>46.115130000000001</v>
      </c>
      <c r="C122" s="9">
        <f t="shared" si="22"/>
        <v>26.60305</v>
      </c>
      <c r="D122" s="85">
        <f t="shared" si="19"/>
        <v>41402</v>
      </c>
      <c r="F122" s="14">
        <f t="shared" si="20"/>
        <v>37.715501213759858</v>
      </c>
      <c r="G122" s="18">
        <f t="shared" si="21"/>
        <v>-8.3996287862401431</v>
      </c>
      <c r="L122" s="12">
        <f t="shared" ca="1" si="23"/>
        <v>7.4951347523784762</v>
      </c>
      <c r="M122" s="12">
        <f t="shared" ca="1" si="23"/>
        <v>1.4557272445702307</v>
      </c>
      <c r="N122" s="12">
        <f t="shared" ca="1" si="23"/>
        <v>7.0484371363254148</v>
      </c>
      <c r="O122" s="12">
        <f t="shared" ca="1" si="23"/>
        <v>7.0766733072008874</v>
      </c>
      <c r="P122" s="12">
        <f t="shared" ca="1" si="23"/>
        <v>5.4111907780766897</v>
      </c>
      <c r="Q122" s="12">
        <f t="shared" ca="1" si="23"/>
        <v>8.0034024565084305</v>
      </c>
    </row>
    <row r="123" spans="1:17">
      <c r="A123">
        <f t="shared" si="18"/>
        <v>35</v>
      </c>
      <c r="B123">
        <v>59.125869999999999</v>
      </c>
      <c r="C123" s="9">
        <f t="shared" si="22"/>
        <v>46.115130000000001</v>
      </c>
      <c r="D123" s="85">
        <f t="shared" si="19"/>
        <v>41493</v>
      </c>
      <c r="F123" s="14">
        <f t="shared" si="20"/>
        <v>40.225029462936689</v>
      </c>
      <c r="G123" s="18">
        <f t="shared" si="21"/>
        <v>-18.90084053706331</v>
      </c>
      <c r="L123" s="12">
        <f t="shared" ca="1" si="23"/>
        <v>1.5376559514100487</v>
      </c>
      <c r="M123" s="12">
        <f t="shared" ca="1" si="23"/>
        <v>5.1919398294139523</v>
      </c>
      <c r="N123" s="12">
        <f t="shared" ca="1" si="23"/>
        <v>9.3352640166627925</v>
      </c>
      <c r="O123" s="12">
        <f t="shared" ca="1" si="23"/>
        <v>8.4721237375336322</v>
      </c>
      <c r="P123" s="12">
        <f t="shared" ca="1" si="23"/>
        <v>2.5169925347037085</v>
      </c>
      <c r="Q123" s="12">
        <f t="shared" ca="1" si="23"/>
        <v>2.560741786581219</v>
      </c>
    </row>
    <row r="124" spans="1:17">
      <c r="A124">
        <f t="shared" si="18"/>
        <v>36</v>
      </c>
      <c r="B124">
        <v>29.96048</v>
      </c>
      <c r="C124" s="9">
        <f t="shared" si="22"/>
        <v>59.125869999999999</v>
      </c>
      <c r="D124" s="85">
        <f t="shared" si="19"/>
        <v>41584</v>
      </c>
      <c r="F124" s="14">
        <f t="shared" si="20"/>
        <v>34.599571564057804</v>
      </c>
      <c r="G124" s="18">
        <f t="shared" si="21"/>
        <v>4.6390915640578037</v>
      </c>
      <c r="L124" s="12">
        <f t="shared" ca="1" si="23"/>
        <v>7.5609220703391093</v>
      </c>
      <c r="M124" s="12">
        <f t="shared" ca="1" si="23"/>
        <v>5.2472449951700586</v>
      </c>
      <c r="N124" s="12">
        <f t="shared" ca="1" si="23"/>
        <v>5.6905380758984947</v>
      </c>
      <c r="O124" s="12">
        <f t="shared" ca="1" si="23"/>
        <v>1.1803952039976051</v>
      </c>
      <c r="P124" s="12">
        <f t="shared" ca="1" si="23"/>
        <v>0.75196795343172584</v>
      </c>
      <c r="Q124" s="12">
        <f t="shared" ca="1" si="23"/>
        <v>1.6577320467005334</v>
      </c>
    </row>
    <row r="125" spans="1:17">
      <c r="A125">
        <f>A42</f>
        <v>37</v>
      </c>
      <c r="B125">
        <v>26.60305</v>
      </c>
      <c r="C125" s="9">
        <f t="shared" si="22"/>
        <v>29.96048</v>
      </c>
      <c r="D125" s="85">
        <f t="shared" si="19"/>
        <v>41725</v>
      </c>
      <c r="F125" s="14">
        <f t="shared" si="20"/>
        <v>33.951986151572903</v>
      </c>
      <c r="G125" s="18">
        <f t="shared" si="21"/>
        <v>7.3489361515729037</v>
      </c>
      <c r="L125" s="12">
        <f t="shared" ca="1" si="23"/>
        <v>1.8983983289298512</v>
      </c>
      <c r="M125" s="12">
        <f t="shared" ca="1" si="23"/>
        <v>0.5409050218256497</v>
      </c>
      <c r="N125" s="12">
        <f t="shared" ca="1" si="23"/>
        <v>4.3324731826133478</v>
      </c>
      <c r="O125" s="12">
        <f t="shared" ca="1" si="23"/>
        <v>8.2998234924329175</v>
      </c>
      <c r="P125" s="12">
        <f t="shared" ca="1" si="23"/>
        <v>0.53437469326650844</v>
      </c>
      <c r="Q125" s="12">
        <f t="shared" ca="1" si="23"/>
        <v>0.89698200711085463</v>
      </c>
    </row>
    <row r="126" spans="1:17">
      <c r="A126">
        <f t="shared" si="18"/>
        <v>38</v>
      </c>
      <c r="B126">
        <v>24.44135</v>
      </c>
      <c r="C126" s="9">
        <f t="shared" si="22"/>
        <v>26.60305</v>
      </c>
      <c r="D126" s="85">
        <f t="shared" si="19"/>
        <v>41773</v>
      </c>
      <c r="F126" s="14">
        <f t="shared" si="20"/>
        <v>33.535034677925317</v>
      </c>
      <c r="G126" s="18">
        <f t="shared" si="21"/>
        <v>9.0936846779253173</v>
      </c>
      <c r="L126" s="12">
        <f t="shared" ca="1" si="23"/>
        <v>8.2306218559630615</v>
      </c>
      <c r="M126" s="12">
        <f t="shared" ca="1" si="23"/>
        <v>3.283055767272042</v>
      </c>
      <c r="N126" s="12">
        <f t="shared" ca="1" si="23"/>
        <v>0.61705523343981883</v>
      </c>
      <c r="O126" s="12">
        <f t="shared" ca="1" si="23"/>
        <v>2.5576516587966815</v>
      </c>
      <c r="P126" s="12">
        <f t="shared" ca="1" si="23"/>
        <v>3.5255237674855686</v>
      </c>
      <c r="Q126" s="12">
        <f t="shared" ca="1" si="23"/>
        <v>8.6766248623455766</v>
      </c>
    </row>
    <row r="127" spans="1:17">
      <c r="A127">
        <f t="shared" si="18"/>
        <v>39</v>
      </c>
      <c r="B127">
        <v>20.622530000000001</v>
      </c>
      <c r="C127" s="9">
        <f t="shared" si="22"/>
        <v>24.44135</v>
      </c>
      <c r="D127" s="85">
        <f t="shared" si="19"/>
        <v>41864</v>
      </c>
      <c r="F127" s="14">
        <f t="shared" si="20"/>
        <v>32.798455769383494</v>
      </c>
      <c r="G127" s="18">
        <f t="shared" si="21"/>
        <v>12.175925769383493</v>
      </c>
      <c r="L127" s="12">
        <f t="shared" ca="1" si="23"/>
        <v>3.2274132464419192</v>
      </c>
      <c r="M127" s="12">
        <f t="shared" ca="1" si="23"/>
        <v>8.7189797388999981</v>
      </c>
      <c r="N127" s="12">
        <f t="shared" ca="1" si="23"/>
        <v>8.4438787998370408</v>
      </c>
      <c r="O127" s="12">
        <f t="shared" ca="1" si="23"/>
        <v>4.6081159035889536</v>
      </c>
      <c r="P127" s="12">
        <f t="shared" ca="1" si="23"/>
        <v>9.5036404431023165</v>
      </c>
      <c r="Q127" s="12">
        <f t="shared" ca="1" si="23"/>
        <v>3.0062931457579989</v>
      </c>
    </row>
    <row r="128" spans="1:17">
      <c r="A128">
        <f>A45</f>
        <v>40</v>
      </c>
      <c r="B128">
        <v>15.90823</v>
      </c>
      <c r="C128" s="9">
        <f t="shared" si="22"/>
        <v>20.622530000000001</v>
      </c>
      <c r="D128" s="85">
        <f t="shared" si="19"/>
        <v>41955</v>
      </c>
      <c r="F128" s="14">
        <f t="shared" si="20"/>
        <v>31.889155527806587</v>
      </c>
      <c r="G128" s="18">
        <f t="shared" si="21"/>
        <v>15.980925527806587</v>
      </c>
      <c r="L128" s="12">
        <f t="shared" ca="1" si="23"/>
        <v>2.1312451713335103</v>
      </c>
      <c r="M128" s="12">
        <f t="shared" ca="1" si="23"/>
        <v>5.1781597926794332</v>
      </c>
      <c r="N128" s="12">
        <f t="shared" ca="1" si="23"/>
        <v>2.9975612853957814</v>
      </c>
      <c r="O128" s="12">
        <f t="shared" ca="1" si="23"/>
        <v>9.3805176795711773</v>
      </c>
      <c r="P128" s="12">
        <f t="shared" ca="1" si="23"/>
        <v>6.00557335538402</v>
      </c>
      <c r="Q128" s="12">
        <f t="shared" ca="1" si="23"/>
        <v>9.4440364422905425</v>
      </c>
    </row>
    <row r="138" spans="11:17">
      <c r="K138" t="s">
        <v>31</v>
      </c>
    </row>
    <row r="140" spans="11:17">
      <c r="L140" s="7">
        <f t="shared" ref="L140:Q141" ca="1" si="24">L88*$I$89+K52*(1-$I$89^2)^0.5</f>
        <v>0.3322659986704245</v>
      </c>
      <c r="M140" s="18">
        <f t="shared" ca="1" si="24"/>
        <v>2.1336945400868559</v>
      </c>
      <c r="N140" s="18">
        <f t="shared" ca="1" si="24"/>
        <v>1.7165260465761938</v>
      </c>
      <c r="O140" s="18">
        <f t="shared" ca="1" si="24"/>
        <v>0.30746475389693823</v>
      </c>
      <c r="P140" s="18">
        <f t="shared" ca="1" si="24"/>
        <v>2.6022546679572134</v>
      </c>
      <c r="Q140" s="8">
        <f t="shared" ca="1" si="24"/>
        <v>1.6054699719172913</v>
      </c>
    </row>
    <row r="141" spans="11:17">
      <c r="L141" s="22">
        <f t="shared" ca="1" si="24"/>
        <v>2.4188706598139813</v>
      </c>
      <c r="M141" s="13">
        <f t="shared" ca="1" si="24"/>
        <v>0.6379757954795412</v>
      </c>
      <c r="N141" s="13">
        <f t="shared" ca="1" si="24"/>
        <v>1.7137886386065064</v>
      </c>
      <c r="O141" s="13">
        <f t="shared" ca="1" si="24"/>
        <v>1.6779147307528135</v>
      </c>
      <c r="P141" s="13">
        <f t="shared" ca="1" si="24"/>
        <v>2.187621142402576</v>
      </c>
      <c r="Q141" s="9">
        <f t="shared" ca="1" si="24"/>
        <v>0.32983052686280939</v>
      </c>
    </row>
    <row r="142" spans="11:17">
      <c r="L142" s="22">
        <f t="shared" ref="L142:Q142" ca="1" si="25">L108*$I$89+K54*(1-$I$89^2)^0.5</f>
        <v>0.96326061441496869</v>
      </c>
      <c r="M142" s="13">
        <f t="shared" ca="1" si="25"/>
        <v>2.2313176559890371</v>
      </c>
      <c r="N142" s="13">
        <f t="shared" ca="1" si="25"/>
        <v>1.4928465406664577</v>
      </c>
      <c r="O142" s="13">
        <f t="shared" ca="1" si="25"/>
        <v>1.5329114870782179</v>
      </c>
      <c r="P142" s="13">
        <f t="shared" ca="1" si="25"/>
        <v>1.3087918467803505</v>
      </c>
      <c r="Q142" s="9">
        <f t="shared" ca="1" si="25"/>
        <v>1.5091284536524383</v>
      </c>
    </row>
    <row r="143" spans="11:17">
      <c r="L143" s="22">
        <f t="shared" ref="L143:Q150" ca="1" si="26">L109*$I$89+K73*(1-$I$89^2)^0.5</f>
        <v>0.32681086078655552</v>
      </c>
      <c r="M143" s="13">
        <f t="shared" ca="1" si="26"/>
        <v>1.0445219389460372</v>
      </c>
      <c r="N143" s="13">
        <f t="shared" ca="1" si="26"/>
        <v>2.4713458925199134</v>
      </c>
      <c r="O143" s="13">
        <f t="shared" ca="1" si="26"/>
        <v>2.7877934838433607</v>
      </c>
      <c r="P143" s="13">
        <f t="shared" ca="1" si="26"/>
        <v>0.55390646169108404</v>
      </c>
      <c r="Q143" s="9">
        <f t="shared" ca="1" si="26"/>
        <v>8.0179685757188882E-2</v>
      </c>
    </row>
    <row r="144" spans="11:17">
      <c r="L144" s="22">
        <f t="shared" ca="1" si="26"/>
        <v>0.72054703187445301</v>
      </c>
      <c r="M144" s="13">
        <f t="shared" ca="1" si="26"/>
        <v>1.8231520428704511</v>
      </c>
      <c r="N144" s="13">
        <f t="shared" ca="1" si="26"/>
        <v>0.17659112399966814</v>
      </c>
      <c r="O144" s="13">
        <f t="shared" ca="1" si="26"/>
        <v>1.229396396621204</v>
      </c>
      <c r="P144" s="13">
        <f t="shared" ca="1" si="26"/>
        <v>1.5736278013744263</v>
      </c>
      <c r="Q144" s="9">
        <f t="shared" ca="1" si="26"/>
        <v>0.93424675640692478</v>
      </c>
    </row>
    <row r="145" spans="12:17">
      <c r="L145" s="22">
        <f t="shared" ca="1" si="26"/>
        <v>1.6603517613514072</v>
      </c>
      <c r="M145" s="13">
        <f t="shared" ca="1" si="26"/>
        <v>1.4427679175097374</v>
      </c>
      <c r="N145" s="13">
        <f t="shared" ca="1" si="26"/>
        <v>0.44042410571328311</v>
      </c>
      <c r="O145" s="13">
        <f t="shared" ca="1" si="26"/>
        <v>1.6682870877671279</v>
      </c>
      <c r="P145" s="13">
        <f t="shared" ca="1" si="26"/>
        <v>2.3334377030083604</v>
      </c>
      <c r="Q145" s="9">
        <f t="shared" ca="1" si="26"/>
        <v>0.15652201323389744</v>
      </c>
    </row>
    <row r="146" spans="12:17">
      <c r="L146" s="22">
        <f t="shared" ca="1" si="26"/>
        <v>0.88574372879181085</v>
      </c>
      <c r="M146" s="13">
        <f t="shared" ca="1" si="26"/>
        <v>2.6061516975608878</v>
      </c>
      <c r="N146" s="13">
        <f t="shared" ca="1" si="26"/>
        <v>0.35608544056405828</v>
      </c>
      <c r="O146" s="13">
        <f t="shared" ca="1" si="26"/>
        <v>1.3602260198254172</v>
      </c>
      <c r="P146" s="13">
        <f t="shared" ca="1" si="26"/>
        <v>0.61803862880011695</v>
      </c>
      <c r="Q146" s="9">
        <f t="shared" ca="1" si="26"/>
        <v>0.54247982744531109</v>
      </c>
    </row>
    <row r="147" spans="12:17">
      <c r="L147" s="22">
        <f t="shared" ca="1" si="26"/>
        <v>0.92189490963824605</v>
      </c>
      <c r="M147" s="13">
        <f t="shared" ca="1" si="26"/>
        <v>1.9171093691838792</v>
      </c>
      <c r="N147" s="13">
        <f t="shared" ca="1" si="26"/>
        <v>0.27002718389590974</v>
      </c>
      <c r="O147" s="13">
        <f t="shared" ca="1" si="26"/>
        <v>1.6696838488263954</v>
      </c>
      <c r="P147" s="13">
        <f t="shared" ca="1" si="26"/>
        <v>1.0891720840677936</v>
      </c>
      <c r="Q147" s="9">
        <f t="shared" ca="1" si="26"/>
        <v>2.7258561116551374</v>
      </c>
    </row>
    <row r="148" spans="12:17">
      <c r="L148" s="22">
        <f t="shared" ca="1" si="26"/>
        <v>1.658144421414842</v>
      </c>
      <c r="M148" s="13">
        <f t="shared" ca="1" si="26"/>
        <v>1.024570572899715</v>
      </c>
      <c r="N148" s="13">
        <f t="shared" ca="1" si="26"/>
        <v>0.97652086498046553</v>
      </c>
      <c r="O148" s="13">
        <f t="shared" ca="1" si="26"/>
        <v>0.31209379923807912</v>
      </c>
      <c r="P148" s="13">
        <f t="shared" ca="1" si="26"/>
        <v>1.7174638487691871</v>
      </c>
      <c r="Q148" s="9">
        <f t="shared" ca="1" si="26"/>
        <v>1.8998927939003165</v>
      </c>
    </row>
    <row r="149" spans="12:17">
      <c r="L149" s="22">
        <f t="shared" ca="1" si="26"/>
        <v>7.7879586306580942E-2</v>
      </c>
      <c r="M149" s="13">
        <f t="shared" ca="1" si="26"/>
        <v>0.71073046018332509</v>
      </c>
      <c r="N149" s="13">
        <f t="shared" ca="1" si="26"/>
        <v>2.312719515764535</v>
      </c>
      <c r="O149" s="13">
        <f t="shared" ca="1" si="26"/>
        <v>0.37153809430607526</v>
      </c>
      <c r="P149" s="13">
        <f t="shared" ca="1" si="26"/>
        <v>0.9360806241979196</v>
      </c>
      <c r="Q149" s="9">
        <f t="shared" ca="1" si="26"/>
        <v>1.9780459877414693</v>
      </c>
    </row>
    <row r="150" spans="12:17">
      <c r="L150" s="10">
        <f t="shared" ca="1" si="26"/>
        <v>0.12901639927013131</v>
      </c>
      <c r="M150" s="19">
        <f t="shared" ca="1" si="26"/>
        <v>0.78254074888069813</v>
      </c>
      <c r="N150" s="19">
        <f t="shared" ca="1" si="26"/>
        <v>2.781005390847342</v>
      </c>
      <c r="O150" s="19">
        <f t="shared" ca="1" si="26"/>
        <v>1.89962784854163</v>
      </c>
      <c r="P150" s="19">
        <f t="shared" ca="1" si="26"/>
        <v>2.1889909622596542</v>
      </c>
      <c r="Q150" s="11">
        <f t="shared" ca="1" si="26"/>
        <v>1.1307725137503566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AH76"/>
  <sheetViews>
    <sheetView showGridLines="0" topLeftCell="A16" workbookViewId="0">
      <selection activeCell="A19" sqref="A19"/>
    </sheetView>
  </sheetViews>
  <sheetFormatPr defaultRowHeight="15"/>
  <cols>
    <col min="3" max="3" width="11.5703125" bestFit="1" customWidth="1"/>
    <col min="4" max="4" width="22" bestFit="1" customWidth="1"/>
    <col min="5" max="7" width="8.85546875" customWidth="1"/>
    <col min="8" max="8" width="10.42578125" bestFit="1" customWidth="1"/>
  </cols>
  <sheetData>
    <row r="1" spans="1:33">
      <c r="H1" t="s">
        <v>20</v>
      </c>
      <c r="I1" t="s">
        <v>1</v>
      </c>
      <c r="J1">
        <f>Residuals!C3</f>
        <v>0.94038741647901758</v>
      </c>
    </row>
    <row r="2" spans="1:33">
      <c r="I2" t="s">
        <v>2</v>
      </c>
      <c r="J2">
        <f>Residuals!C4</f>
        <v>1.0645469268043382</v>
      </c>
    </row>
    <row r="3" spans="1:33">
      <c r="I3" s="7"/>
      <c r="J3" s="18" t="str">
        <f>J8</f>
        <v>last</v>
      </c>
      <c r="K3" s="18">
        <f t="shared" ref="K3:AC3" si="0">K8</f>
        <v>1</v>
      </c>
      <c r="L3" s="18">
        <f t="shared" si="0"/>
        <v>2</v>
      </c>
      <c r="M3" s="18">
        <f t="shared" si="0"/>
        <v>3</v>
      </c>
      <c r="N3" s="18">
        <f t="shared" si="0"/>
        <v>4</v>
      </c>
      <c r="O3" s="18">
        <f t="shared" si="0"/>
        <v>5</v>
      </c>
      <c r="P3" s="18">
        <f t="shared" si="0"/>
        <v>6</v>
      </c>
      <c r="Q3" s="18">
        <f t="shared" si="0"/>
        <v>7</v>
      </c>
      <c r="R3" s="18">
        <f t="shared" si="0"/>
        <v>8</v>
      </c>
      <c r="S3" s="18">
        <f t="shared" si="0"/>
        <v>9</v>
      </c>
      <c r="T3" s="18">
        <f t="shared" si="0"/>
        <v>10</v>
      </c>
      <c r="U3" s="18">
        <f t="shared" si="0"/>
        <v>11</v>
      </c>
      <c r="V3" s="18">
        <f t="shared" si="0"/>
        <v>12</v>
      </c>
      <c r="W3" s="18">
        <f t="shared" si="0"/>
        <v>13</v>
      </c>
      <c r="X3" s="18">
        <f t="shared" si="0"/>
        <v>14</v>
      </c>
      <c r="Y3" s="18">
        <f t="shared" si="0"/>
        <v>15</v>
      </c>
      <c r="Z3" s="18">
        <f t="shared" si="0"/>
        <v>16</v>
      </c>
      <c r="AA3" s="18">
        <f t="shared" si="0"/>
        <v>17</v>
      </c>
      <c r="AB3" s="18">
        <f t="shared" si="0"/>
        <v>18</v>
      </c>
      <c r="AC3" s="18">
        <f t="shared" si="0"/>
        <v>19</v>
      </c>
      <c r="AD3" s="18">
        <f>AD8</f>
        <v>20</v>
      </c>
      <c r="AE3" s="18">
        <f t="shared" ref="AE3" si="1">AE8</f>
        <v>0</v>
      </c>
    </row>
    <row r="4" spans="1:33">
      <c r="I4" s="10" t="str">
        <f xml:space="preserve"> "AR1 MC Paths for Sales for " &amp;ticker</f>
        <v>AR1 MC Paths for Sales for EZCH</v>
      </c>
      <c r="J4" s="19">
        <f>J14</f>
        <v>19.241</v>
      </c>
      <c r="K4" s="19">
        <f>$J$2+$J$1*J$4</f>
        <v>19.158541207277118</v>
      </c>
      <c r="L4" s="19">
        <f t="shared" ref="L4:AD4" si="2">$J$2+$J$1*K$4</f>
        <v>19.080997996222465</v>
      </c>
      <c r="M4" s="19">
        <f t="shared" si="2"/>
        <v>19.008077336313292</v>
      </c>
      <c r="N4" s="19">
        <f t="shared" si="2"/>
        <v>18.939503665333362</v>
      </c>
      <c r="O4" s="19">
        <f t="shared" si="2"/>
        <v>18.875017848042063</v>
      </c>
      <c r="P4" s="19">
        <f t="shared" si="2"/>
        <v>18.814376196919959</v>
      </c>
      <c r="Q4" s="19">
        <f t="shared" si="2"/>
        <v>18.757349551290226</v>
      </c>
      <c r="R4" s="19">
        <f t="shared" si="2"/>
        <v>18.70372241133601</v>
      </c>
      <c r="S4" s="19">
        <f t="shared" si="2"/>
        <v>18.653292123741309</v>
      </c>
      <c r="T4" s="19">
        <f t="shared" si="2"/>
        <v>18.605868115877833</v>
      </c>
      <c r="U4" s="19">
        <f t="shared" si="2"/>
        <v>18.561271175644016</v>
      </c>
      <c r="V4" s="19">
        <f t="shared" si="2"/>
        <v>18.51933277423467</v>
      </c>
      <c r="W4" s="19">
        <f t="shared" si="2"/>
        <v>18.479894429282076</v>
      </c>
      <c r="X4" s="19">
        <f t="shared" si="2"/>
        <v>18.442807105961897</v>
      </c>
      <c r="Y4" s="19">
        <f t="shared" si="2"/>
        <v>18.407930653800712</v>
      </c>
      <c r="Z4" s="19">
        <f t="shared" si="2"/>
        <v>18.375133277056904</v>
      </c>
      <c r="AA4" s="19">
        <f t="shared" si="2"/>
        <v>18.344291036673503</v>
      </c>
      <c r="AB4" s="19">
        <f t="shared" si="2"/>
        <v>18.315287381920932</v>
      </c>
      <c r="AC4" s="19">
        <f t="shared" si="2"/>
        <v>18.288012709959716</v>
      </c>
      <c r="AD4" s="19">
        <f t="shared" si="2"/>
        <v>18.262363951658791</v>
      </c>
      <c r="AE4" s="11"/>
      <c r="AG4" s="3"/>
    </row>
    <row r="5" spans="1:33">
      <c r="AF5" s="5"/>
      <c r="AG5" s="6"/>
    </row>
    <row r="6" spans="1:33">
      <c r="B6" t="s">
        <v>5</v>
      </c>
      <c r="I6" s="7" t="s">
        <v>22</v>
      </c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3"/>
      <c r="Y6" s="13"/>
      <c r="Z6" s="13"/>
      <c r="AA6" s="13"/>
      <c r="AB6" s="13"/>
      <c r="AC6" s="13"/>
      <c r="AD6" s="13" t="s">
        <v>8</v>
      </c>
      <c r="AE6" s="8"/>
    </row>
    <row r="7" spans="1:33">
      <c r="B7" t="s">
        <v>3</v>
      </c>
      <c r="C7" t="s">
        <v>4</v>
      </c>
      <c r="I7" s="22" t="s">
        <v>9</v>
      </c>
      <c r="J7" s="13"/>
      <c r="K7" s="13">
        <f ca="1">AVERAGE(K9:K18)</f>
        <v>19.065569951516359</v>
      </c>
      <c r="L7" s="13">
        <f t="shared" ref="L7:AD7" ca="1" si="3">AVERAGE(L9:L18)</f>
        <v>19.426896436901874</v>
      </c>
      <c r="M7" s="13">
        <f t="shared" ca="1" si="3"/>
        <v>18.742611717383049</v>
      </c>
      <c r="N7" s="13">
        <f t="shared" ca="1" si="3"/>
        <v>19.860388117489169</v>
      </c>
      <c r="O7" s="13">
        <f t="shared" ca="1" si="3"/>
        <v>19.819826289004823</v>
      </c>
      <c r="P7" s="13">
        <f t="shared" ca="1" si="3"/>
        <v>20.514202310677817</v>
      </c>
      <c r="Q7" s="13">
        <f t="shared" ca="1" si="3"/>
        <v>20.317814244164154</v>
      </c>
      <c r="R7" s="13">
        <f t="shared" ca="1" si="3"/>
        <v>21.071086823592957</v>
      </c>
      <c r="S7" s="13">
        <f t="shared" ca="1" si="3"/>
        <v>20.802490984228434</v>
      </c>
      <c r="T7" s="13">
        <f t="shared" ca="1" si="3"/>
        <v>20.715137913278983</v>
      </c>
      <c r="U7" s="13">
        <f t="shared" ca="1" si="3"/>
        <v>20.06294972103488</v>
      </c>
      <c r="V7" s="13">
        <f t="shared" ca="1" si="3"/>
        <v>20.462900681431115</v>
      </c>
      <c r="W7" s="13">
        <f t="shared" ca="1" si="3"/>
        <v>20.075021104728332</v>
      </c>
      <c r="X7" s="13">
        <f t="shared" ca="1" si="3"/>
        <v>19.762488239850821</v>
      </c>
      <c r="Y7" s="13">
        <f t="shared" ca="1" si="3"/>
        <v>19.468596960764394</v>
      </c>
      <c r="Z7" s="13">
        <f t="shared" ca="1" si="3"/>
        <v>19.492281168736209</v>
      </c>
      <c r="AA7" s="13">
        <f t="shared" ca="1" si="3"/>
        <v>20.228239792513584</v>
      </c>
      <c r="AB7" s="13">
        <f t="shared" ca="1" si="3"/>
        <v>19.554509619297157</v>
      </c>
      <c r="AC7" s="13">
        <f t="shared" ca="1" si="3"/>
        <v>17.495835517888022</v>
      </c>
      <c r="AD7" s="13">
        <f t="shared" ca="1" si="3"/>
        <v>18.362315967973263</v>
      </c>
      <c r="AE7" s="9"/>
    </row>
    <row r="8" spans="1:33">
      <c r="I8" s="22" t="s">
        <v>7</v>
      </c>
      <c r="J8" s="13" t="s">
        <v>81</v>
      </c>
      <c r="K8" s="13">
        <v>1</v>
      </c>
      <c r="L8" s="13">
        <v>2</v>
      </c>
      <c r="M8" s="13">
        <v>3</v>
      </c>
      <c r="N8" s="13">
        <v>4</v>
      </c>
      <c r="O8" s="13">
        <v>5</v>
      </c>
      <c r="P8" s="13">
        <v>6</v>
      </c>
      <c r="Q8" s="13">
        <v>7</v>
      </c>
      <c r="R8" s="13">
        <v>8</v>
      </c>
      <c r="S8" s="13">
        <v>9</v>
      </c>
      <c r="T8" s="13">
        <v>10</v>
      </c>
      <c r="U8" s="13">
        <v>11</v>
      </c>
      <c r="V8" s="13">
        <v>12</v>
      </c>
      <c r="W8" s="13">
        <v>13</v>
      </c>
      <c r="X8" s="13">
        <v>14</v>
      </c>
      <c r="Y8" s="13">
        <v>15</v>
      </c>
      <c r="Z8" s="13">
        <v>16</v>
      </c>
      <c r="AA8" s="13">
        <v>17</v>
      </c>
      <c r="AB8" s="13">
        <v>18</v>
      </c>
      <c r="AC8" s="13">
        <v>19</v>
      </c>
      <c r="AD8" s="13">
        <v>20</v>
      </c>
      <c r="AE8" s="9"/>
    </row>
    <row r="9" spans="1:33">
      <c r="I9" s="22">
        <v>1</v>
      </c>
      <c r="J9" s="13">
        <f>Residuals!$B$45</f>
        <v>19.241</v>
      </c>
      <c r="K9" s="13">
        <f ca="1">$J$2+$J$1*J9+Residuals!K9+K$22</f>
        <v>19.43822886507439</v>
      </c>
      <c r="L9" s="13">
        <f ca="1">$J$2+$J$1*K9+Residuals!L9+L$22</f>
        <v>22.132093005521543</v>
      </c>
      <c r="M9" s="13">
        <f ca="1">$J$2+$J$1*L9+Residuals!M9+M$22</f>
        <v>21.449965849828487</v>
      </c>
      <c r="N9" s="13">
        <f ca="1">$J$2+$J$1*M9+Residuals!N9+N$22</f>
        <v>23.233089334111391</v>
      </c>
      <c r="O9" s="13">
        <f ca="1">$J$2+$J$1*N9+Residuals!O9+O$22</f>
        <v>20.255242041414608</v>
      </c>
      <c r="P9" s="13">
        <f ca="1">$J$2+$J$1*O9+Residuals!P9+P$22</f>
        <v>19.32313960359286</v>
      </c>
      <c r="Q9" s="13">
        <f ca="1">$J$2+$J$1*P9+Residuals!Q9+Q$22</f>
        <v>22.599153481554911</v>
      </c>
      <c r="R9" s="13">
        <f ca="1">$J$2+$J$1*Q9+Residuals!R9+R$22</f>
        <v>20.504071528146763</v>
      </c>
      <c r="S9" s="13">
        <f ca="1">$J$2+$J$1*R9+Residuals!S9+S$22</f>
        <v>17.273096902727353</v>
      </c>
      <c r="T9" s="13">
        <f ca="1">$J$2+$J$1*S9+Residuals!T9+T$22</f>
        <v>16.369960973480147</v>
      </c>
      <c r="U9" s="13">
        <f ca="1">$J$2+$J$1*T9+Residuals!U9+U$22</f>
        <v>12.974633367537665</v>
      </c>
      <c r="V9" s="13">
        <f ca="1">$J$2+$J$1*U9+Residuals!V9+V$22</f>
        <v>11.360512876667594</v>
      </c>
      <c r="W9" s="13">
        <f ca="1">$J$2+$J$1*V9+Residuals!W9+W$22</f>
        <v>9.8053951716064756</v>
      </c>
      <c r="X9" s="13">
        <f ca="1">$J$2+$J$1*W9+Residuals!X9+X$22</f>
        <v>9.0011212540185159</v>
      </c>
      <c r="Y9" s="13">
        <f ca="1">$J$2+$J$1*X9+Residuals!Y9+Y$22</f>
        <v>9.2879293255113282</v>
      </c>
      <c r="Z9" s="13">
        <f ca="1">$J$2+$J$1*Y9+Residuals!Z9+Z$22</f>
        <v>6.8800886774505123</v>
      </c>
      <c r="AA9" s="13">
        <f ca="1">$J$2+$J$1*Z9+Residuals!AA9+AA$22</f>
        <v>4.8674494287233223</v>
      </c>
      <c r="AB9" s="13">
        <f ca="1">$J$2+$J$1*AA9+Residuals!AB9+AB$22</f>
        <v>6.7420963249787942</v>
      </c>
      <c r="AC9" s="13">
        <f ca="1">$J$2+$J$1*AB9+Residuals!AC9+AC$22</f>
        <v>5.5017031735966153</v>
      </c>
      <c r="AD9" s="13">
        <f ca="1">$J$2+$J$1*AC9+Residuals!AD9+AD$22</f>
        <v>5.5956261335696613</v>
      </c>
      <c r="AE9" s="9"/>
    </row>
    <row r="10" spans="1:33">
      <c r="I10" s="22">
        <v>2</v>
      </c>
      <c r="J10" s="13">
        <f>Residuals!$B$45</f>
        <v>19.241</v>
      </c>
      <c r="K10" s="13">
        <f ca="1">$J$2+$J$1*J10+Residuals!K10+K$22</f>
        <v>19.971072852330707</v>
      </c>
      <c r="L10" s="13">
        <f ca="1">$J$2+$J$1*K10+Residuals!L10+L$22</f>
        <v>22.473219317252976</v>
      </c>
      <c r="M10" s="13">
        <f ca="1">$J$2+$J$1*L10+Residuals!M10+M$22</f>
        <v>20.624211020011909</v>
      </c>
      <c r="N10" s="13">
        <f ca="1">$J$2+$J$1*M10+Residuals!N10+N$22</f>
        <v>25.185676509290197</v>
      </c>
      <c r="O10" s="13">
        <f ca="1">$J$2+$J$1*N10+Residuals!O10+O$22</f>
        <v>24.962337246881688</v>
      </c>
      <c r="P10" s="13">
        <f ca="1">$J$2+$J$1*O10+Residuals!P10+P$22</f>
        <v>25.220126259382447</v>
      </c>
      <c r="Q10" s="13">
        <f ca="1">$J$2+$J$1*P10+Residuals!Q10+Q$22</f>
        <v>22.896837847053586</v>
      </c>
      <c r="R10" s="13">
        <f ca="1">$J$2+$J$1*Q10+Residuals!R10+R$22</f>
        <v>22.324724874120804</v>
      </c>
      <c r="S10" s="13">
        <f ca="1">$J$2+$J$1*R10+Residuals!S10+S$22</f>
        <v>19.835410530122729</v>
      </c>
      <c r="T10" s="13">
        <f ca="1">$J$2+$J$1*S10+Residuals!T10+T$22</f>
        <v>17.639699147357913</v>
      </c>
      <c r="U10" s="13">
        <f ca="1">$J$2+$J$1*T10+Residuals!U10+U$22</f>
        <v>20.087888399933846</v>
      </c>
      <c r="V10" s="13">
        <f ca="1">$J$2+$J$1*U10+Residuals!V10+V$22</f>
        <v>19.69665152391164</v>
      </c>
      <c r="W10" s="13">
        <f ca="1">$J$2+$J$1*V10+Residuals!W10+W$22</f>
        <v>19.883108095915304</v>
      </c>
      <c r="X10" s="13">
        <f ca="1">$J$2+$J$1*W10+Residuals!X10+X$22</f>
        <v>20.620298161718829</v>
      </c>
      <c r="Y10" s="13">
        <f ca="1">$J$2+$J$1*X10+Residuals!Y10+Y$22</f>
        <v>19.320063912064477</v>
      </c>
      <c r="Z10" s="13">
        <f ca="1">$J$2+$J$1*Y10+Residuals!Z10+Z$22</f>
        <v>20.888979682801146</v>
      </c>
      <c r="AA10" s="13">
        <f ca="1">$J$2+$J$1*Z10+Residuals!AA10+AA$22</f>
        <v>20.982926291186175</v>
      </c>
      <c r="AB10" s="13">
        <f ca="1">$J$2+$J$1*AA10+Residuals!AB10+AB$22</f>
        <v>20.760816210144348</v>
      </c>
      <c r="AC10" s="13">
        <f ca="1">$J$2+$J$1*AB10+Residuals!AC10+AC$22</f>
        <v>17.506497361102205</v>
      </c>
      <c r="AD10" s="13">
        <f ca="1">$J$2+$J$1*AC10+Residuals!AD10+AD$22</f>
        <v>18.768830576940843</v>
      </c>
      <c r="AE10" s="9"/>
    </row>
    <row r="11" spans="1:33">
      <c r="I11" s="22">
        <v>3</v>
      </c>
      <c r="J11" s="13">
        <f>Residuals!$B$45</f>
        <v>19.241</v>
      </c>
      <c r="K11" s="13">
        <f ca="1">$J$2+$J$1*J11+Residuals!K11+K$22</f>
        <v>17.959499597513016</v>
      </c>
      <c r="L11" s="13">
        <f ca="1">$J$2+$J$1*K11+Residuals!L11+L$22</f>
        <v>18.080514605899584</v>
      </c>
      <c r="M11" s="13">
        <f ca="1">$J$2+$J$1*L11+Residuals!M11+M$22</f>
        <v>17.813118829536087</v>
      </c>
      <c r="N11" s="13">
        <f ca="1">$J$2+$J$1*M11+Residuals!N11+N$22</f>
        <v>17.384440960214828</v>
      </c>
      <c r="O11" s="13">
        <f ca="1">$J$2+$J$1*N11+Residuals!O11+O$22</f>
        <v>18.166356600382855</v>
      </c>
      <c r="P11" s="13">
        <f ca="1">$J$2+$J$1*O11+Residuals!P11+P$22</f>
        <v>18.320863175281744</v>
      </c>
      <c r="Q11" s="13">
        <f ca="1">$J$2+$J$1*P11+Residuals!Q11+Q$22</f>
        <v>18.588050437544702</v>
      </c>
      <c r="R11" s="13">
        <f ca="1">$J$2+$J$1*Q11+Residuals!R11+R$22</f>
        <v>19.460761824557594</v>
      </c>
      <c r="S11" s="13">
        <f ca="1">$J$2+$J$1*R11+Residuals!S11+S$22</f>
        <v>20.421002437283516</v>
      </c>
      <c r="T11" s="13">
        <f ca="1">$J$2+$J$1*S11+Residuals!T11+T$22</f>
        <v>18.827649953643018</v>
      </c>
      <c r="U11" s="13">
        <f ca="1">$J$2+$J$1*T11+Residuals!U11+U$22</f>
        <v>15.435997486127869</v>
      </c>
      <c r="V11" s="13">
        <f ca="1">$J$2+$J$1*U11+Residuals!V11+V$22</f>
        <v>16.754570822632896</v>
      </c>
      <c r="W11" s="13">
        <f ca="1">$J$2+$J$1*V11+Residuals!W11+W$22</f>
        <v>16.743142119253829</v>
      </c>
      <c r="X11" s="13">
        <f ca="1">$J$2+$J$1*W11+Residuals!X11+X$22</f>
        <v>15.841968036618294</v>
      </c>
      <c r="Y11" s="13">
        <f ca="1">$J$2+$J$1*X11+Residuals!Y11+Y$22</f>
        <v>15.899430539915318</v>
      </c>
      <c r="Z11" s="13">
        <f ca="1">$J$2+$J$1*Y11+Residuals!Z11+Z$22</f>
        <v>15.463231604319139</v>
      </c>
      <c r="AA11" s="13">
        <f ca="1">$J$2+$J$1*Z11+Residuals!AA11+AA$22</f>
        <v>17.561344102715655</v>
      </c>
      <c r="AB11" s="13">
        <f ca="1">$J$2+$J$1*AA11+Residuals!AB11+AB$22</f>
        <v>18.302848365245261</v>
      </c>
      <c r="AC11" s="13">
        <f ca="1">$J$2+$J$1*AB11+Residuals!AC11+AC$22</f>
        <v>15.200306537097266</v>
      </c>
      <c r="AD11" s="13">
        <f ca="1">$J$2+$J$1*AC11+Residuals!AD11+AD$22</f>
        <v>15.01935209232068</v>
      </c>
      <c r="AE11" s="9"/>
    </row>
    <row r="12" spans="1:33">
      <c r="I12" s="22">
        <v>4</v>
      </c>
      <c r="J12" s="13">
        <f>Residuals!$B$45</f>
        <v>19.241</v>
      </c>
      <c r="K12" s="13">
        <f ca="1">$J$2+$J$1*J12+Residuals!K12+K$22</f>
        <v>19.764472637874878</v>
      </c>
      <c r="L12" s="13">
        <f ca="1">$J$2+$J$1*K12+Residuals!L12+L$22</f>
        <v>20.353746845100908</v>
      </c>
      <c r="M12" s="13">
        <f ca="1">$J$2+$J$1*L12+Residuals!M12+M$22</f>
        <v>19.230518235239735</v>
      </c>
      <c r="N12" s="13">
        <f ca="1">$J$2+$J$1*M12+Residuals!N12+N$22</f>
        <v>21.010671290765213</v>
      </c>
      <c r="O12" s="13">
        <f ca="1">$J$2+$J$1*N12+Residuals!O12+O$22</f>
        <v>19.461171069640095</v>
      </c>
      <c r="P12" s="13">
        <f ca="1">$J$2+$J$1*O12+Residuals!P12+P$22</f>
        <v>23.4655599459422</v>
      </c>
      <c r="Q12" s="13">
        <f ca="1">$J$2+$J$1*P12+Residuals!Q12+Q$22</f>
        <v>20.663440696288689</v>
      </c>
      <c r="R12" s="13">
        <f ca="1">$J$2+$J$1*Q12+Residuals!R12+R$22</f>
        <v>21.101497054187089</v>
      </c>
      <c r="S12" s="13">
        <f ca="1">$J$2+$J$1*R12+Residuals!S12+S$22</f>
        <v>18.599136302841629</v>
      </c>
      <c r="T12" s="13">
        <f ca="1">$J$2+$J$1*S12+Residuals!T12+T$22</f>
        <v>16.91647230566338</v>
      </c>
      <c r="U12" s="13">
        <f ca="1">$J$2+$J$1*T12+Residuals!U12+U$22</f>
        <v>19.454587586594865</v>
      </c>
      <c r="V12" s="13">
        <f ca="1">$J$2+$J$1*U12+Residuals!V12+V$22</f>
        <v>19.988489484807481</v>
      </c>
      <c r="W12" s="13">
        <f ca="1">$J$2+$J$1*V12+Residuals!W12+W$22</f>
        <v>18.647261336760899</v>
      </c>
      <c r="X12" s="13">
        <f ca="1">$J$2+$J$1*W12+Residuals!X12+X$22</f>
        <v>19.621719630085288</v>
      </c>
      <c r="Y12" s="13">
        <f ca="1">$J$2+$J$1*X12+Residuals!Y12+Y$22</f>
        <v>20.790470668859093</v>
      </c>
      <c r="Z12" s="13">
        <f ca="1">$J$2+$J$1*Y12+Residuals!Z12+Z$22</f>
        <v>23.033014310815808</v>
      </c>
      <c r="AA12" s="13">
        <f ca="1">$J$2+$J$1*Z12+Residuals!AA12+AA$22</f>
        <v>24.205482072216558</v>
      </c>
      <c r="AB12" s="13">
        <f ca="1">$J$2+$J$1*AA12+Residuals!AB12+AB$22</f>
        <v>23.200323380100045</v>
      </c>
      <c r="AC12" s="13">
        <f ca="1">$J$2+$J$1*AB12+Residuals!AC12+AC$22</f>
        <v>22.904960185095412</v>
      </c>
      <c r="AD12" s="13">
        <f ca="1">$J$2+$J$1*AC12+Residuals!AD12+AD$22</f>
        <v>26.147921442369103</v>
      </c>
      <c r="AE12" s="9"/>
    </row>
    <row r="13" spans="1:33">
      <c r="I13" s="22">
        <v>5</v>
      </c>
      <c r="J13" s="13">
        <f>Residuals!$B$45</f>
        <v>19.241</v>
      </c>
      <c r="K13" s="13">
        <f ca="1">$J$2+$J$1*J13+Residuals!K13+K$22</f>
        <v>16.126318001464682</v>
      </c>
      <c r="L13" s="13">
        <f ca="1">$J$2+$J$1*K13+Residuals!L13+L$22</f>
        <v>14.534814493482623</v>
      </c>
      <c r="M13" s="13">
        <f ca="1">$J$2+$J$1*L13+Residuals!M13+M$22</f>
        <v>14.825862963603443</v>
      </c>
      <c r="N13" s="13">
        <f ca="1">$J$2+$J$1*M13+Residuals!N13+N$22</f>
        <v>18.7563564245016</v>
      </c>
      <c r="O13" s="13">
        <f ca="1">$J$2+$J$1*N13+Residuals!O13+O$22</f>
        <v>16.54582614738786</v>
      </c>
      <c r="P13" s="13">
        <f ca="1">$J$2+$J$1*O13+Residuals!P13+P$22</f>
        <v>19.21203799744066</v>
      </c>
      <c r="Q13" s="13">
        <f ca="1">$J$2+$J$1*P13+Residuals!Q13+Q$22</f>
        <v>16.257149387589443</v>
      </c>
      <c r="R13" s="13">
        <f ca="1">$J$2+$J$1*Q13+Residuals!R13+R$22</f>
        <v>17.875144601386079</v>
      </c>
      <c r="S13" s="13">
        <f ca="1">$J$2+$J$1*R13+Residuals!S13+S$22</f>
        <v>19.474412369422776</v>
      </c>
      <c r="T13" s="13">
        <f ca="1">$J$2+$J$1*S13+Residuals!T13+T$22</f>
        <v>22.553515006372145</v>
      </c>
      <c r="U13" s="13">
        <f ca="1">$J$2+$J$1*T13+Residuals!U13+U$22</f>
        <v>24.469081741624514</v>
      </c>
      <c r="V13" s="13">
        <f ca="1">$J$2+$J$1*U13+Residuals!V13+V$22</f>
        <v>25.142605230425662</v>
      </c>
      <c r="W13" s="13">
        <f ca="1">$J$2+$J$1*V13+Residuals!W13+W$22</f>
        <v>24.695902329052743</v>
      </c>
      <c r="X13" s="13">
        <f ca="1">$J$2+$J$1*W13+Residuals!X13+X$22</f>
        <v>22.171530395175655</v>
      </c>
      <c r="Y13" s="13">
        <f ca="1">$J$2+$J$1*X13+Residuals!Y13+Y$22</f>
        <v>20.617009661861925</v>
      </c>
      <c r="Z13" s="13">
        <f ca="1">$J$2+$J$1*Y13+Residuals!Z13+Z$22</f>
        <v>22.28761070163317</v>
      </c>
      <c r="AA13" s="13">
        <f ca="1">$J$2+$J$1*Z13+Residuals!AA13+AA$22</f>
        <v>24.092865210137681</v>
      </c>
      <c r="AB13" s="13">
        <f ca="1">$J$2+$J$1*AA13+Residuals!AB13+AB$22</f>
        <v>23.847955715334379</v>
      </c>
      <c r="AC13" s="13">
        <f ca="1">$J$2+$J$1*AB13+Residuals!AC13+AC$22</f>
        <v>19.023505133663917</v>
      </c>
      <c r="AD13" s="13">
        <f ca="1">$J$2+$J$1*AC13+Residuals!AD13+AD$22</f>
        <v>19.001876126928387</v>
      </c>
      <c r="AE13" s="9"/>
    </row>
    <row r="14" spans="1:33">
      <c r="A14">
        <v>2013</v>
      </c>
      <c r="B14">
        <v>100</v>
      </c>
      <c r="C14">
        <v>10</v>
      </c>
      <c r="I14" s="22">
        <v>6</v>
      </c>
      <c r="J14" s="13">
        <f>Residuals!$B$45</f>
        <v>19.241</v>
      </c>
      <c r="K14" s="13">
        <f ca="1">$J$2+$J$1*J14+Residuals!K14+K$22</f>
        <v>19.318317454039985</v>
      </c>
      <c r="L14" s="13">
        <f ca="1">$J$2+$J$1*K14+Residuals!L14+L$22</f>
        <v>19.8600092314663</v>
      </c>
      <c r="M14" s="13">
        <f ca="1">$J$2+$J$1*L14+Residuals!M14+M$22</f>
        <v>17.524549646046445</v>
      </c>
      <c r="N14" s="13">
        <f ca="1">$J$2+$J$1*M14+Residuals!N14+N$22</f>
        <v>19.521694658720886</v>
      </c>
      <c r="O14" s="13">
        <f ca="1">$J$2+$J$1*N14+Residuals!O14+O$22</f>
        <v>22.505505546802308</v>
      </c>
      <c r="P14" s="13">
        <f ca="1">$J$2+$J$1*O14+Residuals!P14+P$22</f>
        <v>21.408646579018257</v>
      </c>
      <c r="Q14" s="13">
        <f ca="1">$J$2+$J$1*P14+Residuals!Q14+Q$22</f>
        <v>21.55199886856219</v>
      </c>
      <c r="R14" s="13">
        <f ca="1">$J$2+$J$1*Q14+Residuals!R14+R$22</f>
        <v>19.814418605459753</v>
      </c>
      <c r="S14" s="13">
        <f ca="1">$J$2+$J$1*R14+Residuals!S14+S$22</f>
        <v>16.60283826105217</v>
      </c>
      <c r="T14" s="13">
        <f ca="1">$J$2+$J$1*S14+Residuals!T14+T$22</f>
        <v>14.797832749303073</v>
      </c>
      <c r="U14" s="13">
        <f ca="1">$J$2+$J$1*T14+Residuals!U14+U$22</f>
        <v>14.259889907036511</v>
      </c>
      <c r="V14" s="13">
        <f ca="1">$J$2+$J$1*U14+Residuals!V14+V$22</f>
        <v>15.570508694876059</v>
      </c>
      <c r="W14" s="13">
        <f ca="1">$J$2+$J$1*V14+Residuals!W14+W$22</f>
        <v>14.004747746675561</v>
      </c>
      <c r="X14" s="13">
        <f ca="1">$J$2+$J$1*W14+Residuals!X14+X$22</f>
        <v>14.829273341541857</v>
      </c>
      <c r="Y14" s="13">
        <f ca="1">$J$2+$J$1*X14+Residuals!Y14+Y$22</f>
        <v>12.192046765787239</v>
      </c>
      <c r="Z14" s="13">
        <f ca="1">$J$2+$J$1*Y14+Residuals!Z14+Z$22</f>
        <v>11.816488738383187</v>
      </c>
      <c r="AA14" s="13">
        <f ca="1">$J$2+$J$1*Z14+Residuals!AA14+AA$22</f>
        <v>14.631701722650012</v>
      </c>
      <c r="AB14" s="13">
        <f ca="1">$J$2+$J$1*AA14+Residuals!AB14+AB$22</f>
        <v>12.078486454983913</v>
      </c>
      <c r="AC14" s="13">
        <f ca="1">$J$2+$J$1*AB14+Residuals!AC14+AC$22</f>
        <v>13.466196795300853</v>
      </c>
      <c r="AD14" s="13">
        <f ca="1">$J$2+$J$1*AC14+Residuals!AD14+AD$22</f>
        <v>14.772362360774201</v>
      </c>
      <c r="AE14" s="24"/>
    </row>
    <row r="15" spans="1:33" ht="16.5" customHeight="1">
      <c r="A15">
        <v>2012</v>
      </c>
      <c r="B15">
        <v>120</v>
      </c>
      <c r="C15">
        <v>11</v>
      </c>
      <c r="I15" s="22">
        <v>7</v>
      </c>
      <c r="J15" s="13">
        <f>Residuals!$B$45</f>
        <v>19.241</v>
      </c>
      <c r="K15" s="13">
        <f ca="1">$J$2+$J$1*J15+Residuals!K15+K$22</f>
        <v>19.092899286207004</v>
      </c>
      <c r="L15" s="13">
        <f ca="1">$J$2+$J$1*K15+Residuals!L15+L$22</f>
        <v>22.969455387808207</v>
      </c>
      <c r="M15" s="13">
        <f ca="1">$J$2+$J$1*L15+Residuals!M15+M$22</f>
        <v>24.380010573381576</v>
      </c>
      <c r="N15" s="13">
        <f ca="1">$J$2+$J$1*M15+Residuals!N15+N$22</f>
        <v>22.848730819286718</v>
      </c>
      <c r="O15" s="13">
        <f ca="1">$J$2+$J$1*N15+Residuals!O15+O$22</f>
        <v>24.208096083869624</v>
      </c>
      <c r="P15" s="13">
        <f ca="1">$J$2+$J$1*O15+Residuals!P15+P$22</f>
        <v>24.048083003303958</v>
      </c>
      <c r="Q15" s="13">
        <f ca="1">$J$2+$J$1*P15+Residuals!Q15+Q$22</f>
        <v>22.261132641150869</v>
      </c>
      <c r="R15" s="13">
        <f ca="1">$J$2+$J$1*Q15+Residuals!R15+R$22</f>
        <v>26.014499469309275</v>
      </c>
      <c r="S15" s="13">
        <f ca="1">$J$2+$J$1*R15+Residuals!S15+S$22</f>
        <v>24.606262133236115</v>
      </c>
      <c r="T15" s="13">
        <f ca="1">$J$2+$J$1*S15+Residuals!T15+T$22</f>
        <v>27.473951913679471</v>
      </c>
      <c r="U15" s="13">
        <f ca="1">$J$2+$J$1*T15+Residuals!U15+U$22</f>
        <v>26.658882684289569</v>
      </c>
      <c r="V15" s="13">
        <f ca="1">$J$2+$J$1*U15+Residuals!V15+V$22</f>
        <v>24.294257821745653</v>
      </c>
      <c r="W15" s="13">
        <f ca="1">$J$2+$J$1*V15+Residuals!W15+W$22</f>
        <v>24.555093950640416</v>
      </c>
      <c r="X15" s="13">
        <f ca="1">$J$2+$J$1*W15+Residuals!X15+X$22</f>
        <v>23.71472328549989</v>
      </c>
      <c r="Y15" s="13">
        <f ca="1">$J$2+$J$1*X15+Residuals!Y15+Y$22</f>
        <v>24.533232800277663</v>
      </c>
      <c r="Z15" s="13">
        <f ca="1">$J$2+$J$1*Y15+Residuals!Z15+Z$22</f>
        <v>22.907259585356197</v>
      </c>
      <c r="AA15" s="13">
        <f ca="1">$J$2+$J$1*Z15+Residuals!AA15+AA$22</f>
        <v>21.584376765498416</v>
      </c>
      <c r="AB15" s="13">
        <f ca="1">$J$2+$J$1*AA15+Residuals!AB15+AB$22</f>
        <v>16.45174910156187</v>
      </c>
      <c r="AC15" s="13">
        <f ca="1">$J$2+$J$1*AB15+Residuals!AC15+AC$22</f>
        <v>15.805233553204499</v>
      </c>
      <c r="AD15" s="13">
        <f ca="1">$J$2+$J$1*AC15+Residuals!AD15+AD$22</f>
        <v>16.167828959104995</v>
      </c>
      <c r="AE15" s="24"/>
    </row>
    <row r="16" spans="1:33">
      <c r="A16">
        <v>2011</v>
      </c>
      <c r="B16">
        <v>150</v>
      </c>
      <c r="C16">
        <v>20</v>
      </c>
      <c r="I16" s="22">
        <v>8</v>
      </c>
      <c r="J16" s="13">
        <f>Residuals!$B$45</f>
        <v>19.241</v>
      </c>
      <c r="K16" s="13">
        <f ca="1">$J$2+$J$1*J16+Residuals!K16+K$22</f>
        <v>18.647722297036982</v>
      </c>
      <c r="L16" s="13">
        <f ca="1">$J$2+$J$1*K16+Residuals!L16+L$22</f>
        <v>17.69706501589344</v>
      </c>
      <c r="M16" s="13">
        <f ca="1">$J$2+$J$1*L16+Residuals!M16+M$22</f>
        <v>16.930108518976965</v>
      </c>
      <c r="N16" s="13">
        <f ca="1">$J$2+$J$1*M16+Residuals!N16+N$22</f>
        <v>13.185341360609925</v>
      </c>
      <c r="O16" s="13">
        <f ca="1">$J$2+$J$1*N16+Residuals!O16+O$22</f>
        <v>11.718759526377436</v>
      </c>
      <c r="P16" s="13">
        <f ca="1">$J$2+$J$1*O16+Residuals!P16+P$22</f>
        <v>12.546707389315861</v>
      </c>
      <c r="Q16" s="13">
        <f ca="1">$J$2+$J$1*P16+Residuals!Q16+Q$22</f>
        <v>13.863513165417523</v>
      </c>
      <c r="R16" s="13">
        <f ca="1">$J$2+$J$1*Q16+Residuals!R16+R$22</f>
        <v>14.793817855527545</v>
      </c>
      <c r="S16" s="13">
        <f ca="1">$J$2+$J$1*R16+Residuals!S16+S$22</f>
        <v>17.639037658811386</v>
      </c>
      <c r="T16" s="13">
        <f ca="1">$J$2+$J$1*S16+Residuals!T16+T$22</f>
        <v>20.820488106879466</v>
      </c>
      <c r="U16" s="13">
        <f ca="1">$J$2+$J$1*T16+Residuals!U16+U$22</f>
        <v>19.776941462695202</v>
      </c>
      <c r="V16" s="13">
        <f ca="1">$J$2+$J$1*U16+Residuals!V16+V$22</f>
        <v>20.951261410349151</v>
      </c>
      <c r="W16" s="13">
        <f ca="1">$J$2+$J$1*V16+Residuals!W16+W$22</f>
        <v>23.397213631347967</v>
      </c>
      <c r="X16" s="13">
        <f ca="1">$J$2+$J$1*W16+Residuals!X16+X$22</f>
        <v>22.278959078079858</v>
      </c>
      <c r="Y16" s="13">
        <f ca="1">$J$2+$J$1*X16+Residuals!Y16+Y$22</f>
        <v>21.033226773224431</v>
      </c>
      <c r="Z16" s="13">
        <f ca="1">$J$2+$J$1*Y16+Residuals!Z16+Z$22</f>
        <v>23.436518103193841</v>
      </c>
      <c r="AA16" s="13">
        <f ca="1">$J$2+$J$1*Z16+Residuals!AA16+AA$22</f>
        <v>26.305155457648262</v>
      </c>
      <c r="AB16" s="13">
        <f ca="1">$J$2+$J$1*AA16+Residuals!AB16+AB$22</f>
        <v>24.917396631953306</v>
      </c>
      <c r="AC16" s="13">
        <f ca="1">$J$2+$J$1*AB16+Residuals!AC16+AC$22</f>
        <v>21.948507548946015</v>
      </c>
      <c r="AD16" s="13">
        <f ca="1">$J$2+$J$1*AC16+Residuals!AD16+AD$22</f>
        <v>24.529128048036668</v>
      </c>
      <c r="AE16" s="24"/>
    </row>
    <row r="17" spans="1:32">
      <c r="A17">
        <v>2010</v>
      </c>
      <c r="B17">
        <v>90</v>
      </c>
      <c r="C17">
        <v>8</v>
      </c>
      <c r="I17" s="22">
        <v>9</v>
      </c>
      <c r="J17" s="13">
        <f>Residuals!$B$45</f>
        <v>19.241</v>
      </c>
      <c r="K17" s="13">
        <f ca="1">$J$2+$J$1*J17+Residuals!K17+K$22</f>
        <v>20.737494534405048</v>
      </c>
      <c r="L17" s="13">
        <f ca="1">$J$2+$J$1*K17+Residuals!L17+L$22</f>
        <v>20.007843278940292</v>
      </c>
      <c r="M17" s="13">
        <f ca="1">$J$2+$J$1*L17+Residuals!M17+M$22</f>
        <v>19.015163110091425</v>
      </c>
      <c r="N17" s="13">
        <f ca="1">$J$2+$J$1*M17+Residuals!N17+N$22</f>
        <v>20.039224959653389</v>
      </c>
      <c r="O17" s="13">
        <f ca="1">$J$2+$J$1*N17+Residuals!O17+O$22</f>
        <v>20.487667085038144</v>
      </c>
      <c r="P17" s="13">
        <f ca="1">$J$2+$J$1*O17+Residuals!P17+P$22</f>
        <v>22.453460013643156</v>
      </c>
      <c r="Q17" s="13">
        <f ca="1">$J$2+$J$1*P17+Residuals!Q17+Q$22</f>
        <v>25.91583020439181</v>
      </c>
      <c r="R17" s="13">
        <f ca="1">$J$2+$J$1*Q17+Residuals!R17+R$22</f>
        <v>27.408539198568029</v>
      </c>
      <c r="S17" s="13">
        <f ca="1">$J$2+$J$1*R17+Residuals!S17+S$22</f>
        <v>30.971751768579814</v>
      </c>
      <c r="T17" s="13">
        <f ca="1">$J$2+$J$1*S17+Residuals!T17+T$22</f>
        <v>26.954759754754679</v>
      </c>
      <c r="U17" s="13">
        <f ca="1">$J$2+$J$1*T17+Residuals!U17+U$22</f>
        <v>24.946018242169544</v>
      </c>
      <c r="V17" s="13">
        <f ca="1">$J$2+$J$1*U17+Residuals!V17+V$22</f>
        <v>25.625268613886853</v>
      </c>
      <c r="W17" s="13">
        <f ca="1">$J$2+$J$1*V17+Residuals!W17+W$22</f>
        <v>26.626851995257706</v>
      </c>
      <c r="X17" s="13">
        <f ca="1">$J$2+$J$1*W17+Residuals!X17+X$22</f>
        <v>28.583570013750677</v>
      </c>
      <c r="Y17" s="13">
        <f ca="1">$J$2+$J$1*X17+Residuals!Y17+Y$22</f>
        <v>27.188211117787223</v>
      </c>
      <c r="Z17" s="13">
        <f ca="1">$J$2+$J$1*Y17+Residuals!Z17+Z$22</f>
        <v>23.954277253284996</v>
      </c>
      <c r="AA17" s="13">
        <f ca="1">$J$2+$J$1*Z17+Residuals!AA17+AA$22</f>
        <v>24.813717268381389</v>
      </c>
      <c r="AB17" s="13">
        <f ca="1">$J$2+$J$1*AA17+Residuals!AB17+AB$22</f>
        <v>24.140437302972146</v>
      </c>
      <c r="AC17" s="13">
        <f ca="1">$J$2+$J$1*AB17+Residuals!AC17+AC$22</f>
        <v>20.192521509098839</v>
      </c>
      <c r="AD17" s="13">
        <f ca="1">$J$2+$J$1*AC17+Residuals!AD17+AD$22</f>
        <v>22.474130322254613</v>
      </c>
      <c r="AE17" s="24"/>
    </row>
    <row r="18" spans="1:32">
      <c r="A18">
        <v>2009</v>
      </c>
      <c r="B18">
        <v>80</v>
      </c>
      <c r="C18">
        <v>7</v>
      </c>
      <c r="I18" s="22">
        <v>10</v>
      </c>
      <c r="J18" s="13">
        <f>Residuals!$B$45</f>
        <v>19.241</v>
      </c>
      <c r="K18" s="13">
        <f ca="1">$J$2+$J$1*J18+Residuals!K18+K$22</f>
        <v>19.599673989216889</v>
      </c>
      <c r="L18" s="13">
        <f ca="1">$J$2+$J$1*K18+Residuals!L18+L$22</f>
        <v>16.160203187652865</v>
      </c>
      <c r="M18" s="13">
        <f ca="1">$J$2+$J$1*L18+Residuals!M18+M$22</f>
        <v>15.632608427114413</v>
      </c>
      <c r="N18" s="13">
        <f ca="1">$J$2+$J$1*M18+Residuals!N18+N$22</f>
        <v>17.438654857737536</v>
      </c>
      <c r="O18" s="13">
        <f ca="1">$J$2+$J$1*N18+Residuals!O18+O$22</f>
        <v>19.887301542253631</v>
      </c>
      <c r="P18" s="13">
        <f ca="1">$J$2+$J$1*O18+Residuals!P18+P$22</f>
        <v>19.143399139857021</v>
      </c>
      <c r="Q18" s="13">
        <f ca="1">$J$2+$J$1*P18+Residuals!Q18+Q$22</f>
        <v>18.581035712087804</v>
      </c>
      <c r="R18" s="13">
        <f ca="1">$J$2+$J$1*Q18+Residuals!R18+R$22</f>
        <v>21.413393224666638</v>
      </c>
      <c r="S18" s="13">
        <f ca="1">$J$2+$J$1*R18+Residuals!S18+S$22</f>
        <v>22.601961478206881</v>
      </c>
      <c r="T18" s="13">
        <f ca="1">$J$2+$J$1*S18+Residuals!T18+T$22</f>
        <v>24.797049221656525</v>
      </c>
      <c r="U18" s="13">
        <f ca="1">$J$2+$J$1*T18+Residuals!U18+U$22</f>
        <v>22.565576332339241</v>
      </c>
      <c r="V18" s="13">
        <f ca="1">$J$2+$J$1*U18+Residuals!V18+V$22</f>
        <v>25.244880335008201</v>
      </c>
      <c r="W18" s="13">
        <f ca="1">$J$2+$J$1*V18+Residuals!W18+W$22</f>
        <v>22.391494670772438</v>
      </c>
      <c r="X18" s="13">
        <f ca="1">$J$2+$J$1*W18+Residuals!X18+X$22</f>
        <v>20.96171920201936</v>
      </c>
      <c r="Y18" s="13">
        <f ca="1">$J$2+$J$1*X18+Residuals!Y18+Y$22</f>
        <v>23.824348042355233</v>
      </c>
      <c r="Z18" s="13">
        <f ca="1">$J$2+$J$1*Y18+Residuals!Z18+Z$22</f>
        <v>24.255343030124088</v>
      </c>
      <c r="AA18" s="13">
        <f ca="1">$J$2+$J$1*Z18+Residuals!AA18+AA$22</f>
        <v>23.237379605978337</v>
      </c>
      <c r="AB18" s="13">
        <f ca="1">$J$2+$J$1*AA18+Residuals!AB18+AB$22</f>
        <v>25.1029867056975</v>
      </c>
      <c r="AC18" s="13">
        <f ca="1">$J$2+$J$1*AB18+Residuals!AC18+AC$22</f>
        <v>23.408923381774592</v>
      </c>
      <c r="AD18" s="13">
        <f ca="1">$J$2+$J$1*AC18+Residuals!AD18+AD$22</f>
        <v>21.146103617433479</v>
      </c>
      <c r="AE18" s="24"/>
    </row>
    <row r="19" spans="1:32">
      <c r="A19">
        <v>2008</v>
      </c>
      <c r="B19">
        <v>70</v>
      </c>
      <c r="C19">
        <v>5</v>
      </c>
      <c r="I19" s="22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24"/>
    </row>
    <row r="20" spans="1:32">
      <c r="I20" s="22" t="s">
        <v>35</v>
      </c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9"/>
      <c r="AF20" s="13" t="s">
        <v>9</v>
      </c>
    </row>
    <row r="21" spans="1:32">
      <c r="C21" t="s">
        <v>6</v>
      </c>
      <c r="I21" s="10"/>
      <c r="J21" s="19"/>
      <c r="K21" s="19">
        <f>K4</f>
        <v>19.158541207277118</v>
      </c>
      <c r="L21" s="19">
        <f t="shared" ref="L21:AD21" si="4">L4</f>
        <v>19.080997996222465</v>
      </c>
      <c r="M21" s="19">
        <f t="shared" si="4"/>
        <v>19.008077336313292</v>
      </c>
      <c r="N21" s="19">
        <f t="shared" si="4"/>
        <v>18.939503665333362</v>
      </c>
      <c r="O21" s="19">
        <f t="shared" si="4"/>
        <v>18.875017848042063</v>
      </c>
      <c r="P21" s="19">
        <f t="shared" si="4"/>
        <v>18.814376196919959</v>
      </c>
      <c r="Q21" s="19">
        <f t="shared" si="4"/>
        <v>18.757349551290226</v>
      </c>
      <c r="R21" s="19">
        <f t="shared" si="4"/>
        <v>18.70372241133601</v>
      </c>
      <c r="S21" s="19">
        <f t="shared" si="4"/>
        <v>18.653292123741309</v>
      </c>
      <c r="T21" s="19">
        <f t="shared" si="4"/>
        <v>18.605868115877833</v>
      </c>
      <c r="U21" s="19">
        <f t="shared" si="4"/>
        <v>18.561271175644016</v>
      </c>
      <c r="V21" s="19">
        <f t="shared" si="4"/>
        <v>18.51933277423467</v>
      </c>
      <c r="W21" s="19">
        <f t="shared" si="4"/>
        <v>18.479894429282076</v>
      </c>
      <c r="X21" s="19">
        <f t="shared" si="4"/>
        <v>18.442807105961897</v>
      </c>
      <c r="Y21" s="19">
        <f t="shared" si="4"/>
        <v>18.407930653800712</v>
      </c>
      <c r="Z21" s="19">
        <f t="shared" si="4"/>
        <v>18.375133277056904</v>
      </c>
      <c r="AA21" s="19">
        <f t="shared" si="4"/>
        <v>18.344291036673503</v>
      </c>
      <c r="AB21" s="19">
        <f t="shared" si="4"/>
        <v>18.315287381920932</v>
      </c>
      <c r="AC21" s="19">
        <f t="shared" si="4"/>
        <v>18.288012709959716</v>
      </c>
      <c r="AD21" s="19">
        <f t="shared" si="4"/>
        <v>18.262363951658791</v>
      </c>
      <c r="AE21" s="11"/>
      <c r="AF21" s="19" t="s">
        <v>10</v>
      </c>
    </row>
    <row r="22" spans="1:32">
      <c r="I22" t="s">
        <v>34</v>
      </c>
      <c r="K22">
        <f>IF(K20&gt;0,K20-K21,0)</f>
        <v>0</v>
      </c>
      <c r="L22">
        <f t="shared" ref="L22:AD22" si="5">IF(L20&gt;0,L20-L21,0)</f>
        <v>0</v>
      </c>
      <c r="M22">
        <f t="shared" si="5"/>
        <v>0</v>
      </c>
      <c r="N22">
        <f t="shared" si="5"/>
        <v>0</v>
      </c>
      <c r="O22">
        <f t="shared" si="5"/>
        <v>0</v>
      </c>
      <c r="P22">
        <f t="shared" si="5"/>
        <v>0</v>
      </c>
      <c r="Q22">
        <f t="shared" si="5"/>
        <v>0</v>
      </c>
      <c r="R22">
        <f t="shared" si="5"/>
        <v>0</v>
      </c>
      <c r="S22">
        <f t="shared" si="5"/>
        <v>0</v>
      </c>
      <c r="T22">
        <f t="shared" si="5"/>
        <v>0</v>
      </c>
      <c r="U22">
        <f t="shared" si="5"/>
        <v>0</v>
      </c>
      <c r="V22">
        <f t="shared" si="5"/>
        <v>0</v>
      </c>
      <c r="W22">
        <f t="shared" si="5"/>
        <v>0</v>
      </c>
      <c r="X22">
        <f t="shared" si="5"/>
        <v>0</v>
      </c>
      <c r="Y22">
        <f t="shared" si="5"/>
        <v>0</v>
      </c>
      <c r="Z22">
        <f t="shared" si="5"/>
        <v>0</v>
      </c>
      <c r="AA22">
        <f t="shared" si="5"/>
        <v>0</v>
      </c>
      <c r="AB22">
        <f t="shared" si="5"/>
        <v>0</v>
      </c>
      <c r="AC22">
        <f t="shared" si="5"/>
        <v>0</v>
      </c>
      <c r="AD22">
        <f t="shared" si="5"/>
        <v>0</v>
      </c>
    </row>
    <row r="23" spans="1:32">
      <c r="A23" t="s">
        <v>1</v>
      </c>
      <c r="B23">
        <f>SLOPE(C14:C19,B14:B19)</f>
        <v>0.17470817120622564</v>
      </c>
    </row>
    <row r="24" spans="1:32">
      <c r="A24" t="s">
        <v>2</v>
      </c>
      <c r="B24">
        <f>INTERCEPT(C14:C19,B14:B19)</f>
        <v>-7.595330739299607</v>
      </c>
    </row>
    <row r="25" spans="1:32">
      <c r="I25" t="s">
        <v>32</v>
      </c>
    </row>
    <row r="27" spans="1:32">
      <c r="B27" t="s">
        <v>5</v>
      </c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3"/>
      <c r="Y27" s="13"/>
      <c r="Z27" s="13"/>
      <c r="AA27" s="13"/>
      <c r="AB27" s="13"/>
      <c r="AC27" s="13"/>
      <c r="AD27" s="13" t="s">
        <v>8</v>
      </c>
    </row>
    <row r="28" spans="1:32">
      <c r="B28" t="s">
        <v>3</v>
      </c>
      <c r="C28" t="s">
        <v>4</v>
      </c>
      <c r="I28" s="7"/>
      <c r="J28" s="18"/>
      <c r="K28" s="13">
        <f ca="1">AVERAGE(K30:K35)</f>
        <v>2.8712128708854565</v>
      </c>
      <c r="L28" s="13"/>
      <c r="M28" s="13"/>
      <c r="N28" s="13"/>
      <c r="O28" s="13"/>
      <c r="P28" s="13"/>
      <c r="Q28" s="13"/>
      <c r="R28" s="13"/>
      <c r="S28" s="13"/>
      <c r="T28" s="13"/>
      <c r="U28" s="13">
        <f t="shared" ref="U28:AD28" ca="1" si="6">AVERAGE(U30:U35)</f>
        <v>12.860085359377301</v>
      </c>
      <c r="V28" s="13">
        <f t="shared" ca="1" si="6"/>
        <v>13.013623045439763</v>
      </c>
      <c r="W28" s="13">
        <f t="shared" ca="1" si="6"/>
        <v>14.648128978394682</v>
      </c>
      <c r="X28" s="13"/>
      <c r="Y28" s="13"/>
      <c r="Z28" s="13"/>
      <c r="AA28" s="13"/>
      <c r="AB28" s="13"/>
      <c r="AC28" s="13"/>
      <c r="AD28" s="13">
        <f t="shared" ca="1" si="6"/>
        <v>21.033123772269029</v>
      </c>
      <c r="AE28" s="8"/>
    </row>
    <row r="29" spans="1:32">
      <c r="I29" s="22" t="s">
        <v>7</v>
      </c>
      <c r="J29" s="13">
        <f>Residuals!C83</f>
        <v>0</v>
      </c>
      <c r="K29" s="13">
        <v>12</v>
      </c>
      <c r="L29" s="13"/>
      <c r="M29" s="13"/>
      <c r="N29" s="13"/>
      <c r="O29" s="13"/>
      <c r="P29" s="13"/>
      <c r="Q29" s="13"/>
      <c r="R29" s="13"/>
      <c r="S29" s="13"/>
      <c r="T29" s="13"/>
      <c r="U29" s="13">
        <f>K29+1</f>
        <v>13</v>
      </c>
      <c r="V29" s="13">
        <f t="shared" ref="V29" si="7">U29+1</f>
        <v>14</v>
      </c>
      <c r="W29" s="13">
        <f t="shared" ref="W29" si="8">V29+1</f>
        <v>15</v>
      </c>
      <c r="X29" s="13"/>
      <c r="Y29" s="13"/>
      <c r="Z29" s="13"/>
      <c r="AA29" s="13"/>
      <c r="AB29" s="13"/>
      <c r="AC29" s="13"/>
      <c r="AD29" s="23">
        <f t="shared" ref="AD29" si="9">W29+1</f>
        <v>16</v>
      </c>
      <c r="AE29" s="9"/>
    </row>
    <row r="30" spans="1:32">
      <c r="A30">
        <v>2013</v>
      </c>
      <c r="B30">
        <v>100</v>
      </c>
      <c r="C30" s="2">
        <f>B30*$B$23+$B$24</f>
        <v>9.8754863813229559</v>
      </c>
      <c r="D30" s="4">
        <f>C14-C30</f>
        <v>0.12451361867704414</v>
      </c>
      <c r="E30" s="4"/>
      <c r="F30" s="4"/>
      <c r="G30" s="4"/>
      <c r="H30" s="4"/>
      <c r="I30" s="22">
        <v>1</v>
      </c>
      <c r="J30" s="13">
        <f>Residuals!$B$45</f>
        <v>19.241</v>
      </c>
      <c r="K30" s="13">
        <f ca="1">$J$2+$J$1*K$8+Residuals!K52</f>
        <v>2.1225862119393217</v>
      </c>
      <c r="L30" s="13"/>
      <c r="M30" s="13"/>
      <c r="N30" s="13"/>
      <c r="O30" s="13"/>
      <c r="P30" s="13"/>
      <c r="Q30" s="13"/>
      <c r="R30" s="13"/>
      <c r="S30" s="13"/>
      <c r="T30" s="13"/>
      <c r="U30" s="13">
        <f ca="1">$J$2+$J$1*U$8+Residuals!L73</f>
        <v>12.160686537842526</v>
      </c>
      <c r="V30" s="13">
        <f ca="1">$J$2+$J$1*V$8+Residuals!M73</f>
        <v>14.673542818968377</v>
      </c>
      <c r="W30" s="13">
        <f ca="1">$J$2+$J$1*W$8+Residuals!N73</f>
        <v>15.799864782694243</v>
      </c>
      <c r="X30" s="13"/>
      <c r="Y30" s="13"/>
      <c r="Z30" s="13"/>
      <c r="AA30" s="13"/>
      <c r="AB30" s="13"/>
      <c r="AC30" s="13"/>
      <c r="AD30" s="23">
        <f ca="1">$J$2+$J$1*AD$8+Residuals!O73</f>
        <v>20.178434009760863</v>
      </c>
      <c r="AE30" s="24"/>
    </row>
    <row r="31" spans="1:32">
      <c r="A31">
        <v>2012</v>
      </c>
      <c r="B31">
        <v>120</v>
      </c>
      <c r="C31" s="2">
        <f t="shared" ref="C31:C35" si="10">B31*$B$23+$B$24</f>
        <v>13.369649805447471</v>
      </c>
      <c r="D31" s="4">
        <f>C15-C31</f>
        <v>-2.3696498054474713</v>
      </c>
      <c r="E31" s="4"/>
      <c r="F31" s="4"/>
      <c r="G31" s="4"/>
      <c r="H31" s="4"/>
      <c r="I31" s="22">
        <v>2</v>
      </c>
      <c r="J31" s="13">
        <f>Residuals!$B$45</f>
        <v>19.241</v>
      </c>
      <c r="K31" s="13">
        <f ca="1">$J$2+$J$1*K$8+Residuals!K74</f>
        <v>2.534053079679806</v>
      </c>
      <c r="L31" s="13"/>
      <c r="M31" s="13"/>
      <c r="N31" s="13"/>
      <c r="O31" s="13"/>
      <c r="P31" s="13"/>
      <c r="Q31" s="13"/>
      <c r="R31" s="13"/>
      <c r="S31" s="13"/>
      <c r="T31" s="13"/>
      <c r="U31" s="13">
        <f ca="1">$J$2+$J$1*U$8+Residuals!L74</f>
        <v>13.062041490836297</v>
      </c>
      <c r="V31" s="13">
        <f ca="1">$J$2+$J$1*V$8+Residuals!M74</f>
        <v>12.51600324731602</v>
      </c>
      <c r="W31" s="13">
        <f ca="1">$J$2+$J$1*W$8+Residuals!N74</f>
        <v>14.364558376335758</v>
      </c>
      <c r="X31" s="13"/>
      <c r="Y31" s="13"/>
      <c r="Z31" s="13"/>
      <c r="AA31" s="13"/>
      <c r="AB31" s="13"/>
      <c r="AC31" s="13"/>
      <c r="AD31" s="23">
        <f ca="1">$J$2+$J$1*AD$8+Residuals!O74</f>
        <v>21.356665333767669</v>
      </c>
      <c r="AE31" s="24"/>
    </row>
    <row r="32" spans="1:32">
      <c r="A32">
        <v>2011</v>
      </c>
      <c r="B32">
        <v>150</v>
      </c>
      <c r="C32" s="2">
        <f t="shared" si="10"/>
        <v>18.610894941634243</v>
      </c>
      <c r="D32" s="4">
        <f t="shared" ref="D32:D34" si="11">C16-C32</f>
        <v>1.3891050583657574</v>
      </c>
      <c r="E32" s="4"/>
      <c r="F32" s="4"/>
      <c r="G32" s="4"/>
      <c r="H32" s="4"/>
      <c r="I32" s="22">
        <v>3</v>
      </c>
      <c r="J32" s="13">
        <f>Residuals!$B$45</f>
        <v>19.241</v>
      </c>
      <c r="K32" s="13">
        <f ca="1">$J$2+$J$1*K$8+Residuals!K75</f>
        <v>3.5139006054422413</v>
      </c>
      <c r="L32" s="13"/>
      <c r="M32" s="13"/>
      <c r="N32" s="13"/>
      <c r="O32" s="13"/>
      <c r="P32" s="13"/>
      <c r="Q32" s="13"/>
      <c r="R32" s="13"/>
      <c r="S32" s="13"/>
      <c r="T32" s="13"/>
      <c r="U32" s="13">
        <f ca="1">$J$2+$J$1*U$8+Residuals!L75</f>
        <v>12.560725909270884</v>
      </c>
      <c r="V32" s="13">
        <f ca="1">$J$2+$J$1*V$8+Residuals!M75</f>
        <v>12.64139295898662</v>
      </c>
      <c r="W32" s="13">
        <f ca="1">$J$2+$J$1*W$8+Residuals!N75</f>
        <v>14.917906025251868</v>
      </c>
      <c r="X32" s="13"/>
      <c r="Y32" s="13"/>
      <c r="Z32" s="13"/>
      <c r="AA32" s="13"/>
      <c r="AB32" s="13"/>
      <c r="AC32" s="13"/>
      <c r="AD32" s="23">
        <f ca="1">$J$2+$J$1*AD$8+Residuals!O75</f>
        <v>22.168594166652241</v>
      </c>
      <c r="AE32" s="24"/>
    </row>
    <row r="33" spans="1:31">
      <c r="A33">
        <v>2010</v>
      </c>
      <c r="B33">
        <v>90</v>
      </c>
      <c r="C33" s="2">
        <f t="shared" si="10"/>
        <v>8.1284046692607017</v>
      </c>
      <c r="D33" s="4">
        <f t="shared" si="11"/>
        <v>-0.12840466926070171</v>
      </c>
      <c r="E33" s="4"/>
      <c r="F33" s="4"/>
      <c r="G33" s="4"/>
      <c r="H33" s="4"/>
      <c r="I33" s="22">
        <v>4</v>
      </c>
      <c r="J33" s="13">
        <f>Residuals!$B$45</f>
        <v>19.241</v>
      </c>
      <c r="K33" s="13">
        <f ca="1">$J$2+$J$1*K$8+Residuals!K76</f>
        <v>2.618931775549509</v>
      </c>
      <c r="L33" s="13"/>
      <c r="M33" s="13"/>
      <c r="N33" s="13"/>
      <c r="O33" s="13"/>
      <c r="P33" s="13"/>
      <c r="Q33" s="13"/>
      <c r="R33" s="13"/>
      <c r="S33" s="13"/>
      <c r="T33" s="13"/>
      <c r="U33" s="13">
        <f ca="1">$J$2+$J$1*U$8+Residuals!L76</f>
        <v>13.71830322998872</v>
      </c>
      <c r="V33" s="13">
        <f ca="1">$J$2+$J$1*V$8+Residuals!M76</f>
        <v>12.633287169475594</v>
      </c>
      <c r="W33" s="13">
        <f ca="1">$J$2+$J$1*W$8+Residuals!N76</f>
        <v>14.396094650685011</v>
      </c>
      <c r="X33" s="13"/>
      <c r="Y33" s="13"/>
      <c r="Z33" s="13"/>
      <c r="AA33" s="13"/>
      <c r="AB33" s="13"/>
      <c r="AC33" s="13"/>
      <c r="AD33" s="23">
        <f ca="1">$J$2+$J$1*AD$8+Residuals!O76</f>
        <v>20.254144093693029</v>
      </c>
      <c r="AE33" s="24"/>
    </row>
    <row r="34" spans="1:31">
      <c r="A34">
        <v>2009</v>
      </c>
      <c r="B34">
        <v>80</v>
      </c>
      <c r="C34" s="2">
        <f t="shared" si="10"/>
        <v>6.381322957198444</v>
      </c>
      <c r="D34" s="4">
        <f t="shared" si="11"/>
        <v>0.618677042801556</v>
      </c>
      <c r="E34" s="4"/>
      <c r="F34" s="4"/>
      <c r="G34" s="4"/>
      <c r="H34" s="4"/>
      <c r="I34" s="22">
        <v>5</v>
      </c>
      <c r="J34" s="13">
        <f>Residuals!$B$45</f>
        <v>19.241</v>
      </c>
      <c r="K34" s="13">
        <f ca="1">$J$2+$J$1*K$8+Residuals!K77</f>
        <v>2.8179437333340331</v>
      </c>
      <c r="L34" s="13"/>
      <c r="M34" s="13"/>
      <c r="N34" s="13"/>
      <c r="O34" s="13"/>
      <c r="P34" s="13"/>
      <c r="Q34" s="13"/>
      <c r="R34" s="13"/>
      <c r="S34" s="13"/>
      <c r="T34" s="13"/>
      <c r="U34" s="13">
        <f ca="1">$J$2+$J$1*U$8+Residuals!L77</f>
        <v>13.303464141638612</v>
      </c>
      <c r="V34" s="13">
        <f ca="1">$J$2+$J$1*V$8+Residuals!M77</f>
        <v>12.507115819640479</v>
      </c>
      <c r="W34" s="13">
        <f ca="1">$J$2+$J$1*W$8+Residuals!N77</f>
        <v>14.86400307626538</v>
      </c>
      <c r="X34" s="13"/>
      <c r="Y34" s="13"/>
      <c r="Z34" s="13"/>
      <c r="AA34" s="13"/>
      <c r="AB34" s="13"/>
      <c r="AC34" s="13"/>
      <c r="AD34" s="23">
        <f ca="1">$J$2+$J$1*AD$8+Residuals!O77</f>
        <v>20.895299038798804</v>
      </c>
      <c r="AE34" s="24"/>
    </row>
    <row r="35" spans="1:31">
      <c r="A35">
        <v>2008</v>
      </c>
      <c r="B35">
        <v>70</v>
      </c>
      <c r="C35" s="2">
        <f t="shared" si="10"/>
        <v>4.6342412451361881</v>
      </c>
      <c r="D35" s="4">
        <f>C19-C35</f>
        <v>0.36575875486381193</v>
      </c>
      <c r="E35" s="4"/>
      <c r="F35" s="4"/>
      <c r="G35" s="4"/>
      <c r="H35" s="4"/>
      <c r="I35" s="22">
        <v>6</v>
      </c>
      <c r="J35" s="13">
        <f>Residuals!$B$45</f>
        <v>19.241</v>
      </c>
      <c r="K35" s="13">
        <f ca="1">$J$2+$J$1*K$8+Residuals!K78</f>
        <v>3.6198618193678285</v>
      </c>
      <c r="L35" s="13"/>
      <c r="M35" s="13"/>
      <c r="N35" s="13"/>
      <c r="O35" s="13"/>
      <c r="P35" s="13"/>
      <c r="Q35" s="13"/>
      <c r="R35" s="13"/>
      <c r="S35" s="13"/>
      <c r="T35" s="13"/>
      <c r="U35" s="13">
        <f ca="1">$J$2+$J$1*U$8+Residuals!L78</f>
        <v>12.355290846686774</v>
      </c>
      <c r="V35" s="13">
        <f ca="1">$J$2+$J$1*V$8+Residuals!M78</f>
        <v>13.110396258251477</v>
      </c>
      <c r="W35" s="13">
        <f ca="1">$J$2+$J$1*W$8+Residuals!N78</f>
        <v>13.546346959135851</v>
      </c>
      <c r="X35" s="13"/>
      <c r="Y35" s="13"/>
      <c r="Z35" s="13"/>
      <c r="AA35" s="13"/>
      <c r="AB35" s="13"/>
      <c r="AC35" s="13"/>
      <c r="AD35" s="23">
        <f ca="1">$J$2+$J$1*AD$8+Residuals!O78</f>
        <v>21.345605990941568</v>
      </c>
      <c r="AE35" s="24"/>
    </row>
    <row r="36" spans="1:31">
      <c r="C36" t="s">
        <v>9</v>
      </c>
      <c r="D36" s="1">
        <f>AVERAGE(D30:D35)</f>
        <v>-5.9211894646675012E-16</v>
      </c>
      <c r="E36" s="1"/>
      <c r="F36" s="1"/>
      <c r="G36" s="1"/>
      <c r="H36" s="1"/>
      <c r="I36" s="22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 t="s">
        <v>9</v>
      </c>
      <c r="AE36" s="9">
        <f ca="1">AVERAGE(AD30:AD35)</f>
        <v>21.033123772269029</v>
      </c>
    </row>
    <row r="37" spans="1:31">
      <c r="C37" t="s">
        <v>11</v>
      </c>
      <c r="D37" s="4">
        <f>STDEV(D30:D35)</f>
        <v>1.2722723933189606</v>
      </c>
      <c r="E37" s="4"/>
      <c r="F37" s="4"/>
      <c r="G37" s="4"/>
      <c r="H37" s="4"/>
      <c r="I37" s="10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 t="s">
        <v>10</v>
      </c>
      <c r="AE37" s="11">
        <f>$AD$4</f>
        <v>18.262363951658791</v>
      </c>
    </row>
    <row r="41" spans="1:31">
      <c r="I41" t="s">
        <v>20</v>
      </c>
    </row>
    <row r="42" spans="1:31">
      <c r="I42" s="7" t="s">
        <v>1</v>
      </c>
      <c r="J42" s="18">
        <f>Residuals!$C$51</f>
        <v>0.82007073386383733</v>
      </c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8"/>
      <c r="Y42" s="28"/>
      <c r="Z42" s="28"/>
      <c r="AA42" s="28"/>
      <c r="AB42" s="28"/>
      <c r="AC42" s="28"/>
      <c r="AD42" s="28" t="s">
        <v>8</v>
      </c>
      <c r="AE42" s="8"/>
    </row>
    <row r="43" spans="1:31">
      <c r="I43" s="22" t="s">
        <v>2</v>
      </c>
      <c r="J43" s="13">
        <f>Residuals!$C$52</f>
        <v>4.3554376657824925</v>
      </c>
      <c r="K43" s="28">
        <f ca="1">AVERAGE(K45:K50)</f>
        <v>21.008666309406205</v>
      </c>
      <c r="L43" s="28"/>
      <c r="M43" s="28"/>
      <c r="N43" s="28"/>
      <c r="O43" s="28"/>
      <c r="P43" s="28"/>
      <c r="Q43" s="28"/>
      <c r="R43" s="28"/>
      <c r="S43" s="28"/>
      <c r="T43" s="28"/>
      <c r="U43" s="28">
        <f t="shared" ref="U43:AD43" ca="1" si="12">AVERAGE(U45:U50)</f>
        <v>22.353175464948531</v>
      </c>
      <c r="V43" s="28">
        <f t="shared" ca="1" si="12"/>
        <v>24.465661819045014</v>
      </c>
      <c r="W43" s="28">
        <f t="shared" ca="1" si="12"/>
        <v>26.191204530396636</v>
      </c>
      <c r="X43" s="28"/>
      <c r="Y43" s="28"/>
      <c r="Z43" s="28"/>
      <c r="AA43" s="28"/>
      <c r="AB43" s="28"/>
      <c r="AC43" s="28"/>
      <c r="AD43" s="28">
        <f t="shared" ca="1" si="12"/>
        <v>26.529183338980957</v>
      </c>
      <c r="AE43" s="9"/>
    </row>
    <row r="44" spans="1:31">
      <c r="I44" s="22" t="s">
        <v>7</v>
      </c>
      <c r="J44" s="13">
        <f>Residuals!C116</f>
        <v>36.091679999999997</v>
      </c>
      <c r="K44" s="13">
        <v>12</v>
      </c>
      <c r="L44" s="13"/>
      <c r="M44" s="13"/>
      <c r="N44" s="13"/>
      <c r="O44" s="13"/>
      <c r="P44" s="13"/>
      <c r="Q44" s="13"/>
      <c r="R44" s="13"/>
      <c r="S44" s="13"/>
      <c r="T44" s="13"/>
      <c r="U44" s="13">
        <f>K44+1</f>
        <v>13</v>
      </c>
      <c r="V44" s="13">
        <f t="shared" ref="V44" si="13">U44+1</f>
        <v>14</v>
      </c>
      <c r="W44" s="13">
        <f t="shared" ref="W44" si="14">V44+1</f>
        <v>15</v>
      </c>
      <c r="X44" s="13"/>
      <c r="Y44" s="13"/>
      <c r="Z44" s="13"/>
      <c r="AA44" s="13"/>
      <c r="AB44" s="13"/>
      <c r="AC44" s="13"/>
      <c r="AD44" s="23">
        <f t="shared" ref="AD44" si="15">W44+1</f>
        <v>16</v>
      </c>
      <c r="AE44" s="9"/>
    </row>
    <row r="45" spans="1:31">
      <c r="I45" s="22">
        <v>1</v>
      </c>
      <c r="J45" s="13">
        <f>Residuals!$B$45</f>
        <v>19.241</v>
      </c>
      <c r="K45" s="13">
        <f ca="1">$J$43+$J$42*J$45+Residuals!K52</f>
        <v>20.252070524712554</v>
      </c>
      <c r="L45" s="13"/>
      <c r="M45" s="13"/>
      <c r="N45" s="13"/>
      <c r="O45" s="13"/>
      <c r="P45" s="13"/>
      <c r="Q45" s="13"/>
      <c r="R45" s="13"/>
      <c r="S45" s="13"/>
      <c r="T45" s="13"/>
      <c r="U45" s="13">
        <f ca="1">$J$43+$J$42*K$45+Residuals!L52</f>
        <v>23.012618950109598</v>
      </c>
      <c r="V45" s="13">
        <f ca="1">$J$43+$J$42*U$45+Residuals!M52</f>
        <v>24.881909887285733</v>
      </c>
      <c r="W45" s="13">
        <f ca="1">$J$43+$J$42*V$45+Residuals!N52</f>
        <v>25.031290318390177</v>
      </c>
      <c r="X45" s="13"/>
      <c r="Y45" s="13"/>
      <c r="Z45" s="13"/>
      <c r="AA45" s="13"/>
      <c r="AB45" s="13"/>
      <c r="AC45" s="13"/>
      <c r="AD45" s="23">
        <f ca="1">$J$43+$J$42*W$45+Residuals!O52</f>
        <v>27.352589413266351</v>
      </c>
      <c r="AE45" s="24"/>
    </row>
    <row r="46" spans="1:31">
      <c r="I46" s="22">
        <v>2</v>
      </c>
      <c r="J46" s="13">
        <f>Residuals!$B$45</f>
        <v>19.241</v>
      </c>
      <c r="K46" s="13">
        <f ca="1">$J$43+$J$42*J$45+Residuals!K53</f>
        <v>22.350947521374316</v>
      </c>
      <c r="L46" s="13"/>
      <c r="M46" s="13"/>
      <c r="N46" s="13"/>
      <c r="O46" s="13"/>
      <c r="P46" s="13"/>
      <c r="Q46" s="13"/>
      <c r="R46" s="13"/>
      <c r="S46" s="13"/>
      <c r="T46" s="13"/>
      <c r="U46" s="13">
        <f ca="1">$J$43+$J$42*K$45+Residuals!L53</f>
        <v>21.469987856568416</v>
      </c>
      <c r="V46" s="13">
        <f ca="1">$J$43+$J$42*U$45+Residuals!M53</f>
        <v>24.785879783643267</v>
      </c>
      <c r="W46" s="13">
        <f ca="1">$J$43+$J$42*V$45+Residuals!N53</f>
        <v>26.376346266470762</v>
      </c>
      <c r="X46" s="13"/>
      <c r="Y46" s="13"/>
      <c r="Z46" s="13"/>
      <c r="AA46" s="13"/>
      <c r="AB46" s="13"/>
      <c r="AC46" s="13"/>
      <c r="AD46" s="23">
        <f ca="1">$J$43+$J$42*W$45+Residuals!O53</f>
        <v>26.926196921798642</v>
      </c>
      <c r="AE46" s="24"/>
    </row>
    <row r="47" spans="1:31">
      <c r="I47" s="22">
        <v>3</v>
      </c>
      <c r="J47" s="13">
        <f>Residuals!$B$45</f>
        <v>19.241</v>
      </c>
      <c r="K47" s="13">
        <f ca="1">$J$43+$J$42*J$45+Residuals!K54</f>
        <v>20.915227739673472</v>
      </c>
      <c r="L47" s="13"/>
      <c r="M47" s="13"/>
      <c r="N47" s="13"/>
      <c r="O47" s="13"/>
      <c r="P47" s="13"/>
      <c r="Q47" s="13"/>
      <c r="R47" s="13"/>
      <c r="S47" s="13"/>
      <c r="T47" s="13"/>
      <c r="U47" s="13">
        <f ca="1">$J$43+$J$42*K$45+Residuals!L54</f>
        <v>23.188713559546933</v>
      </c>
      <c r="V47" s="13">
        <f ca="1">$J$43+$J$42*U$45+Residuals!M54</f>
        <v>24.660591062744576</v>
      </c>
      <c r="W47" s="13">
        <f ca="1">$J$43+$J$42*V$45+Residuals!N54</f>
        <v>26.244920135383389</v>
      </c>
      <c r="X47" s="13"/>
      <c r="Y47" s="13"/>
      <c r="Z47" s="13"/>
      <c r="AA47" s="13"/>
      <c r="AB47" s="13"/>
      <c r="AC47" s="13"/>
      <c r="AD47" s="23">
        <f ca="1">$J$43+$J$42*W$45+Residuals!O54</f>
        <v>26.16090709756357</v>
      </c>
      <c r="AE47" s="24"/>
    </row>
    <row r="48" spans="1:31">
      <c r="I48" s="22">
        <v>4</v>
      </c>
      <c r="J48" s="13">
        <f>Residuals!$B$45</f>
        <v>19.241</v>
      </c>
      <c r="K48" s="13">
        <f ca="1">$J$43+$J$42*J$45+Residuals!K73</f>
        <v>20.226829760008378</v>
      </c>
      <c r="L48" s="13"/>
      <c r="M48" s="13"/>
      <c r="N48" s="13"/>
      <c r="O48" s="13"/>
      <c r="P48" s="13"/>
      <c r="Q48" s="13"/>
      <c r="R48" s="13"/>
      <c r="S48" s="13"/>
      <c r="T48" s="13"/>
      <c r="U48" s="13">
        <f ca="1">$J$43+$J$42*K$45+Residuals!L73</f>
        <v>21.7154460330147</v>
      </c>
      <c r="V48" s="13">
        <f ca="1">$J$43+$J$42*U$45+Residuals!M73</f>
        <v>25.551759870743549</v>
      </c>
      <c r="W48" s="13">
        <f ca="1">$J$43+$J$42*V$45+Residuals!N73</f>
        <v>27.270645208645451</v>
      </c>
      <c r="X48" s="13"/>
      <c r="Y48" s="13"/>
      <c r="Z48" s="13"/>
      <c r="AA48" s="13"/>
      <c r="AB48" s="13"/>
      <c r="AC48" s="13"/>
      <c r="AD48" s="23">
        <f ca="1">$J$43+$J$42*W$45+Residuals!O73</f>
        <v>25.189005040119664</v>
      </c>
      <c r="AE48" s="24"/>
    </row>
    <row r="49" spans="9:31">
      <c r="I49" s="22">
        <v>5</v>
      </c>
      <c r="J49" s="13">
        <f>Residuals!$B$45</f>
        <v>19.241</v>
      </c>
      <c r="K49" s="13">
        <f ca="1">$J$43+$J$42*J$45+Residuals!K74</f>
        <v>20.663537392453037</v>
      </c>
      <c r="L49" s="13"/>
      <c r="M49" s="13"/>
      <c r="N49" s="13"/>
      <c r="O49" s="13"/>
      <c r="P49" s="13"/>
      <c r="Q49" s="13"/>
      <c r="R49" s="13"/>
      <c r="S49" s="13"/>
      <c r="T49" s="13"/>
      <c r="U49" s="13">
        <f ca="1">$J$43+$J$42*K$45+Residuals!L74</f>
        <v>22.616800986008467</v>
      </c>
      <c r="V49" s="13">
        <f ca="1">$J$43+$J$42*U$45+Residuals!M74</f>
        <v>23.394220299091192</v>
      </c>
      <c r="W49" s="13">
        <f ca="1">$J$43+$J$42*V$45+Residuals!N74</f>
        <v>25.835338802286966</v>
      </c>
      <c r="X49" s="13"/>
      <c r="Y49" s="13"/>
      <c r="Z49" s="13"/>
      <c r="AA49" s="13"/>
      <c r="AB49" s="13"/>
      <c r="AC49" s="13"/>
      <c r="AD49" s="23">
        <f ca="1">$J$43+$J$42*W$45+Residuals!O74</f>
        <v>26.36723636412647</v>
      </c>
      <c r="AE49" s="24"/>
    </row>
    <row r="50" spans="9:31">
      <c r="I50" s="22">
        <v>6</v>
      </c>
      <c r="J50" s="13">
        <f>Residuals!$B$45</f>
        <v>19.241</v>
      </c>
      <c r="K50" s="13">
        <f ca="1">$J$43+$J$42*J$45+Residuals!K75</f>
        <v>21.643384918215474</v>
      </c>
      <c r="L50" s="13"/>
      <c r="M50" s="13"/>
      <c r="N50" s="13"/>
      <c r="O50" s="13"/>
      <c r="P50" s="13"/>
      <c r="Q50" s="13"/>
      <c r="R50" s="13"/>
      <c r="S50" s="13"/>
      <c r="T50" s="13"/>
      <c r="U50" s="13">
        <f ca="1">$J$43+$J$42*K$45+Residuals!L75</f>
        <v>22.115485404443056</v>
      </c>
      <c r="V50" s="13">
        <f ca="1">$J$43+$J$42*U$45+Residuals!M75</f>
        <v>23.519610010761792</v>
      </c>
      <c r="W50" s="13">
        <f ca="1">$J$43+$J$42*V$45+Residuals!N75</f>
        <v>26.388686451203078</v>
      </c>
      <c r="X50" s="13"/>
      <c r="Y50" s="13"/>
      <c r="Z50" s="13"/>
      <c r="AA50" s="13"/>
      <c r="AB50" s="13"/>
      <c r="AC50" s="13"/>
      <c r="AD50" s="23">
        <f ca="1">$J$43+$J$42*W$45+Residuals!O75</f>
        <v>27.179165197011041</v>
      </c>
      <c r="AE50" s="24"/>
    </row>
    <row r="51" spans="9:31">
      <c r="I51" s="22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 t="s">
        <v>9</v>
      </c>
      <c r="AE51" s="9">
        <f ca="1">AVERAGE(AD45:AD50)</f>
        <v>26.529183338980957</v>
      </c>
    </row>
    <row r="52" spans="9:31">
      <c r="I52" s="10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 t="s">
        <v>10</v>
      </c>
      <c r="AE52" s="11"/>
    </row>
    <row r="59" spans="9:31">
      <c r="I59" t="s">
        <v>28</v>
      </c>
    </row>
    <row r="60" spans="9:31">
      <c r="I60" s="7" t="s">
        <v>1</v>
      </c>
      <c r="J60" s="18">
        <f>Residuals!$C$51</f>
        <v>0.82007073386383733</v>
      </c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8"/>
      <c r="Y60" s="28"/>
      <c r="Z60" s="28"/>
      <c r="AA60" s="28"/>
      <c r="AB60" s="28"/>
      <c r="AC60" s="28"/>
      <c r="AD60" s="28" t="s">
        <v>8</v>
      </c>
      <c r="AE60" s="8"/>
    </row>
    <row r="61" spans="9:31">
      <c r="I61" s="22" t="s">
        <v>2</v>
      </c>
      <c r="J61" s="13">
        <f>Residuals!$C$52</f>
        <v>4.3554376657824925</v>
      </c>
      <c r="K61" s="28">
        <f ca="1">AVERAGE(K63:K68)</f>
        <v>21.20476981054189</v>
      </c>
      <c r="L61" s="28"/>
      <c r="M61" s="28"/>
      <c r="N61" s="28"/>
      <c r="O61" s="28"/>
      <c r="P61" s="28"/>
      <c r="Q61" s="28"/>
      <c r="R61" s="28"/>
      <c r="S61" s="28"/>
      <c r="T61" s="28"/>
      <c r="U61" s="28">
        <f t="shared" ref="U61:AD61" ca="1" si="16">AVERAGE(U63:U68)</f>
        <v>22.691805085491158</v>
      </c>
      <c r="V61" s="28">
        <f t="shared" ca="1" si="16"/>
        <v>24.776411872712888</v>
      </c>
      <c r="W61" s="28">
        <f t="shared" ca="1" si="16"/>
        <v>26.520479528896562</v>
      </c>
      <c r="X61" s="28"/>
      <c r="Y61" s="28"/>
      <c r="Z61" s="28"/>
      <c r="AA61" s="28"/>
      <c r="AB61" s="28"/>
      <c r="AC61" s="28"/>
      <c r="AD61" s="28">
        <f t="shared" ca="1" si="16"/>
        <v>26.858232770894233</v>
      </c>
      <c r="AE61" s="9"/>
    </row>
    <row r="62" spans="9:31">
      <c r="I62" s="22" t="s">
        <v>7</v>
      </c>
      <c r="J62" s="13">
        <f>Residuals!C134</f>
        <v>0</v>
      </c>
      <c r="K62" s="13">
        <v>12</v>
      </c>
      <c r="L62" s="13"/>
      <c r="M62" s="13"/>
      <c r="N62" s="13"/>
      <c r="O62" s="13"/>
      <c r="P62" s="13"/>
      <c r="Q62" s="13"/>
      <c r="R62" s="13"/>
      <c r="S62" s="13"/>
      <c r="T62" s="13"/>
      <c r="U62" s="13">
        <f>K62+1</f>
        <v>13</v>
      </c>
      <c r="V62" s="13">
        <f t="shared" ref="V62" si="17">U62+1</f>
        <v>14</v>
      </c>
      <c r="W62" s="13">
        <f t="shared" ref="W62" si="18">V62+1</f>
        <v>15</v>
      </c>
      <c r="X62" s="13"/>
      <c r="Y62" s="13"/>
      <c r="Z62" s="13"/>
      <c r="AA62" s="13"/>
      <c r="AB62" s="13"/>
      <c r="AC62" s="13"/>
      <c r="AD62" s="23">
        <f t="shared" ref="AD62" si="19">W62+1</f>
        <v>16</v>
      </c>
      <c r="AE62" s="9"/>
    </row>
    <row r="63" spans="9:31">
      <c r="I63" s="22">
        <v>1</v>
      </c>
      <c r="J63" s="13">
        <f>Residuals!$B$45</f>
        <v>19.241</v>
      </c>
      <c r="K63" s="13">
        <f ca="1">$J$61+$J$60*J$63+Residuals!L140</f>
        <v>20.466684654727015</v>
      </c>
      <c r="L63" s="13"/>
      <c r="M63" s="13"/>
      <c r="N63" s="13"/>
      <c r="O63" s="13"/>
      <c r="P63" s="13"/>
      <c r="Q63" s="13"/>
      <c r="R63" s="13"/>
      <c r="S63" s="13"/>
      <c r="T63" s="13"/>
      <c r="U63" s="13">
        <f ca="1">$J$61+$J$60*K$63+Residuals!M140</f>
        <v>23.273261310431071</v>
      </c>
      <c r="V63" s="13">
        <f ca="1">$J$61+$J$60*U$63+Residuals!N140</f>
        <v>25.157684194608748</v>
      </c>
      <c r="W63" s="13">
        <f ca="1">$J$61+$J$60*V$63+Residuals!O140</f>
        <v>25.293982959466888</v>
      </c>
      <c r="X63" s="13"/>
      <c r="Y63" s="13"/>
      <c r="Z63" s="13"/>
      <c r="AA63" s="13"/>
      <c r="AB63" s="13"/>
      <c r="AC63" s="13"/>
      <c r="AD63" s="23">
        <f ca="1">$J$61+$J$60*W$63+Residuals!P140</f>
        <v>27.700547501649112</v>
      </c>
      <c r="AE63" s="24"/>
    </row>
    <row r="64" spans="9:31">
      <c r="I64" s="22">
        <v>2</v>
      </c>
      <c r="J64" s="13">
        <f>Residuals!$B$45</f>
        <v>19.241</v>
      </c>
      <c r="K64" s="13">
        <f ca="1">$J$61+$J$60*J$63+Residuals!L141</f>
        <v>22.553289315870572</v>
      </c>
      <c r="L64" s="13"/>
      <c r="M64" s="13"/>
      <c r="N64" s="13"/>
      <c r="O64" s="13"/>
      <c r="P64" s="13"/>
      <c r="Q64" s="13"/>
      <c r="R64" s="13"/>
      <c r="S64" s="13"/>
      <c r="T64" s="13"/>
      <c r="U64" s="13">
        <f ca="1">$J$61+$J$60*K$63+Residuals!M141</f>
        <v>21.777542565823754</v>
      </c>
      <c r="V64" s="13">
        <f ca="1">$J$61+$J$60*U$63+Residuals!N141</f>
        <v>25.154946786639059</v>
      </c>
      <c r="W64" s="13">
        <f ca="1">$J$61+$J$60*V$63+Residuals!O141</f>
        <v>26.664432936322765</v>
      </c>
      <c r="X64" s="13"/>
      <c r="Y64" s="13"/>
      <c r="Z64" s="13"/>
      <c r="AA64" s="13"/>
      <c r="AB64" s="13"/>
      <c r="AC64" s="13"/>
      <c r="AD64" s="23">
        <f ca="1">$J$61+$J$60*W$63+Residuals!P141</f>
        <v>27.285913976094477</v>
      </c>
      <c r="AE64" s="24"/>
    </row>
    <row r="65" spans="9:34">
      <c r="I65" s="22">
        <v>3</v>
      </c>
      <c r="J65" s="13">
        <f>Residuals!$B$45</f>
        <v>19.241</v>
      </c>
      <c r="K65" s="13">
        <f ca="1">$J$61+$J$60*J$63+Residuals!L142</f>
        <v>21.097679270471559</v>
      </c>
      <c r="L65" s="13"/>
      <c r="M65" s="13"/>
      <c r="N65" s="13"/>
      <c r="O65" s="13"/>
      <c r="P65" s="13"/>
      <c r="Q65" s="13"/>
      <c r="R65" s="13"/>
      <c r="S65" s="13"/>
      <c r="T65" s="13"/>
      <c r="U65" s="13">
        <f ca="1">$J$61+$J$60*K$63+Residuals!M142</f>
        <v>23.370884426333252</v>
      </c>
      <c r="V65" s="13">
        <f ca="1">$J$61+$J$60*U$63+Residuals!N142</f>
        <v>24.934004688699012</v>
      </c>
      <c r="W65" s="13">
        <f ca="1">$J$61+$J$60*V$63+Residuals!O142</f>
        <v>26.519429692648167</v>
      </c>
      <c r="X65" s="13"/>
      <c r="Y65" s="13"/>
      <c r="Z65" s="13"/>
      <c r="AA65" s="13"/>
      <c r="AB65" s="13"/>
      <c r="AC65" s="13"/>
      <c r="AD65" s="23">
        <f ca="1">$J$61+$J$60*W$63+Residuals!P142</f>
        <v>26.407084680472252</v>
      </c>
      <c r="AE65" s="24"/>
    </row>
    <row r="66" spans="9:34">
      <c r="I66" s="22">
        <v>4</v>
      </c>
      <c r="J66" s="13">
        <f>Residuals!$B$45</f>
        <v>19.241</v>
      </c>
      <c r="K66" s="13">
        <f ca="1">$J$61+$J$60*J$63+Residuals!L143</f>
        <v>20.461229516843144</v>
      </c>
      <c r="L66" s="13"/>
      <c r="M66" s="13"/>
      <c r="N66" s="13"/>
      <c r="O66" s="13"/>
      <c r="P66" s="13"/>
      <c r="Q66" s="13"/>
      <c r="R66" s="13"/>
      <c r="S66" s="13"/>
      <c r="T66" s="13"/>
      <c r="U66" s="13">
        <f ca="1">$J$61+$J$60*K$63+Residuals!M143</f>
        <v>22.184088709290251</v>
      </c>
      <c r="V66" s="13">
        <f ca="1">$J$61+$J$60*U$63+Residuals!N143</f>
        <v>25.912504040552466</v>
      </c>
      <c r="W66" s="13">
        <f ca="1">$J$61+$J$60*V$63+Residuals!O143</f>
        <v>27.77431168941331</v>
      </c>
      <c r="X66" s="13"/>
      <c r="Y66" s="13"/>
      <c r="Z66" s="13"/>
      <c r="AA66" s="13"/>
      <c r="AB66" s="13"/>
      <c r="AC66" s="13"/>
      <c r="AD66" s="23">
        <f ca="1">$J$61+$J$60*W$63+Residuals!P143</f>
        <v>25.652199295382985</v>
      </c>
      <c r="AE66" s="24"/>
    </row>
    <row r="67" spans="9:34">
      <c r="I67" s="22">
        <v>5</v>
      </c>
      <c r="J67" s="13">
        <f>Residuals!$B$45</f>
        <v>19.241</v>
      </c>
      <c r="K67" s="13">
        <f ca="1">$J$61+$J$60*J$63+Residuals!L144</f>
        <v>20.854965687931042</v>
      </c>
      <c r="L67" s="13"/>
      <c r="M67" s="13"/>
      <c r="N67" s="13"/>
      <c r="O67" s="13"/>
      <c r="P67" s="13"/>
      <c r="Q67" s="13"/>
      <c r="R67" s="13"/>
      <c r="S67" s="13"/>
      <c r="T67" s="13"/>
      <c r="U67" s="13">
        <f ca="1">$J$61+$J$60*K$63+Residuals!M144</f>
        <v>22.962718813214664</v>
      </c>
      <c r="V67" s="13">
        <f ca="1">$J$61+$J$60*U$63+Residuals!N144</f>
        <v>23.617749272032221</v>
      </c>
      <c r="W67" s="13">
        <f ca="1">$J$61+$J$60*V$63+Residuals!O144</f>
        <v>26.215914602191155</v>
      </c>
      <c r="X67" s="13"/>
      <c r="Y67" s="13"/>
      <c r="Z67" s="13"/>
      <c r="AA67" s="13"/>
      <c r="AB67" s="13"/>
      <c r="AC67" s="13"/>
      <c r="AD67" s="23">
        <f ca="1">$J$61+$J$60*W$63+Residuals!P144</f>
        <v>26.671920635066325</v>
      </c>
      <c r="AE67" s="24"/>
    </row>
    <row r="68" spans="9:34">
      <c r="I68" s="22">
        <v>6</v>
      </c>
      <c r="J68" s="13">
        <f>Residuals!$B$45</f>
        <v>19.241</v>
      </c>
      <c r="K68" s="13">
        <f ca="1">$J$61+$J$60*J$63+Residuals!L145</f>
        <v>21.794770417407996</v>
      </c>
      <c r="L68" s="13"/>
      <c r="M68" s="13"/>
      <c r="N68" s="13"/>
      <c r="O68" s="13"/>
      <c r="P68" s="13"/>
      <c r="Q68" s="13"/>
      <c r="R68" s="13"/>
      <c r="S68" s="13"/>
      <c r="T68" s="13"/>
      <c r="U68" s="13">
        <f ca="1">$J$61+$J$60*K$63+Residuals!M145</f>
        <v>22.582334687853951</v>
      </c>
      <c r="V68" s="13">
        <f ca="1">$J$61+$J$60*U$63+Residuals!N145</f>
        <v>23.881582253745837</v>
      </c>
      <c r="W68" s="13">
        <f ca="1">$J$61+$J$60*V$63+Residuals!O145</f>
        <v>26.654805293337077</v>
      </c>
      <c r="X68" s="13"/>
      <c r="Y68" s="13"/>
      <c r="Z68" s="13"/>
      <c r="AA68" s="13"/>
      <c r="AB68" s="13"/>
      <c r="AC68" s="13"/>
      <c r="AD68" s="23">
        <f ca="1">$J$61+$J$60*W$63+Residuals!P145</f>
        <v>27.431730536700261</v>
      </c>
      <c r="AE68" s="24"/>
    </row>
    <row r="69" spans="9:34">
      <c r="I69" s="22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 t="s">
        <v>9</v>
      </c>
      <c r="AE69" s="9">
        <f ca="1">AVERAGE(AD63:AD68)</f>
        <v>26.858232770894233</v>
      </c>
    </row>
    <row r="70" spans="9:34">
      <c r="I70" s="10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 t="s">
        <v>10</v>
      </c>
      <c r="AE70" s="11"/>
    </row>
    <row r="76" spans="9:34">
      <c r="AH76" t="s">
        <v>33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L28"/>
  <sheetViews>
    <sheetView showGridLines="0" topLeftCell="A7" workbookViewId="0">
      <selection activeCell="A21" sqref="A21"/>
    </sheetView>
  </sheetViews>
  <sheetFormatPr defaultRowHeight="15"/>
  <cols>
    <col min="1" max="1" width="11.28515625" customWidth="1"/>
    <col min="5" max="5" width="12.5703125" customWidth="1"/>
    <col min="6" max="6" width="8.5703125" customWidth="1"/>
    <col min="8" max="8" width="12.5703125" customWidth="1"/>
    <col min="9" max="9" width="9" customWidth="1"/>
  </cols>
  <sheetData>
    <row r="1" spans="1:7">
      <c r="A1" t="s">
        <v>103</v>
      </c>
    </row>
    <row r="7" spans="1:7">
      <c r="A7" s="103"/>
      <c r="B7" t="s">
        <v>64</v>
      </c>
    </row>
    <row r="9" spans="1:7">
      <c r="A9" s="131" t="s">
        <v>132</v>
      </c>
    </row>
    <row r="10" spans="1:7">
      <c r="A10" s="17" t="s">
        <v>99</v>
      </c>
      <c r="B10" s="133">
        <v>0</v>
      </c>
    </row>
    <row r="11" spans="1:7" ht="30">
      <c r="A11" s="117" t="s">
        <v>119</v>
      </c>
      <c r="B11" s="133">
        <v>0</v>
      </c>
      <c r="E11" t="s">
        <v>143</v>
      </c>
    </row>
    <row r="12" spans="1:7">
      <c r="D12" t="s">
        <v>130</v>
      </c>
      <c r="F12" t="s">
        <v>99</v>
      </c>
      <c r="G12" t="s">
        <v>99</v>
      </c>
    </row>
    <row r="13" spans="1:7">
      <c r="A13" s="131" t="s">
        <v>133</v>
      </c>
      <c r="B13" s="103"/>
      <c r="E13" s="131" t="s">
        <v>124</v>
      </c>
      <c r="F13" t="s">
        <v>127</v>
      </c>
      <c r="G13" t="s">
        <v>128</v>
      </c>
    </row>
    <row r="14" spans="1:7">
      <c r="A14" s="17" t="s">
        <v>106</v>
      </c>
      <c r="B14" s="119">
        <v>0.05</v>
      </c>
      <c r="E14" s="118">
        <f ca="1">Projections!L1</f>
        <v>1.1304836991384677</v>
      </c>
      <c r="F14" s="74">
        <v>1</v>
      </c>
      <c r="G14" s="17">
        <v>0</v>
      </c>
    </row>
    <row r="15" spans="1:7">
      <c r="A15" s="17" t="s">
        <v>107</v>
      </c>
      <c r="B15" s="17">
        <v>9.5</v>
      </c>
      <c r="D15" t="s">
        <v>125</v>
      </c>
      <c r="E15" s="17">
        <v>1</v>
      </c>
      <c r="F15" s="129">
        <f t="dataTable" ref="F15:G16" dt2D="1" dtr="1" r1="B10" r2="B11" ca="1"/>
        <v>1.2091498771597575</v>
      </c>
      <c r="G15" s="129">
        <v>0.8535359496104673</v>
      </c>
    </row>
    <row r="16" spans="1:7">
      <c r="A16" s="17" t="s">
        <v>108</v>
      </c>
      <c r="B16" s="17">
        <v>24</v>
      </c>
      <c r="D16" t="s">
        <v>126</v>
      </c>
      <c r="E16" s="17">
        <v>0</v>
      </c>
      <c r="F16" s="129">
        <v>0.76493333652845297</v>
      </c>
      <c r="G16" s="129">
        <v>0.73546910632111628</v>
      </c>
    </row>
    <row r="17" spans="1:12">
      <c r="E17" s="13"/>
      <c r="F17" s="13" t="s">
        <v>143</v>
      </c>
      <c r="G17" s="13"/>
    </row>
    <row r="18" spans="1:12">
      <c r="A18" t="s">
        <v>63</v>
      </c>
      <c r="E18" s="131" t="s">
        <v>129</v>
      </c>
      <c r="F18" s="131" t="str">
        <f>E13</f>
        <v>Return IRR</v>
      </c>
      <c r="H18" s="131" t="s">
        <v>131</v>
      </c>
      <c r="I18" t="s">
        <v>142</v>
      </c>
    </row>
    <row r="19" spans="1:12">
      <c r="A19" s="17" t="s">
        <v>134</v>
      </c>
      <c r="B19" s="133" t="s">
        <v>87</v>
      </c>
      <c r="E19" s="17"/>
      <c r="F19" s="118">
        <f ca="1">Projections!L1</f>
        <v>1.1304836991384677</v>
      </c>
      <c r="H19" s="17" t="s">
        <v>129</v>
      </c>
      <c r="I19" s="132">
        <f>Projections!T24</f>
        <v>0</v>
      </c>
    </row>
    <row r="20" spans="1:12">
      <c r="A20" s="17" t="s">
        <v>118</v>
      </c>
      <c r="B20" s="17"/>
      <c r="E20" s="17" t="str">
        <f>A14</f>
        <v>% of EBTIDA</v>
      </c>
      <c r="F20" s="144">
        <f t="dataTable" ref="F20:F22" dt2D="0" dtr="0" r1="B13" ca="1"/>
        <v>0.8306979573272425</v>
      </c>
      <c r="H20" s="17" t="str">
        <f>A14</f>
        <v>% of EBTIDA</v>
      </c>
      <c r="I20" s="132">
        <f t="dataTable" ref="I20:I22" dt2D="0" dtr="0" r1="B13" ca="1"/>
        <v>0</v>
      </c>
    </row>
    <row r="21" spans="1:12">
      <c r="A21" s="17" t="s">
        <v>87</v>
      </c>
      <c r="B21" s="17"/>
      <c r="E21" s="17" t="str">
        <f t="shared" ref="E21:E22" si="0">A15</f>
        <v>Multiple Fall</v>
      </c>
      <c r="F21" s="144">
        <v>0.99846033804960832</v>
      </c>
      <c r="H21" s="17" t="str">
        <f t="shared" ref="H21:H22" si="1">A15</f>
        <v>Multiple Fall</v>
      </c>
      <c r="I21" s="132">
        <v>0</v>
      </c>
    </row>
    <row r="22" spans="1:12">
      <c r="E22" s="17" t="str">
        <f t="shared" si="0"/>
        <v>Price Falls</v>
      </c>
      <c r="F22" s="144">
        <v>0.69388039519832967</v>
      </c>
      <c r="H22" s="17" t="str">
        <f t="shared" si="1"/>
        <v>Price Falls</v>
      </c>
      <c r="I22" s="132">
        <v>0</v>
      </c>
    </row>
    <row r="23" spans="1:12">
      <c r="L23">
        <f>5</f>
        <v>5</v>
      </c>
    </row>
    <row r="24" spans="1:12">
      <c r="E24" s="131" t="str">
        <f>F18</f>
        <v>Return IRR</v>
      </c>
    </row>
    <row r="25" spans="1:12" ht="43.5" customHeight="1">
      <c r="D25" t="s">
        <v>143</v>
      </c>
      <c r="E25" s="118">
        <f ca="1">Projections!L1</f>
        <v>1.1304836991384677</v>
      </c>
      <c r="F25" s="130" t="str">
        <f>A20</f>
        <v>Function of sales growth</v>
      </c>
      <c r="G25" s="117" t="str">
        <f>A21</f>
        <v>Jumps Diffusion</v>
      </c>
    </row>
    <row r="26" spans="1:12">
      <c r="E26" s="17" t="str">
        <f>A14</f>
        <v>% of EBTIDA</v>
      </c>
      <c r="F26" s="144">
        <f t="dataTable" ref="F26:G28" dt2D="1" dtr="1" r1="B19" r2="B13" ca="1"/>
        <v>0.74058039819567778</v>
      </c>
      <c r="G26" s="144">
        <v>1.0221129533843809</v>
      </c>
    </row>
    <row r="27" spans="1:12">
      <c r="E27" s="17" t="str">
        <f t="shared" ref="E27:E28" si="2">A15</f>
        <v>Multiple Fall</v>
      </c>
      <c r="F27" s="144">
        <v>0.89047832493163026</v>
      </c>
      <c r="G27" s="144">
        <v>0.66265690109039688</v>
      </c>
    </row>
    <row r="28" spans="1:12">
      <c r="E28" s="17" t="str">
        <f t="shared" si="2"/>
        <v>Price Falls</v>
      </c>
      <c r="F28" s="144">
        <v>0.83799654075226782</v>
      </c>
      <c r="G28" s="144">
        <v>0.82654702261924284</v>
      </c>
    </row>
  </sheetData>
  <dataValidations count="2">
    <dataValidation type="list" showInputMessage="1" showErrorMessage="1" sqref="B13">
      <formula1>$A$14:$A$17</formula1>
    </dataValidation>
    <dataValidation type="list" showInputMessage="1" showErrorMessage="1" sqref="B19">
      <formula1>$A$20:$A$21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E22"/>
  <sheetViews>
    <sheetView workbookViewId="0">
      <selection activeCell="A9" sqref="A9"/>
    </sheetView>
  </sheetViews>
  <sheetFormatPr defaultRowHeight="15"/>
  <sheetData>
    <row r="1" spans="1:5">
      <c r="A1" t="s">
        <v>36</v>
      </c>
    </row>
    <row r="3" spans="1:5">
      <c r="A3" s="7" t="s">
        <v>3</v>
      </c>
      <c r="B3" s="8" t="s">
        <v>23</v>
      </c>
      <c r="D3" t="s">
        <v>38</v>
      </c>
      <c r="E3" t="s">
        <v>37</v>
      </c>
    </row>
    <row r="4" spans="1:5">
      <c r="A4" s="15">
        <v>1</v>
      </c>
      <c r="B4" s="9">
        <v>1</v>
      </c>
      <c r="C4">
        <v>1</v>
      </c>
      <c r="D4" s="1">
        <f>A4/AVERAGE($A$4:$A$7)</f>
        <v>0.16</v>
      </c>
    </row>
    <row r="5" spans="1:5">
      <c r="A5" s="15">
        <v>7</v>
      </c>
      <c r="B5" s="9">
        <v>2</v>
      </c>
      <c r="C5">
        <v>2</v>
      </c>
      <c r="D5" s="1">
        <f t="shared" ref="D5:D7" si="0">A5/AVERAGE($A$4:$A$7)</f>
        <v>1.1200000000000001</v>
      </c>
    </row>
    <row r="6" spans="1:5">
      <c r="A6" s="15">
        <f>2*B6</f>
        <v>6</v>
      </c>
      <c r="B6" s="9">
        <v>3</v>
      </c>
      <c r="C6">
        <v>3</v>
      </c>
      <c r="D6" s="1">
        <f t="shared" si="0"/>
        <v>0.96</v>
      </c>
    </row>
    <row r="7" spans="1:5">
      <c r="A7" s="15">
        <v>11</v>
      </c>
      <c r="B7" s="9">
        <v>4</v>
      </c>
      <c r="C7">
        <v>4</v>
      </c>
      <c r="D7" s="1">
        <f t="shared" si="0"/>
        <v>1.76</v>
      </c>
      <c r="E7">
        <f>SUM(D4:D7)</f>
        <v>4</v>
      </c>
    </row>
    <row r="8" spans="1:5">
      <c r="A8" s="15">
        <v>13</v>
      </c>
      <c r="B8" s="9">
        <v>5</v>
      </c>
      <c r="C8">
        <v>1</v>
      </c>
      <c r="D8" s="1">
        <f>A8/AVERAGE($A$8:$A$11)</f>
        <v>0.78787878787878785</v>
      </c>
    </row>
    <row r="9" spans="1:5">
      <c r="A9" s="15">
        <v>15</v>
      </c>
      <c r="B9" s="9">
        <v>6</v>
      </c>
      <c r="C9">
        <v>2</v>
      </c>
      <c r="D9" s="1">
        <f t="shared" ref="D9:D11" si="1">A9/AVERAGE($A$8:$A$11)</f>
        <v>0.90909090909090906</v>
      </c>
    </row>
    <row r="10" spans="1:5">
      <c r="A10" s="15">
        <v>18</v>
      </c>
      <c r="B10" s="9">
        <v>7</v>
      </c>
      <c r="C10">
        <v>3</v>
      </c>
      <c r="D10" s="1">
        <f t="shared" si="1"/>
        <v>1.0909090909090908</v>
      </c>
    </row>
    <row r="11" spans="1:5">
      <c r="A11" s="15">
        <v>20</v>
      </c>
      <c r="B11" s="9">
        <v>8</v>
      </c>
      <c r="C11">
        <v>4</v>
      </c>
      <c r="D11" s="1">
        <f t="shared" si="1"/>
        <v>1.2121212121212122</v>
      </c>
      <c r="E11">
        <f>SUM(D8:D11)</f>
        <v>4</v>
      </c>
    </row>
    <row r="12" spans="1:5">
      <c r="A12" s="15">
        <v>21</v>
      </c>
      <c r="B12" s="9">
        <v>9</v>
      </c>
      <c r="C12">
        <v>1</v>
      </c>
      <c r="D12" s="1">
        <f>A12/AVERAGE($A$12:$A$15)</f>
        <v>0.92307692307692313</v>
      </c>
    </row>
    <row r="13" spans="1:5">
      <c r="A13" s="15">
        <v>24</v>
      </c>
      <c r="B13" s="9">
        <v>10</v>
      </c>
      <c r="C13">
        <v>2</v>
      </c>
      <c r="D13" s="1">
        <f t="shared" ref="D13:D15" si="2">A13/AVERAGE($A$12:$A$15)</f>
        <v>1.054945054945055</v>
      </c>
    </row>
    <row r="14" spans="1:5">
      <c r="A14" s="16">
        <v>22</v>
      </c>
      <c r="B14" s="11">
        <v>11</v>
      </c>
      <c r="C14">
        <v>3</v>
      </c>
      <c r="D14" s="1">
        <f t="shared" si="2"/>
        <v>0.96703296703296704</v>
      </c>
    </row>
    <row r="15" spans="1:5">
      <c r="A15" s="15">
        <v>24</v>
      </c>
      <c r="B15" s="30">
        <v>12</v>
      </c>
      <c r="C15">
        <v>4</v>
      </c>
      <c r="D15" s="1">
        <f t="shared" si="2"/>
        <v>1.054945054945055</v>
      </c>
      <c r="E15">
        <f>SUM(D12:D15)</f>
        <v>4</v>
      </c>
    </row>
    <row r="16" spans="1:5" ht="15.75" thickBot="1">
      <c r="C16" t="s">
        <v>40</v>
      </c>
    </row>
    <row r="17" spans="3:4">
      <c r="C17" s="31">
        <v>1</v>
      </c>
      <c r="D17" s="32">
        <f>MEDIAN(D12,D8,D4)</f>
        <v>0.78787878787878785</v>
      </c>
    </row>
    <row r="18" spans="3:4">
      <c r="C18" s="33">
        <v>2</v>
      </c>
      <c r="D18" s="34">
        <f>MEDIAN(D13,D9,D5)</f>
        <v>1.054945054945055</v>
      </c>
    </row>
    <row r="19" spans="3:4">
      <c r="C19" s="33">
        <v>3</v>
      </c>
      <c r="D19" s="34">
        <f>MEDIAN(D14,D10,D6)</f>
        <v>0.96703296703296704</v>
      </c>
    </row>
    <row r="20" spans="3:4" ht="15.75" thickBot="1">
      <c r="C20" s="35">
        <v>4</v>
      </c>
      <c r="D20" s="36">
        <f>MEDIAN(D15,D11,D7)</f>
        <v>1.2121212121212122</v>
      </c>
    </row>
    <row r="22" spans="3:4">
      <c r="C22" t="s">
        <v>62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5"/>
  <dimension ref="A1:BH549"/>
  <sheetViews>
    <sheetView showGridLines="0" topLeftCell="A4" workbookViewId="0">
      <selection activeCell="F41" sqref="F41"/>
    </sheetView>
  </sheetViews>
  <sheetFormatPr defaultRowHeight="15"/>
  <cols>
    <col min="1" max="1" width="15.28515625" style="39" customWidth="1"/>
    <col min="2" max="2" width="10.7109375" style="39" customWidth="1"/>
    <col min="3" max="3" width="7.140625" style="39" customWidth="1"/>
    <col min="4" max="4" width="13.42578125" style="39" customWidth="1"/>
    <col min="5" max="5" width="11.7109375" style="39" customWidth="1"/>
    <col min="6" max="6" width="8.28515625" style="39" customWidth="1"/>
    <col min="7" max="7" width="9.140625" style="39"/>
    <col min="8" max="10" width="7.140625" style="39" customWidth="1"/>
    <col min="11" max="16384" width="9.140625" style="39"/>
  </cols>
  <sheetData>
    <row r="1" spans="1:60" ht="31.5">
      <c r="A1" s="38" t="s">
        <v>41</v>
      </c>
    </row>
    <row r="2" spans="1:60">
      <c r="A2" s="40" t="s">
        <v>42</v>
      </c>
      <c r="BF2" s="147"/>
    </row>
    <row r="3" spans="1:60">
      <c r="A3" s="41" t="s">
        <v>43</v>
      </c>
      <c r="BF3" s="39" t="str">
        <f>"Projected Multiple for " &amp; ticker</f>
        <v>Projected Multiple for EZCH</v>
      </c>
    </row>
    <row r="4" spans="1:60">
      <c r="A4" s="39" t="s">
        <v>44</v>
      </c>
    </row>
    <row r="5" spans="1:60">
      <c r="A5" s="39" t="s">
        <v>45</v>
      </c>
    </row>
    <row r="6" spans="1:60">
      <c r="C6"/>
    </row>
    <row r="7" spans="1:60" ht="15.75" thickBot="1">
      <c r="B7" s="39">
        <f>Residuals!C86</f>
        <v>0.19288128493666259</v>
      </c>
      <c r="C7" t="s">
        <v>85</v>
      </c>
    </row>
    <row r="8" spans="1:60">
      <c r="A8" s="42" t="s">
        <v>46</v>
      </c>
      <c r="B8" s="96">
        <f>Residuals!C87</f>
        <v>28.820755684338621</v>
      </c>
      <c r="C8" s="43" t="s">
        <v>47</v>
      </c>
      <c r="K8"/>
    </row>
    <row r="9" spans="1:60" ht="18">
      <c r="A9" s="44" t="s">
        <v>48</v>
      </c>
      <c r="B9" s="45">
        <f>Residuals!I85</f>
        <v>9.5972244614045774</v>
      </c>
      <c r="C9" s="46" t="s">
        <v>49</v>
      </c>
    </row>
    <row r="10" spans="1:60">
      <c r="A10" s="44" t="s">
        <v>50</v>
      </c>
      <c r="B10" s="45">
        <v>0.02</v>
      </c>
      <c r="C10" s="46"/>
    </row>
    <row r="11" spans="1:60">
      <c r="A11" s="44" t="s">
        <v>51</v>
      </c>
      <c r="B11" s="45">
        <v>0</v>
      </c>
      <c r="C11" s="46" t="s">
        <v>52</v>
      </c>
    </row>
    <row r="12" spans="1:60" ht="18.75" thickBot="1">
      <c r="A12" s="47" t="s">
        <v>53</v>
      </c>
      <c r="B12" s="48">
        <v>0.01</v>
      </c>
      <c r="C12" s="49" t="s">
        <v>54</v>
      </c>
    </row>
    <row r="13" spans="1:60" ht="15.75" thickBot="1">
      <c r="A13" s="50" t="s">
        <v>55</v>
      </c>
      <c r="B13" s="51" t="s">
        <v>56</v>
      </c>
      <c r="C13" s="51" t="s">
        <v>57</v>
      </c>
      <c r="D13" s="51" t="s">
        <v>58</v>
      </c>
      <c r="E13" s="52" t="s">
        <v>59</v>
      </c>
      <c r="F13" s="94" t="s">
        <v>84</v>
      </c>
      <c r="G13" s="51" t="s">
        <v>60</v>
      </c>
      <c r="H13" s="52" t="s">
        <v>61</v>
      </c>
      <c r="J13" s="115" t="s">
        <v>101</v>
      </c>
      <c r="O13" s="39">
        <v>1</v>
      </c>
      <c r="T13" s="39">
        <v>2</v>
      </c>
      <c r="Y13" s="39">
        <v>3</v>
      </c>
      <c r="AD13" s="39">
        <v>4</v>
      </c>
      <c r="AI13" s="39">
        <v>5</v>
      </c>
      <c r="AN13" s="39">
        <v>6</v>
      </c>
      <c r="AS13" s="39">
        <v>7</v>
      </c>
      <c r="AX13" s="39">
        <v>8</v>
      </c>
      <c r="BC13" s="39">
        <v>9</v>
      </c>
      <c r="BH13" s="39">
        <v>10</v>
      </c>
    </row>
    <row r="14" spans="1:60">
      <c r="A14" s="53">
        <v>0</v>
      </c>
      <c r="B14" s="54"/>
      <c r="C14" s="55"/>
      <c r="D14" s="54"/>
      <c r="E14" s="97">
        <f>Residuals!B128</f>
        <v>15.90823</v>
      </c>
      <c r="F14" s="56"/>
      <c r="G14" s="56"/>
      <c r="H14" s="57"/>
      <c r="I14" s="114"/>
      <c r="J14" s="116">
        <f>AVERAGE(E14,O14,T14,Y14,AD14,AI14,AN14,AS14,AX14,BC14,BH14)</f>
        <v>15.908230000000001</v>
      </c>
      <c r="L14" s="104"/>
      <c r="M14" s="105"/>
      <c r="N14" s="106"/>
      <c r="O14" s="107">
        <f>$E$14</f>
        <v>15.90823</v>
      </c>
      <c r="P14" s="95"/>
      <c r="Q14" s="104"/>
      <c r="R14" s="105"/>
      <c r="S14" s="106"/>
      <c r="T14" s="107">
        <f>$E$14</f>
        <v>15.90823</v>
      </c>
      <c r="U14" s="95"/>
      <c r="V14" s="104"/>
      <c r="W14" s="105"/>
      <c r="X14" s="106"/>
      <c r="Y14" s="107">
        <f>$E$14</f>
        <v>15.90823</v>
      </c>
      <c r="AA14" s="104"/>
      <c r="AB14" s="105"/>
      <c r="AC14" s="106"/>
      <c r="AD14" s="107">
        <f>$E$14</f>
        <v>15.90823</v>
      </c>
      <c r="AF14" s="104"/>
      <c r="AG14" s="105"/>
      <c r="AH14" s="106"/>
      <c r="AI14" s="107">
        <f>$E$14</f>
        <v>15.90823</v>
      </c>
      <c r="AK14" s="104"/>
      <c r="AL14" s="105"/>
      <c r="AM14" s="106"/>
      <c r="AN14" s="107">
        <f>$E$14</f>
        <v>15.90823</v>
      </c>
      <c r="AP14" s="104"/>
      <c r="AQ14" s="105"/>
      <c r="AR14" s="106"/>
      <c r="AS14" s="107">
        <f>$E$14</f>
        <v>15.90823</v>
      </c>
      <c r="AU14" s="104"/>
      <c r="AV14" s="105"/>
      <c r="AW14" s="106"/>
      <c r="AX14" s="107">
        <f>$E$14</f>
        <v>15.90823</v>
      </c>
      <c r="AZ14" s="104"/>
      <c r="BA14" s="105"/>
      <c r="BB14" s="106"/>
      <c r="BC14" s="107">
        <f>$E$14</f>
        <v>15.90823</v>
      </c>
      <c r="BE14" s="104"/>
      <c r="BF14" s="105"/>
      <c r="BG14" s="106"/>
      <c r="BH14" s="107">
        <f>$E$14</f>
        <v>15.90823</v>
      </c>
    </row>
    <row r="15" spans="1:60">
      <c r="A15" s="53">
        <f>A14+1</f>
        <v>1</v>
      </c>
      <c r="B15" s="54">
        <f t="shared" ref="B15:B78" ca="1" si="0">sigma*NORMSINV(RAND())</f>
        <v>-15.682875289140416</v>
      </c>
      <c r="C15" s="55">
        <f t="shared" ref="C15:C78" ca="1" si="1">IF(RAND()&lt;jumpProb,1,0)</f>
        <v>0</v>
      </c>
      <c r="D15" s="54">
        <f t="shared" ref="D15:D78" ca="1" si="2">jumpMean+jumpStdDev*NORMSINV(RAND())</f>
        <v>8.0075177886558477E-3</v>
      </c>
      <c r="E15" s="97">
        <f t="shared" ref="E15:E34" ca="1" si="3">alpha+B15+C15*D15+$B$7*E14</f>
        <v>16.206280238666171</v>
      </c>
      <c r="F15" s="56"/>
      <c r="G15" s="56"/>
      <c r="H15" s="57"/>
      <c r="I15" s="55"/>
      <c r="J15" s="116">
        <f t="shared" ref="J15:J34" ca="1" si="4">AVERAGE(E15,O15,T15,Y15,AD15,AI15,AN15,AS15,AX15,BC15,BH15)</f>
        <v>33.030863271156974</v>
      </c>
      <c r="L15" s="108">
        <f t="shared" ref="L15:L34" ca="1" si="5">sigma*NORMSINV(RAND())</f>
        <v>10.968044892949239</v>
      </c>
      <c r="M15" s="55">
        <f t="shared" ref="M15:M34" ca="1" si="6">IF(RAND()&lt;jumpProb,1,0)</f>
        <v>0</v>
      </c>
      <c r="N15" s="54">
        <f t="shared" ref="N15:N34" ca="1" si="7">jumpMean+jumpStdDev*NORMSINV(RAND())</f>
        <v>1.1967987647096679E-2</v>
      </c>
      <c r="O15" s="109">
        <f t="shared" ref="O15:O34" ca="1" si="8">alpha+L15+M15*N15+$B$7*O14</f>
        <v>42.857200420755824</v>
      </c>
      <c r="Q15" s="108">
        <f t="shared" ref="Q15:Q34" ca="1" si="9">sigma*NORMSINV(RAND())</f>
        <v>0.919391312367008</v>
      </c>
      <c r="R15" s="55">
        <f t="shared" ref="R15:R34" ca="1" si="10">IF(RAND()&lt;jumpProb,1,0)</f>
        <v>1</v>
      </c>
      <c r="S15" s="54">
        <f t="shared" ref="S15:S34" ca="1" si="11">jumpMean+jumpStdDev*NORMSINV(RAND())</f>
        <v>1.272385412548265E-4</v>
      </c>
      <c r="T15" s="109">
        <f t="shared" ref="T15:T34" ca="1" si="12">alpha+Q15+R15*S15+$B$7*T14</f>
        <v>32.808674078714844</v>
      </c>
      <c r="V15" s="108">
        <f t="shared" ref="V15:V34" ca="1" si="13">sigma*NORMSINV(RAND())</f>
        <v>24.082637486939426</v>
      </c>
      <c r="W15" s="55">
        <f t="shared" ref="W15:W34" ca="1" si="14">IF(RAND()&lt;jumpProb,1,0)</f>
        <v>0</v>
      </c>
      <c r="X15" s="54">
        <f t="shared" ref="X15:X34" ca="1" si="15">jumpMean+jumpStdDev*NORMSINV(RAND())</f>
        <v>1.9096394049097489E-2</v>
      </c>
      <c r="Y15" s="109">
        <f t="shared" ref="Y15:Y34" ca="1" si="16">alpha+V15+W15*X15+$B$7*Y14</f>
        <v>55.971793014746012</v>
      </c>
      <c r="AA15" s="108">
        <f t="shared" ref="AA15:AA34" ca="1" si="17">sigma*NORMSINV(RAND())</f>
        <v>3.6022706953742545</v>
      </c>
      <c r="AB15" s="55">
        <f t="shared" ref="AB15:AB34" ca="1" si="18">IF(RAND()&lt;jumpProb,1,0)</f>
        <v>0</v>
      </c>
      <c r="AC15" s="54">
        <f t="shared" ref="AC15:AC34" ca="1" si="19">jumpMean+jumpStdDev*NORMSINV(RAND())</f>
        <v>-4.9085819722079951E-3</v>
      </c>
      <c r="AD15" s="109">
        <f t="shared" ref="AD15:AD34" ca="1" si="20">alpha+AA15+AB15*AC15+$B$7*AD14</f>
        <v>35.491426223180838</v>
      </c>
      <c r="AF15" s="108">
        <f t="shared" ref="AF15:AF34" ca="1" si="21">sigma*NORMSINV(RAND())</f>
        <v>7.9333032933288434</v>
      </c>
      <c r="AG15" s="55">
        <f t="shared" ref="AG15:AG34" ca="1" si="22">IF(RAND()&lt;jumpProb,1,0)</f>
        <v>0</v>
      </c>
      <c r="AH15" s="54">
        <f t="shared" ref="AH15:AH34" ca="1" si="23">jumpMean+jumpStdDev*NORMSINV(RAND())</f>
        <v>9.6658103794836601E-3</v>
      </c>
      <c r="AI15" s="109">
        <f t="shared" ref="AI15:AI34" ca="1" si="24">alpha+AF15+AG15*AH15+$B$7*AI14</f>
        <v>39.822458821135427</v>
      </c>
      <c r="AK15" s="108">
        <f t="shared" ref="AK15:AK34" ca="1" si="25">sigma*NORMSINV(RAND())</f>
        <v>-4.4332087906471171</v>
      </c>
      <c r="AL15" s="55">
        <f t="shared" ref="AL15:AL34" ca="1" si="26">IF(RAND()&lt;jumpProb,1,0)</f>
        <v>0</v>
      </c>
      <c r="AM15" s="54">
        <f t="shared" ref="AM15:AM34" ca="1" si="27">jumpMean+jumpStdDev*NORMSINV(RAND())</f>
        <v>-1.5109735883219066E-2</v>
      </c>
      <c r="AN15" s="109">
        <f t="shared" ref="AN15:AN34" ca="1" si="28">alpha+AK15+AL15*AM15+$B$7*AN14</f>
        <v>27.455946737159469</v>
      </c>
      <c r="AP15" s="108">
        <f t="shared" ref="AP15:AP34" ca="1" si="29">sigma*NORMSINV(RAND())</f>
        <v>6.0744680023735782</v>
      </c>
      <c r="AQ15" s="55">
        <f t="shared" ref="AQ15:AQ34" ca="1" si="30">IF(RAND()&lt;jumpProb,1,0)</f>
        <v>0</v>
      </c>
      <c r="AR15" s="54">
        <f t="shared" ref="AR15:AR34" ca="1" si="31">jumpMean+jumpStdDev*NORMSINV(RAND())</f>
        <v>3.5596246852928992E-3</v>
      </c>
      <c r="AS15" s="109">
        <f t="shared" ref="AS15:AS34" ca="1" si="32">alpha+AP15+AQ15*AR15+$B$7*AS14</f>
        <v>37.963623530180165</v>
      </c>
      <c r="AU15" s="108">
        <f t="shared" ref="AU15:AU34" ca="1" si="33">sigma*NORMSINV(RAND())</f>
        <v>-7.3600048658103701</v>
      </c>
      <c r="AV15" s="55">
        <f t="shared" ref="AV15:AV34" ca="1" si="34">IF(RAND()&lt;jumpProb,1,0)</f>
        <v>0</v>
      </c>
      <c r="AW15" s="54">
        <f t="shared" ref="AW15:AW34" ca="1" si="35">jumpMean+jumpStdDev*NORMSINV(RAND())</f>
        <v>-8.7300892001961599E-3</v>
      </c>
      <c r="AX15" s="109">
        <f t="shared" ref="AX15:AX34" ca="1" si="36">alpha+AU15+AV15*AW15+$B$7*AX14</f>
        <v>24.529150661996216</v>
      </c>
      <c r="AZ15" s="108">
        <f t="shared" ref="AZ15:AZ34" ca="1" si="37">sigma*NORMSINV(RAND())</f>
        <v>-9.613505902824798</v>
      </c>
      <c r="BA15" s="55">
        <f t="shared" ref="BA15:BA34" ca="1" si="38">IF(RAND()&lt;jumpProb,1,0)</f>
        <v>0</v>
      </c>
      <c r="BB15" s="54">
        <f t="shared" ref="BB15:BB34" ca="1" si="39">jumpMean+jumpStdDev*NORMSINV(RAND())</f>
        <v>1.6478264206951649E-3</v>
      </c>
      <c r="BC15" s="109">
        <f t="shared" ref="BC15:BC34" ca="1" si="40">alpha+AZ15+BA15*BB15+$B$7*BC14</f>
        <v>22.275649624981789</v>
      </c>
      <c r="BE15" s="108">
        <f t="shared" ref="BE15:BE34" ca="1" si="41">sigma*NORMSINV(RAND())</f>
        <v>-3.9318628965966602</v>
      </c>
      <c r="BF15" s="55">
        <f t="shared" ref="BF15:BF34" ca="1" si="42">IF(RAND()&lt;jumpProb,1,0)</f>
        <v>0</v>
      </c>
      <c r="BG15" s="54">
        <f t="shared" ref="BG15:BG34" ca="1" si="43">jumpMean+jumpStdDev*NORMSINV(RAND())</f>
        <v>-6.4124612139008887E-3</v>
      </c>
      <c r="BH15" s="109">
        <f t="shared" ref="BH15:BH34" ca="1" si="44">alpha+BE15+BF15*BG15+$B$7*BH14</f>
        <v>27.957292631209928</v>
      </c>
    </row>
    <row r="16" spans="1:60">
      <c r="A16" s="53">
        <f t="shared" ref="A16:A79" si="45">A15+1</f>
        <v>2</v>
      </c>
      <c r="B16" s="54">
        <f t="shared" ca="1" si="0"/>
        <v>22.72536844149661</v>
      </c>
      <c r="C16" s="55">
        <f t="shared" ca="1" si="1"/>
        <v>0</v>
      </c>
      <c r="D16" s="54">
        <f t="shared" ca="1" si="2"/>
        <v>-4.7895448183220739E-3</v>
      </c>
      <c r="E16" s="97">
        <f t="shared" ca="1" si="3"/>
        <v>54.672012282312807</v>
      </c>
      <c r="F16" s="56"/>
      <c r="G16" s="56"/>
      <c r="H16" s="57" t="str">
        <f t="shared" ref="H16:H79" ca="1" si="46">IF(C16=1,G16,"")</f>
        <v/>
      </c>
      <c r="I16" s="55"/>
      <c r="J16" s="116">
        <f t="shared" ca="1" si="4"/>
        <v>36.439558656059866</v>
      </c>
      <c r="L16" s="108">
        <f t="shared" ca="1" si="5"/>
        <v>-6.2331257005937779</v>
      </c>
      <c r="M16" s="55">
        <f t="shared" ca="1" si="6"/>
        <v>0</v>
      </c>
      <c r="N16" s="54">
        <f t="shared" ca="1" si="7"/>
        <v>8.1533577958304709E-3</v>
      </c>
      <c r="O16" s="109">
        <f t="shared" ca="1" si="8"/>
        <v>30.853981869688305</v>
      </c>
      <c r="Q16" s="108">
        <f t="shared" ca="1" si="9"/>
        <v>6.8368754121473767</v>
      </c>
      <c r="R16" s="55">
        <f t="shared" ca="1" si="10"/>
        <v>0</v>
      </c>
      <c r="S16" s="54">
        <f t="shared" ca="1" si="11"/>
        <v>3.3034991711113817E-3</v>
      </c>
      <c r="T16" s="109">
        <f t="shared" ca="1" si="12"/>
        <v>41.985810309856696</v>
      </c>
      <c r="V16" s="108">
        <f t="shared" ca="1" si="13"/>
        <v>-0.97677124363442858</v>
      </c>
      <c r="W16" s="55">
        <f t="shared" ca="1" si="14"/>
        <v>0</v>
      </c>
      <c r="X16" s="54">
        <f t="shared" ca="1" si="15"/>
        <v>-8.9179182991661315E-3</v>
      </c>
      <c r="Y16" s="109">
        <f t="shared" ca="1" si="16"/>
        <v>38.639895797597319</v>
      </c>
      <c r="AA16" s="108">
        <f t="shared" ca="1" si="17"/>
        <v>5.0119035788111841</v>
      </c>
      <c r="AB16" s="55">
        <f t="shared" ca="1" si="18"/>
        <v>0</v>
      </c>
      <c r="AC16" s="54">
        <f t="shared" ca="1" si="19"/>
        <v>-7.6427968124874422E-3</v>
      </c>
      <c r="AD16" s="109">
        <f t="shared" ca="1" si="20"/>
        <v>40.678291157311691</v>
      </c>
      <c r="AF16" s="108">
        <f t="shared" ca="1" si="21"/>
        <v>-4.093010296260605</v>
      </c>
      <c r="AG16" s="55">
        <f t="shared" ca="1" si="22"/>
        <v>0</v>
      </c>
      <c r="AH16" s="54">
        <f t="shared" ca="1" si="23"/>
        <v>6.5707128443784771E-3</v>
      </c>
      <c r="AI16" s="109">
        <f t="shared" ca="1" si="24"/>
        <v>32.408752414835952</v>
      </c>
      <c r="AK16" s="108">
        <f t="shared" ca="1" si="25"/>
        <v>-13.48938199384812</v>
      </c>
      <c r="AL16" s="55">
        <f t="shared" ca="1" si="26"/>
        <v>0</v>
      </c>
      <c r="AM16" s="54">
        <f t="shared" ca="1" si="27"/>
        <v>-1.7949587228966197E-3</v>
      </c>
      <c r="AN16" s="109">
        <f t="shared" ca="1" si="28"/>
        <v>20.627111976306388</v>
      </c>
      <c r="AP16" s="108">
        <f t="shared" ca="1" si="29"/>
        <v>-5.0296525315962946</v>
      </c>
      <c r="AQ16" s="55">
        <f t="shared" ca="1" si="30"/>
        <v>0</v>
      </c>
      <c r="AR16" s="54">
        <f t="shared" ca="1" si="31"/>
        <v>1.8630785736006917E-3</v>
      </c>
      <c r="AS16" s="109">
        <f t="shared" ca="1" si="32"/>
        <v>31.113575640095195</v>
      </c>
      <c r="AU16" s="108">
        <f t="shared" ca="1" si="33"/>
        <v>2.2485808698376837</v>
      </c>
      <c r="AV16" s="55">
        <f t="shared" ca="1" si="34"/>
        <v>0</v>
      </c>
      <c r="AW16" s="54">
        <f t="shared" ca="1" si="35"/>
        <v>6.4975896439170705E-3</v>
      </c>
      <c r="AX16" s="109">
        <f t="shared" ca="1" si="36"/>
        <v>35.800550652267127</v>
      </c>
      <c r="AZ16" s="108">
        <f t="shared" ca="1" si="37"/>
        <v>10.094932611864554</v>
      </c>
      <c r="BA16" s="55">
        <f t="shared" ca="1" si="38"/>
        <v>0</v>
      </c>
      <c r="BB16" s="54">
        <f t="shared" ca="1" si="39"/>
        <v>-2.7229134038029797E-2</v>
      </c>
      <c r="BC16" s="109">
        <f t="shared" ca="1" si="40"/>
        <v>43.212244218668545</v>
      </c>
      <c r="BE16" s="108">
        <f t="shared" ca="1" si="41"/>
        <v>-3.3702753126781779</v>
      </c>
      <c r="BF16" s="55">
        <f t="shared" ca="1" si="42"/>
        <v>0</v>
      </c>
      <c r="BG16" s="54">
        <f t="shared" ca="1" si="43"/>
        <v>-8.9726668609366299E-3</v>
      </c>
      <c r="BH16" s="109">
        <f t="shared" ca="1" si="44"/>
        <v>30.842918897718505</v>
      </c>
    </row>
    <row r="17" spans="1:60">
      <c r="A17" s="53">
        <f t="shared" si="45"/>
        <v>3</v>
      </c>
      <c r="B17" s="54">
        <f t="shared" ca="1" si="0"/>
        <v>-3.9714620251786443</v>
      </c>
      <c r="C17" s="55">
        <f t="shared" ca="1" si="1"/>
        <v>0</v>
      </c>
      <c r="D17" s="54">
        <f t="shared" ca="1" si="2"/>
        <v>-9.6475757101261612E-3</v>
      </c>
      <c r="E17" s="97">
        <f t="shared" ca="1" si="3"/>
        <v>35.394501638245472</v>
      </c>
      <c r="F17" s="56"/>
      <c r="G17" s="56"/>
      <c r="H17" s="57" t="str">
        <f t="shared" ca="1" si="46"/>
        <v/>
      </c>
      <c r="I17" s="55"/>
      <c r="J17" s="116">
        <f t="shared" ca="1" si="4"/>
        <v>37.941200611326849</v>
      </c>
      <c r="L17" s="108">
        <f t="shared" ca="1" si="5"/>
        <v>8.0323574688763095</v>
      </c>
      <c r="M17" s="55">
        <f t="shared" ca="1" si="6"/>
        <v>0</v>
      </c>
      <c r="N17" s="54">
        <f t="shared" ca="1" si="7"/>
        <v>-2.0713499237474398E-3</v>
      </c>
      <c r="O17" s="109">
        <f t="shared" ca="1" si="8"/>
        <v>42.804268821652904</v>
      </c>
      <c r="Q17" s="108">
        <f t="shared" ca="1" si="9"/>
        <v>20.261365573267</v>
      </c>
      <c r="R17" s="55">
        <f t="shared" ca="1" si="10"/>
        <v>0</v>
      </c>
      <c r="S17" s="54">
        <f t="shared" ca="1" si="11"/>
        <v>2.6176728204666535E-3</v>
      </c>
      <c r="T17" s="109">
        <f t="shared" ca="1" si="12"/>
        <v>57.180398299277755</v>
      </c>
      <c r="V17" s="108">
        <f t="shared" ca="1" si="13"/>
        <v>-13.071543514815721</v>
      </c>
      <c r="W17" s="55">
        <f t="shared" ca="1" si="14"/>
        <v>0</v>
      </c>
      <c r="X17" s="54">
        <f t="shared" ca="1" si="15"/>
        <v>-4.7521601352722414E-3</v>
      </c>
      <c r="Y17" s="109">
        <f t="shared" ca="1" si="16"/>
        <v>23.202124920782222</v>
      </c>
      <c r="AA17" s="108">
        <f t="shared" ca="1" si="17"/>
        <v>3.5754147807220682</v>
      </c>
      <c r="AB17" s="55">
        <f t="shared" ca="1" si="18"/>
        <v>0</v>
      </c>
      <c r="AC17" s="54">
        <f t="shared" ca="1" si="19"/>
        <v>7.0927472535952532E-3</v>
      </c>
      <c r="AD17" s="109">
        <f t="shared" ca="1" si="20"/>
        <v>40.24225153251065</v>
      </c>
      <c r="AF17" s="108">
        <f t="shared" ca="1" si="21"/>
        <v>-4.0170232762337648</v>
      </c>
      <c r="AG17" s="55">
        <f t="shared" ca="1" si="22"/>
        <v>0</v>
      </c>
      <c r="AH17" s="54">
        <f t="shared" ca="1" si="23"/>
        <v>1.9198371504073723E-2</v>
      </c>
      <c r="AI17" s="109">
        <f t="shared" ca="1" si="24"/>
        <v>31.054774217072584</v>
      </c>
      <c r="AK17" s="108">
        <f t="shared" ca="1" si="25"/>
        <v>6.4620696063607603</v>
      </c>
      <c r="AL17" s="55">
        <f t="shared" ca="1" si="26"/>
        <v>0</v>
      </c>
      <c r="AM17" s="54">
        <f t="shared" ca="1" si="27"/>
        <v>-7.0470108145867828E-3</v>
      </c>
      <c r="AN17" s="109">
        <f t="shared" ca="1" si="28"/>
        <v>39.261409153221777</v>
      </c>
      <c r="AP17" s="108">
        <f t="shared" ca="1" si="29"/>
        <v>23.377251445132725</v>
      </c>
      <c r="AQ17" s="55">
        <f t="shared" ca="1" si="30"/>
        <v>0</v>
      </c>
      <c r="AR17" s="54">
        <f t="shared" ca="1" si="31"/>
        <v>-2.4729564749449381E-3</v>
      </c>
      <c r="AS17" s="109">
        <f t="shared" ca="1" si="32"/>
        <v>58.199233577906952</v>
      </c>
      <c r="AU17" s="108">
        <f t="shared" ca="1" si="33"/>
        <v>-8.3288930744321608</v>
      </c>
      <c r="AV17" s="55">
        <f t="shared" ca="1" si="34"/>
        <v>0</v>
      </c>
      <c r="AW17" s="54">
        <f t="shared" ca="1" si="35"/>
        <v>5.6234599541520594E-3</v>
      </c>
      <c r="AX17" s="109">
        <f t="shared" ca="1" si="36"/>
        <v>27.397118821155821</v>
      </c>
      <c r="AZ17" s="108">
        <f t="shared" ca="1" si="37"/>
        <v>3.8530305067715935</v>
      </c>
      <c r="BA17" s="55">
        <f t="shared" ca="1" si="38"/>
        <v>0</v>
      </c>
      <c r="BB17" s="54">
        <f t="shared" ca="1" si="39"/>
        <v>1.0292195952723135E-2</v>
      </c>
      <c r="BC17" s="109">
        <f t="shared" ca="1" si="40"/>
        <v>41.008619381003875</v>
      </c>
      <c r="BE17" s="108">
        <f t="shared" ca="1" si="41"/>
        <v>-13.161271150762506</v>
      </c>
      <c r="BF17" s="55">
        <f t="shared" ca="1" si="42"/>
        <v>0</v>
      </c>
      <c r="BG17" s="54">
        <f t="shared" ca="1" si="43"/>
        <v>-3.7581895877214235E-3</v>
      </c>
      <c r="BH17" s="109">
        <f t="shared" ca="1" si="44"/>
        <v>21.608506361765336</v>
      </c>
    </row>
    <row r="18" spans="1:60">
      <c r="A18" s="53">
        <f t="shared" si="45"/>
        <v>4</v>
      </c>
      <c r="B18" s="54">
        <f t="shared" ca="1" si="0"/>
        <v>6.5498900661213053</v>
      </c>
      <c r="C18" s="55">
        <f t="shared" ca="1" si="1"/>
        <v>0</v>
      </c>
      <c r="D18" s="54">
        <f t="shared" ca="1" si="2"/>
        <v>-1.1637637977421953E-2</v>
      </c>
      <c r="E18" s="97">
        <f t="shared" ca="1" si="3"/>
        <v>42.197582706137524</v>
      </c>
      <c r="F18" s="56"/>
      <c r="G18" s="56"/>
      <c r="H18" s="57" t="str">
        <f t="shared" ca="1" si="46"/>
        <v/>
      </c>
      <c r="I18" s="55"/>
      <c r="J18" s="116">
        <f t="shared" ca="1" si="4"/>
        <v>36.255142222929663</v>
      </c>
      <c r="L18" s="108">
        <f t="shared" ca="1" si="5"/>
        <v>6.5475207539360811</v>
      </c>
      <c r="M18" s="55">
        <f t="shared" ca="1" si="6"/>
        <v>0</v>
      </c>
      <c r="N18" s="54">
        <f t="shared" ca="1" si="7"/>
        <v>2.6187163392708589E-3</v>
      </c>
      <c r="O18" s="109">
        <f t="shared" ca="1" si="8"/>
        <v>43.624418809369445</v>
      </c>
      <c r="Q18" s="108">
        <f t="shared" ca="1" si="9"/>
        <v>11.501947320546295</v>
      </c>
      <c r="R18" s="55">
        <f t="shared" ca="1" si="10"/>
        <v>0</v>
      </c>
      <c r="S18" s="54">
        <f t="shared" ca="1" si="11"/>
        <v>5.6716895068286506E-4</v>
      </c>
      <c r="T18" s="109">
        <f t="shared" ca="1" si="12"/>
        <v>51.351731702039764</v>
      </c>
      <c r="V18" s="108">
        <f t="shared" ca="1" si="13"/>
        <v>-3.8566837462745092</v>
      </c>
      <c r="W18" s="55">
        <f t="shared" ca="1" si="14"/>
        <v>0</v>
      </c>
      <c r="X18" s="54">
        <f t="shared" ca="1" si="15"/>
        <v>3.8979201963737996E-3</v>
      </c>
      <c r="Y18" s="109">
        <f t="shared" ca="1" si="16"/>
        <v>29.439327606045548</v>
      </c>
      <c r="AA18" s="108">
        <f t="shared" ca="1" si="17"/>
        <v>-5.0320295920876923</v>
      </c>
      <c r="AB18" s="55">
        <f t="shared" ca="1" si="18"/>
        <v>0</v>
      </c>
      <c r="AC18" s="54">
        <f t="shared" ca="1" si="19"/>
        <v>-9.3418682887442556E-3</v>
      </c>
      <c r="AD18" s="109">
        <f t="shared" ca="1" si="20"/>
        <v>31.550703276585963</v>
      </c>
      <c r="AF18" s="108">
        <f t="shared" ca="1" si="21"/>
        <v>-4.9647449616923058</v>
      </c>
      <c r="AG18" s="55">
        <f t="shared" ca="1" si="22"/>
        <v>0</v>
      </c>
      <c r="AH18" s="54">
        <f t="shared" ca="1" si="23"/>
        <v>-2.6601908918436868E-3</v>
      </c>
      <c r="AI18" s="109">
        <f t="shared" ca="1" si="24"/>
        <v>29.845895477053219</v>
      </c>
      <c r="AK18" s="108">
        <f t="shared" ca="1" si="25"/>
        <v>0.3311389803100423</v>
      </c>
      <c r="AL18" s="55">
        <f t="shared" ca="1" si="26"/>
        <v>0</v>
      </c>
      <c r="AM18" s="54">
        <f t="shared" ca="1" si="27"/>
        <v>-5.3807863210245262E-4</v>
      </c>
      <c r="AN18" s="109">
        <f t="shared" ca="1" si="28"/>
        <v>36.724685710546126</v>
      </c>
      <c r="AP18" s="108">
        <f t="shared" ca="1" si="29"/>
        <v>0.62992504629275692</v>
      </c>
      <c r="AQ18" s="55">
        <f t="shared" ca="1" si="30"/>
        <v>0</v>
      </c>
      <c r="AR18" s="54">
        <f t="shared" ca="1" si="31"/>
        <v>9.5825047253104857E-3</v>
      </c>
      <c r="AS18" s="109">
        <f t="shared" ca="1" si="32"/>
        <v>40.676223685467029</v>
      </c>
      <c r="AU18" s="108">
        <f t="shared" ca="1" si="33"/>
        <v>-18.171350291054029</v>
      </c>
      <c r="AV18" s="55">
        <f t="shared" ca="1" si="34"/>
        <v>0</v>
      </c>
      <c r="AW18" s="54">
        <f t="shared" ca="1" si="35"/>
        <v>7.5440999157621574E-3</v>
      </c>
      <c r="AX18" s="109">
        <f t="shared" ca="1" si="36"/>
        <v>15.93379687507155</v>
      </c>
      <c r="AZ18" s="108">
        <f t="shared" ca="1" si="37"/>
        <v>9.7787781888473315</v>
      </c>
      <c r="BA18" s="55">
        <f t="shared" ca="1" si="38"/>
        <v>0</v>
      </c>
      <c r="BB18" s="54">
        <f t="shared" ca="1" si="39"/>
        <v>7.3900969884309678E-3</v>
      </c>
      <c r="BC18" s="109">
        <f t="shared" ca="1" si="40"/>
        <v>46.509329072872504</v>
      </c>
      <c r="BE18" s="108">
        <f t="shared" ca="1" si="41"/>
        <v>-2.0357626259203436</v>
      </c>
      <c r="BF18" s="55">
        <f t="shared" ca="1" si="42"/>
        <v>0</v>
      </c>
      <c r="BG18" s="54">
        <f t="shared" ca="1" si="43"/>
        <v>-8.4471176544674825E-3</v>
      </c>
      <c r="BH18" s="109">
        <f t="shared" ca="1" si="44"/>
        <v>30.952869531037621</v>
      </c>
    </row>
    <row r="19" spans="1:60">
      <c r="A19" s="53">
        <f t="shared" si="45"/>
        <v>5</v>
      </c>
      <c r="B19" s="54">
        <f t="shared" ca="1" si="0"/>
        <v>8.657478530132936</v>
      </c>
      <c r="C19" s="55">
        <f t="shared" ca="1" si="1"/>
        <v>0</v>
      </c>
      <c r="D19" s="54">
        <f t="shared" ca="1" si="2"/>
        <v>1.0747985166994019E-2</v>
      </c>
      <c r="E19" s="97">
        <f t="shared" ca="1" si="3"/>
        <v>45.617358188052449</v>
      </c>
      <c r="F19" s="56"/>
      <c r="G19" s="56"/>
      <c r="H19" s="57" t="str">
        <f t="shared" ca="1" si="46"/>
        <v/>
      </c>
      <c r="I19" s="55"/>
      <c r="J19" s="116">
        <f t="shared" ca="1" si="4"/>
        <v>38.226874418570645</v>
      </c>
      <c r="L19" s="108">
        <f t="shared" ca="1" si="5"/>
        <v>-0.3166954343404555</v>
      </c>
      <c r="M19" s="55">
        <f t="shared" ca="1" si="6"/>
        <v>0</v>
      </c>
      <c r="N19" s="54">
        <f t="shared" ca="1" si="7"/>
        <v>2.9353532890783974E-3</v>
      </c>
      <c r="O19" s="109">
        <f t="shared" ca="1" si="8"/>
        <v>36.918394204564457</v>
      </c>
      <c r="Q19" s="108">
        <f t="shared" ca="1" si="9"/>
        <v>-6.8032432246606547</v>
      </c>
      <c r="R19" s="55">
        <f t="shared" ca="1" si="10"/>
        <v>0</v>
      </c>
      <c r="S19" s="54">
        <f t="shared" ca="1" si="11"/>
        <v>-5.0445000642303289E-3</v>
      </c>
      <c r="T19" s="109">
        <f t="shared" ca="1" si="12"/>
        <v>31.922300454090148</v>
      </c>
      <c r="V19" s="108">
        <f t="shared" ca="1" si="13"/>
        <v>24.687653827191774</v>
      </c>
      <c r="W19" s="55">
        <f t="shared" ca="1" si="14"/>
        <v>0</v>
      </c>
      <c r="X19" s="54">
        <f t="shared" ca="1" si="15"/>
        <v>-2.8932895777934609E-3</v>
      </c>
      <c r="Y19" s="109">
        <f t="shared" ca="1" si="16"/>
        <v>59.186704847855822</v>
      </c>
      <c r="AA19" s="108">
        <f t="shared" ca="1" si="17"/>
        <v>-5.9507802722108467</v>
      </c>
      <c r="AB19" s="55">
        <f t="shared" ca="1" si="18"/>
        <v>0</v>
      </c>
      <c r="AC19" s="54">
        <f t="shared" ca="1" si="19"/>
        <v>-4.3894767215367008E-3</v>
      </c>
      <c r="AD19" s="109">
        <f t="shared" ca="1" si="20"/>
        <v>28.955515600771047</v>
      </c>
      <c r="AF19" s="108">
        <f t="shared" ca="1" si="21"/>
        <v>5.1725216010566566</v>
      </c>
      <c r="AG19" s="55">
        <f t="shared" ca="1" si="22"/>
        <v>0</v>
      </c>
      <c r="AH19" s="54">
        <f t="shared" ca="1" si="23"/>
        <v>-8.7924073997694454E-5</v>
      </c>
      <c r="AI19" s="109">
        <f t="shared" ca="1" si="24"/>
        <v>39.749991955094629</v>
      </c>
      <c r="AK19" s="108">
        <f t="shared" ca="1" si="25"/>
        <v>3.3520906588008175</v>
      </c>
      <c r="AL19" s="55">
        <f t="shared" ca="1" si="26"/>
        <v>0</v>
      </c>
      <c r="AM19" s="54">
        <f t="shared" ca="1" si="27"/>
        <v>5.9819653016586873E-3</v>
      </c>
      <c r="AN19" s="109">
        <f t="shared" ca="1" si="28"/>
        <v>39.256350911884667</v>
      </c>
      <c r="AP19" s="108">
        <f t="shared" ca="1" si="29"/>
        <v>8.5940132411670334</v>
      </c>
      <c r="AQ19" s="55">
        <f t="shared" ca="1" si="30"/>
        <v>0</v>
      </c>
      <c r="AR19" s="54">
        <f t="shared" ca="1" si="31"/>
        <v>4.3688176748146006E-3</v>
      </c>
      <c r="AS19" s="109">
        <f t="shared" ca="1" si="32"/>
        <v>45.260451216329642</v>
      </c>
      <c r="AU19" s="108">
        <f t="shared" ca="1" si="33"/>
        <v>-7.6530365981512549</v>
      </c>
      <c r="AV19" s="55">
        <f t="shared" ca="1" si="34"/>
        <v>0</v>
      </c>
      <c r="AW19" s="54">
        <f t="shared" ca="1" si="35"/>
        <v>-1.9333448687239355E-2</v>
      </c>
      <c r="AX19" s="109">
        <f t="shared" ca="1" si="36"/>
        <v>24.241050301370947</v>
      </c>
      <c r="AZ19" s="108">
        <f t="shared" ca="1" si="37"/>
        <v>4.9461949551326247</v>
      </c>
      <c r="BA19" s="55">
        <f t="shared" ca="1" si="38"/>
        <v>1</v>
      </c>
      <c r="BB19" s="54">
        <f t="shared" ca="1" si="39"/>
        <v>-6.3033421306703061E-3</v>
      </c>
      <c r="BC19" s="109">
        <f t="shared" ca="1" si="40"/>
        <v>42.731426450458301</v>
      </c>
      <c r="BE19" s="108">
        <f t="shared" ca="1" si="41"/>
        <v>-8.1349104581571012</v>
      </c>
      <c r="BF19" s="55">
        <f t="shared" ca="1" si="42"/>
        <v>0</v>
      </c>
      <c r="BG19" s="54">
        <f t="shared" ca="1" si="43"/>
        <v>2.6689919439448675E-3</v>
      </c>
      <c r="BH19" s="109">
        <f t="shared" ca="1" si="44"/>
        <v>26.656074473804928</v>
      </c>
    </row>
    <row r="20" spans="1:60">
      <c r="A20" s="53">
        <f t="shared" si="45"/>
        <v>6</v>
      </c>
      <c r="B20" s="54">
        <f t="shared" ca="1" si="0"/>
        <v>6.5692265780385179</v>
      </c>
      <c r="C20" s="55">
        <f t="shared" ca="1" si="1"/>
        <v>0</v>
      </c>
      <c r="D20" s="54">
        <f t="shared" ca="1" si="2"/>
        <v>7.4911692173300027E-3</v>
      </c>
      <c r="E20" s="97">
        <f t="shared" ca="1" si="3"/>
        <v>44.188716925104686</v>
      </c>
      <c r="F20" s="56"/>
      <c r="G20" s="56"/>
      <c r="H20" s="57" t="str">
        <f t="shared" ca="1" si="46"/>
        <v/>
      </c>
      <c r="I20" s="55"/>
      <c r="J20" s="116">
        <f t="shared" ca="1" si="4"/>
        <v>34.578750710675052</v>
      </c>
      <c r="L20" s="108">
        <f t="shared" ca="1" si="5"/>
        <v>11.430459987303371</v>
      </c>
      <c r="M20" s="55">
        <f t="shared" ca="1" si="6"/>
        <v>0</v>
      </c>
      <c r="N20" s="54">
        <f t="shared" ca="1" si="7"/>
        <v>7.9553540682116772E-3</v>
      </c>
      <c r="O20" s="109">
        <f t="shared" ca="1" si="8"/>
        <v>47.372082983616622</v>
      </c>
      <c r="Q20" s="108">
        <f t="shared" ca="1" si="9"/>
        <v>-2.0810746206685584</v>
      </c>
      <c r="R20" s="55">
        <f t="shared" ca="1" si="10"/>
        <v>0</v>
      </c>
      <c r="S20" s="54">
        <f t="shared" ca="1" si="11"/>
        <v>-1.0967342196930155E-4</v>
      </c>
      <c r="T20" s="109">
        <f t="shared" ca="1" si="12"/>
        <v>32.89689539338918</v>
      </c>
      <c r="V20" s="108">
        <f t="shared" ca="1" si="13"/>
        <v>6.7703317171650488</v>
      </c>
      <c r="W20" s="55">
        <f t="shared" ca="1" si="14"/>
        <v>0</v>
      </c>
      <c r="X20" s="54">
        <f t="shared" ca="1" si="15"/>
        <v>-2.703398362154932E-3</v>
      </c>
      <c r="Y20" s="109">
        <f t="shared" ca="1" si="16"/>
        <v>47.007095083725098</v>
      </c>
      <c r="AA20" s="108">
        <f t="shared" ca="1" si="17"/>
        <v>-9.4489777339544379</v>
      </c>
      <c r="AB20" s="55">
        <f t="shared" ca="1" si="18"/>
        <v>0</v>
      </c>
      <c r="AC20" s="54">
        <f t="shared" ca="1" si="19"/>
        <v>-4.4281992468469169E-3</v>
      </c>
      <c r="AD20" s="109">
        <f t="shared" ca="1" si="20"/>
        <v>24.956755005464487</v>
      </c>
      <c r="AF20" s="108">
        <f t="shared" ca="1" si="21"/>
        <v>-9.2732878302267174</v>
      </c>
      <c r="AG20" s="55">
        <f t="shared" ca="1" si="22"/>
        <v>0</v>
      </c>
      <c r="AH20" s="54">
        <f t="shared" ca="1" si="23"/>
        <v>-2.9310365615440509E-2</v>
      </c>
      <c r="AI20" s="109">
        <f t="shared" ca="1" si="24"/>
        <v>27.214497378632558</v>
      </c>
      <c r="AK20" s="108">
        <f t="shared" ca="1" si="25"/>
        <v>-11.90852823801268</v>
      </c>
      <c r="AL20" s="55">
        <f t="shared" ca="1" si="26"/>
        <v>0</v>
      </c>
      <c r="AM20" s="54">
        <f t="shared" ca="1" si="27"/>
        <v>9.4707155029865101E-4</v>
      </c>
      <c r="AN20" s="109">
        <f t="shared" ca="1" si="28"/>
        <v>24.484042852134785</v>
      </c>
      <c r="AP20" s="108">
        <f t="shared" ca="1" si="29"/>
        <v>-1.0990181867446607</v>
      </c>
      <c r="AQ20" s="55">
        <f t="shared" ca="1" si="30"/>
        <v>0</v>
      </c>
      <c r="AR20" s="54">
        <f t="shared" ca="1" si="31"/>
        <v>3.4820839573835471E-4</v>
      </c>
      <c r="AS20" s="109">
        <f t="shared" ca="1" si="32"/>
        <v>36.451631485012754</v>
      </c>
      <c r="AU20" s="108">
        <f t="shared" ca="1" si="33"/>
        <v>10.315816378629613</v>
      </c>
      <c r="AV20" s="55">
        <f t="shared" ca="1" si="34"/>
        <v>0</v>
      </c>
      <c r="AW20" s="54">
        <f t="shared" ca="1" si="35"/>
        <v>-1.6333036924503146E-2</v>
      </c>
      <c r="AX20" s="109">
        <f t="shared" ca="1" si="36"/>
        <v>43.812216993310933</v>
      </c>
      <c r="AZ20" s="108">
        <f t="shared" ca="1" si="37"/>
        <v>-10.946636204369119</v>
      </c>
      <c r="BA20" s="55">
        <f t="shared" ca="1" si="38"/>
        <v>0</v>
      </c>
      <c r="BB20" s="54">
        <f t="shared" ca="1" si="39"/>
        <v>-1.7086683990964878E-2</v>
      </c>
      <c r="BC20" s="109">
        <f t="shared" ca="1" si="40"/>
        <v>26.116211920910388</v>
      </c>
      <c r="BE20" s="108">
        <f t="shared" ca="1" si="41"/>
        <v>-8.0961017840894307</v>
      </c>
      <c r="BF20" s="55">
        <f t="shared" ca="1" si="42"/>
        <v>0</v>
      </c>
      <c r="BG20" s="54">
        <f t="shared" ca="1" si="43"/>
        <v>1.3063512874846155E-2</v>
      </c>
      <c r="BH20" s="109">
        <f t="shared" ca="1" si="44"/>
        <v>25.866111796124059</v>
      </c>
    </row>
    <row r="21" spans="1:60">
      <c r="A21" s="53">
        <f t="shared" si="45"/>
        <v>7</v>
      </c>
      <c r="B21" s="54">
        <f t="shared" ca="1" si="0"/>
        <v>12.085572265337674</v>
      </c>
      <c r="C21" s="55">
        <f t="shared" ca="1" si="1"/>
        <v>0</v>
      </c>
      <c r="D21" s="54">
        <f t="shared" ca="1" si="2"/>
        <v>-1.6708496815518888E-2</v>
      </c>
      <c r="E21" s="97">
        <f t="shared" ca="1" si="3"/>
        <v>49.429504449892939</v>
      </c>
      <c r="F21" s="56"/>
      <c r="G21" s="56"/>
      <c r="H21" s="57" t="str">
        <f t="shared" ca="1" si="46"/>
        <v/>
      </c>
      <c r="I21" s="55"/>
      <c r="J21" s="116">
        <f t="shared" ca="1" si="4"/>
        <v>31.506306742475815</v>
      </c>
      <c r="L21" s="108">
        <f t="shared" ca="1" si="5"/>
        <v>-12.565792667894673</v>
      </c>
      <c r="M21" s="55">
        <f t="shared" ca="1" si="6"/>
        <v>0</v>
      </c>
      <c r="N21" s="54">
        <f t="shared" ca="1" si="7"/>
        <v>-1.3120996241489604E-2</v>
      </c>
      <c r="O21" s="109">
        <f t="shared" ca="1" si="8"/>
        <v>25.392151252450134</v>
      </c>
      <c r="Q21" s="108">
        <f t="shared" ca="1" si="9"/>
        <v>-1.2153349312118789</v>
      </c>
      <c r="R21" s="55">
        <f t="shared" ca="1" si="10"/>
        <v>0</v>
      </c>
      <c r="S21" s="54">
        <f t="shared" ca="1" si="11"/>
        <v>-1.3631097091897476E-2</v>
      </c>
      <c r="T21" s="109">
        <f t="shared" ca="1" si="12"/>
        <v>33.950616207030627</v>
      </c>
      <c r="V21" s="108">
        <f t="shared" ca="1" si="13"/>
        <v>-8.426865312991966</v>
      </c>
      <c r="W21" s="55">
        <f t="shared" ca="1" si="14"/>
        <v>0</v>
      </c>
      <c r="X21" s="54">
        <f t="shared" ca="1" si="15"/>
        <v>-5.7050878299416061E-3</v>
      </c>
      <c r="Y21" s="109">
        <f t="shared" ca="1" si="16"/>
        <v>29.460679272235431</v>
      </c>
      <c r="AA21" s="108">
        <f t="shared" ca="1" si="17"/>
        <v>-15.187231462437728</v>
      </c>
      <c r="AB21" s="55">
        <f t="shared" ca="1" si="18"/>
        <v>0</v>
      </c>
      <c r="AC21" s="54">
        <f t="shared" ca="1" si="19"/>
        <v>1.4098168529897226E-2</v>
      </c>
      <c r="AD21" s="109">
        <f t="shared" ca="1" si="20"/>
        <v>18.447215195204372</v>
      </c>
      <c r="AF21" s="108">
        <f t="shared" ca="1" si="21"/>
        <v>-6.7079451062607225</v>
      </c>
      <c r="AG21" s="55">
        <f t="shared" ca="1" si="22"/>
        <v>0</v>
      </c>
      <c r="AH21" s="54">
        <f t="shared" ca="1" si="23"/>
        <v>3.7522119967532978E-4</v>
      </c>
      <c r="AI21" s="109">
        <f t="shared" ca="1" si="24"/>
        <v>27.361977801373982</v>
      </c>
      <c r="AK21" s="108">
        <f t="shared" ca="1" si="25"/>
        <v>5.1193894689846591</v>
      </c>
      <c r="AL21" s="55">
        <f t="shared" ca="1" si="26"/>
        <v>0</v>
      </c>
      <c r="AM21" s="54">
        <f t="shared" ca="1" si="27"/>
        <v>-8.4362111592197371E-3</v>
      </c>
      <c r="AN21" s="109">
        <f t="shared" ca="1" si="28"/>
        <v>38.662658799087346</v>
      </c>
      <c r="AP21" s="108">
        <f t="shared" ca="1" si="29"/>
        <v>-6.2821019383928212</v>
      </c>
      <c r="AQ21" s="55">
        <f t="shared" ca="1" si="30"/>
        <v>0</v>
      </c>
      <c r="AR21" s="54">
        <f t="shared" ca="1" si="31"/>
        <v>-1.9432348634220803E-2</v>
      </c>
      <c r="AS21" s="109">
        <f t="shared" ca="1" si="32"/>
        <v>29.569491264812768</v>
      </c>
      <c r="AU21" s="108">
        <f t="shared" ca="1" si="33"/>
        <v>2.1986134426702524</v>
      </c>
      <c r="AV21" s="55">
        <f t="shared" ca="1" si="34"/>
        <v>0</v>
      </c>
      <c r="AW21" s="54">
        <f t="shared" ca="1" si="35"/>
        <v>-2.3265675132061653E-2</v>
      </c>
      <c r="AX21" s="109">
        <f t="shared" ca="1" si="36"/>
        <v>39.46992583660257</v>
      </c>
      <c r="AZ21" s="108">
        <f t="shared" ca="1" si="37"/>
        <v>-8.8140783896630985</v>
      </c>
      <c r="BA21" s="55">
        <f t="shared" ca="1" si="38"/>
        <v>0</v>
      </c>
      <c r="BB21" s="54">
        <f t="shared" ca="1" si="39"/>
        <v>-4.3904145988194468E-3</v>
      </c>
      <c r="BC21" s="109">
        <f t="shared" ca="1" si="40"/>
        <v>25.044005807658905</v>
      </c>
      <c r="BE21" s="108">
        <f t="shared" ca="1" si="41"/>
        <v>-4.0286962830054991</v>
      </c>
      <c r="BF21" s="55">
        <f t="shared" ca="1" si="42"/>
        <v>0</v>
      </c>
      <c r="BG21" s="54">
        <f t="shared" ca="1" si="43"/>
        <v>-1.8395111292385264E-2</v>
      </c>
      <c r="BH21" s="109">
        <f t="shared" ca="1" si="44"/>
        <v>29.781148280884899</v>
      </c>
    </row>
    <row r="22" spans="1:60">
      <c r="A22" s="53">
        <f t="shared" si="45"/>
        <v>8</v>
      </c>
      <c r="B22" s="54">
        <f t="shared" ca="1" si="0"/>
        <v>-0.96125975267796782</v>
      </c>
      <c r="C22" s="55">
        <f t="shared" ca="1" si="1"/>
        <v>0</v>
      </c>
      <c r="D22" s="54">
        <f t="shared" ca="1" si="2"/>
        <v>-1.4982974123828994E-2</v>
      </c>
      <c r="E22" s="97">
        <f t="shared" ca="1" si="3"/>
        <v>37.393522263738483</v>
      </c>
      <c r="F22" s="56"/>
      <c r="G22" s="56"/>
      <c r="H22" s="57" t="str">
        <f t="shared" ca="1" si="46"/>
        <v/>
      </c>
      <c r="I22" s="55"/>
      <c r="J22" s="116">
        <f t="shared" ca="1" si="4"/>
        <v>34.024530471407608</v>
      </c>
      <c r="L22" s="108">
        <f t="shared" ca="1" si="5"/>
        <v>-7.3891295316273631</v>
      </c>
      <c r="M22" s="55">
        <f t="shared" ca="1" si="6"/>
        <v>0</v>
      </c>
      <c r="N22" s="54">
        <f t="shared" ca="1" si="7"/>
        <v>1.4877102819524158E-3</v>
      </c>
      <c r="O22" s="109">
        <f t="shared" ca="1" si="8"/>
        <v>26.329296913589928</v>
      </c>
      <c r="Q22" s="108">
        <f t="shared" ca="1" si="9"/>
        <v>14.486629395277825</v>
      </c>
      <c r="R22" s="55">
        <f t="shared" ca="1" si="10"/>
        <v>0</v>
      </c>
      <c r="S22" s="54">
        <f t="shared" ca="1" si="11"/>
        <v>-1.7154117376221648E-2</v>
      </c>
      <c r="T22" s="109">
        <f t="shared" ca="1" si="12"/>
        <v>49.855823558019992</v>
      </c>
      <c r="V22" s="108">
        <f t="shared" ca="1" si="13"/>
        <v>-5.6107521896802304</v>
      </c>
      <c r="W22" s="55">
        <f t="shared" ca="1" si="14"/>
        <v>0</v>
      </c>
      <c r="X22" s="54">
        <f t="shared" ca="1" si="15"/>
        <v>4.9245386019375042E-3</v>
      </c>
      <c r="Y22" s="109">
        <f t="shared" ca="1" si="16"/>
        <v>28.892417167794065</v>
      </c>
      <c r="AA22" s="108">
        <f t="shared" ca="1" si="17"/>
        <v>5.8408814765509076</v>
      </c>
      <c r="AB22" s="55">
        <f t="shared" ca="1" si="18"/>
        <v>0</v>
      </c>
      <c r="AC22" s="54">
        <f t="shared" ca="1" si="19"/>
        <v>-6.5958278757456224E-4</v>
      </c>
      <c r="AD22" s="109">
        <f t="shared" ca="1" si="20"/>
        <v>38.21975973124367</v>
      </c>
      <c r="AF22" s="108">
        <f t="shared" ca="1" si="21"/>
        <v>-7.5784233281483593E-2</v>
      </c>
      <c r="AG22" s="55">
        <f t="shared" ca="1" si="22"/>
        <v>0</v>
      </c>
      <c r="AH22" s="54">
        <f t="shared" ca="1" si="23"/>
        <v>-4.2803938741235129E-4</v>
      </c>
      <c r="AI22" s="109">
        <f t="shared" ca="1" si="24"/>
        <v>34.022584887794586</v>
      </c>
      <c r="AK22" s="108">
        <f t="shared" ca="1" si="25"/>
        <v>-0.6323005712622739</v>
      </c>
      <c r="AL22" s="55">
        <f t="shared" ca="1" si="26"/>
        <v>0</v>
      </c>
      <c r="AM22" s="54">
        <f t="shared" ca="1" si="27"/>
        <v>-1.0094244097267014E-3</v>
      </c>
      <c r="AN22" s="109">
        <f t="shared" ca="1" si="28"/>
        <v>35.645758421312081</v>
      </c>
      <c r="AP22" s="108">
        <f t="shared" ca="1" si="29"/>
        <v>-12.761144433829807</v>
      </c>
      <c r="AQ22" s="55">
        <f t="shared" ca="1" si="30"/>
        <v>0</v>
      </c>
      <c r="AR22" s="54">
        <f t="shared" ca="1" si="31"/>
        <v>-1.7546893517004444E-2</v>
      </c>
      <c r="AS22" s="109">
        <f t="shared" ca="1" si="32"/>
        <v>21.763012720589323</v>
      </c>
      <c r="AU22" s="108">
        <f t="shared" ca="1" si="33"/>
        <v>8.8669070533180232</v>
      </c>
      <c r="AV22" s="55">
        <f t="shared" ca="1" si="34"/>
        <v>0</v>
      </c>
      <c r="AW22" s="54">
        <f t="shared" ca="1" si="35"/>
        <v>-1.4972434199032509E-2</v>
      </c>
      <c r="AX22" s="109">
        <f t="shared" ca="1" si="36"/>
        <v>45.300672749375323</v>
      </c>
      <c r="AZ22" s="108">
        <f t="shared" ca="1" si="37"/>
        <v>18.083076749586589</v>
      </c>
      <c r="BA22" s="55">
        <f t="shared" ca="1" si="38"/>
        <v>0</v>
      </c>
      <c r="BB22" s="54">
        <f t="shared" ca="1" si="39"/>
        <v>-1.5097991090423873E-2</v>
      </c>
      <c r="BC22" s="109">
        <f t="shared" ca="1" si="40"/>
        <v>51.734352454067704</v>
      </c>
      <c r="BE22" s="108">
        <f t="shared" ca="1" si="41"/>
        <v>-29.452347513686465</v>
      </c>
      <c r="BF22" s="55">
        <f t="shared" ca="1" si="42"/>
        <v>0</v>
      </c>
      <c r="BG22" s="54">
        <f t="shared" ca="1" si="43"/>
        <v>-1.0089099071754846E-2</v>
      </c>
      <c r="BH22" s="109">
        <f t="shared" ca="1" si="44"/>
        <v>5.1126343179585154</v>
      </c>
    </row>
    <row r="23" spans="1:60">
      <c r="A23" s="53">
        <f t="shared" si="45"/>
        <v>9</v>
      </c>
      <c r="B23" s="54">
        <f t="shared" ca="1" si="0"/>
        <v>15.434485769946408</v>
      </c>
      <c r="C23" s="55">
        <f t="shared" ca="1" si="1"/>
        <v>0</v>
      </c>
      <c r="D23" s="54">
        <f t="shared" ca="1" si="2"/>
        <v>7.487246513866579E-3</v>
      </c>
      <c r="E23" s="97">
        <f t="shared" ca="1" si="3"/>
        <v>51.467752076822606</v>
      </c>
      <c r="F23" s="56"/>
      <c r="G23" s="56"/>
      <c r="H23" s="57" t="str">
        <f t="shared" ca="1" si="46"/>
        <v/>
      </c>
      <c r="I23" s="55"/>
      <c r="J23" s="116">
        <f t="shared" ca="1" si="4"/>
        <v>39.47827325527723</v>
      </c>
      <c r="L23" s="108">
        <f t="shared" ca="1" si="5"/>
        <v>-1.5765765975694876</v>
      </c>
      <c r="M23" s="55">
        <f t="shared" ca="1" si="6"/>
        <v>0</v>
      </c>
      <c r="N23" s="54">
        <f t="shared" ca="1" si="7"/>
        <v>-5.9989665254792926E-3</v>
      </c>
      <c r="O23" s="109">
        <f t="shared" ca="1" si="8"/>
        <v>32.322607706941263</v>
      </c>
      <c r="Q23" s="108">
        <f t="shared" ca="1" si="9"/>
        <v>19.378245413164326</v>
      </c>
      <c r="R23" s="55">
        <f t="shared" ca="1" si="10"/>
        <v>0</v>
      </c>
      <c r="S23" s="54">
        <f t="shared" ca="1" si="11"/>
        <v>-4.7655442883139457E-3</v>
      </c>
      <c r="T23" s="109">
        <f t="shared" ca="1" si="12"/>
        <v>57.815256406949374</v>
      </c>
      <c r="V23" s="108">
        <f t="shared" ca="1" si="13"/>
        <v>-14.711232192509739</v>
      </c>
      <c r="W23" s="55">
        <f t="shared" ca="1" si="14"/>
        <v>0</v>
      </c>
      <c r="X23" s="54">
        <f t="shared" ca="1" si="15"/>
        <v>2.1486209183362694E-3</v>
      </c>
      <c r="Y23" s="109">
        <f t="shared" ca="1" si="16"/>
        <v>19.682330040079091</v>
      </c>
      <c r="AA23" s="108">
        <f t="shared" ca="1" si="17"/>
        <v>14.647137661368147</v>
      </c>
      <c r="AB23" s="55">
        <f t="shared" ca="1" si="18"/>
        <v>0</v>
      </c>
      <c r="AC23" s="54">
        <f t="shared" ca="1" si="19"/>
        <v>-8.8133457693130937E-4</v>
      </c>
      <c r="AD23" s="109">
        <f t="shared" ca="1" si="20"/>
        <v>50.839769712639566</v>
      </c>
      <c r="AF23" s="108">
        <f t="shared" ca="1" si="21"/>
        <v>-9.116285345626185</v>
      </c>
      <c r="AG23" s="55">
        <f t="shared" ca="1" si="22"/>
        <v>0</v>
      </c>
      <c r="AH23" s="54">
        <f t="shared" ca="1" si="23"/>
        <v>-1.8518630975312722E-3</v>
      </c>
      <c r="AI23" s="109">
        <f t="shared" ca="1" si="24"/>
        <v>26.266790228736934</v>
      </c>
      <c r="AK23" s="108">
        <f t="shared" ca="1" si="25"/>
        <v>0.49833972187019854</v>
      </c>
      <c r="AL23" s="55">
        <f t="shared" ca="1" si="26"/>
        <v>0</v>
      </c>
      <c r="AM23" s="54">
        <f t="shared" ca="1" si="27"/>
        <v>4.5680012942204539E-3</v>
      </c>
      <c r="AN23" s="109">
        <f t="shared" ca="1" si="28"/>
        <v>36.194495093053355</v>
      </c>
      <c r="AP23" s="108">
        <f t="shared" ca="1" si="29"/>
        <v>1.8799286340848131</v>
      </c>
      <c r="AQ23" s="55">
        <f t="shared" ca="1" si="30"/>
        <v>0</v>
      </c>
      <c r="AR23" s="54">
        <f t="shared" ca="1" si="31"/>
        <v>-1.2270525718784816E-2</v>
      </c>
      <c r="AS23" s="109">
        <f t="shared" ca="1" si="32"/>
        <v>34.898362176063635</v>
      </c>
      <c r="AU23" s="108">
        <f t="shared" ca="1" si="33"/>
        <v>3.4424041230848634</v>
      </c>
      <c r="AV23" s="55">
        <f t="shared" ca="1" si="34"/>
        <v>0</v>
      </c>
      <c r="AW23" s="54">
        <f t="shared" ca="1" si="35"/>
        <v>9.5566832427169176E-3</v>
      </c>
      <c r="AX23" s="109">
        <f t="shared" ca="1" si="36"/>
        <v>41.000811775818249</v>
      </c>
      <c r="AZ23" s="108">
        <f t="shared" ca="1" si="37"/>
        <v>9.7754068582045353</v>
      </c>
      <c r="BA23" s="55">
        <f t="shared" ca="1" si="38"/>
        <v>0</v>
      </c>
      <c r="BB23" s="54">
        <f t="shared" ca="1" si="39"/>
        <v>3.507448410130295E-3</v>
      </c>
      <c r="BC23" s="109">
        <f t="shared" ca="1" si="40"/>
        <v>48.574750919249915</v>
      </c>
      <c r="BE23" s="108">
        <f t="shared" ca="1" si="41"/>
        <v>5.3911925106977359</v>
      </c>
      <c r="BF23" s="55">
        <f t="shared" ca="1" si="42"/>
        <v>0</v>
      </c>
      <c r="BG23" s="54">
        <f t="shared" ca="1" si="43"/>
        <v>2.9196945783007645E-3</v>
      </c>
      <c r="BH23" s="109">
        <f t="shared" ca="1" si="44"/>
        <v>35.198079671695474</v>
      </c>
    </row>
    <row r="24" spans="1:60">
      <c r="A24" s="53">
        <f t="shared" si="45"/>
        <v>10</v>
      </c>
      <c r="B24" s="54">
        <f t="shared" ca="1" si="0"/>
        <v>-10.865173620575881</v>
      </c>
      <c r="C24" s="55">
        <f t="shared" ca="1" si="1"/>
        <v>0</v>
      </c>
      <c r="D24" s="54">
        <f t="shared" ca="1" si="2"/>
        <v>-2.2660027370495054E-2</v>
      </c>
      <c r="E24" s="97">
        <f t="shared" ca="1" si="3"/>
        <v>27.88274821714187</v>
      </c>
      <c r="F24" s="56"/>
      <c r="G24" s="56"/>
      <c r="H24" s="57" t="str">
        <f t="shared" ca="1" si="46"/>
        <v/>
      </c>
      <c r="I24" s="55"/>
      <c r="J24" s="116">
        <f t="shared" ca="1" si="4"/>
        <v>37.338639787346231</v>
      </c>
      <c r="L24" s="108">
        <f t="shared" ca="1" si="5"/>
        <v>-8.9254027173859978</v>
      </c>
      <c r="M24" s="55">
        <f t="shared" ca="1" si="6"/>
        <v>1</v>
      </c>
      <c r="N24" s="54">
        <f t="shared" ca="1" si="7"/>
        <v>-3.6427991164608431E-3</v>
      </c>
      <c r="O24" s="109">
        <f t="shared" ca="1" si="8"/>
        <v>26.126136274854666</v>
      </c>
      <c r="Q24" s="108">
        <f t="shared" ca="1" si="9"/>
        <v>-8.7485428968709193</v>
      </c>
      <c r="R24" s="55">
        <f t="shared" ca="1" si="10"/>
        <v>0</v>
      </c>
      <c r="S24" s="54">
        <f t="shared" ca="1" si="11"/>
        <v>4.068056361239988E-3</v>
      </c>
      <c r="T24" s="109">
        <f t="shared" ca="1" si="12"/>
        <v>31.22369373218271</v>
      </c>
      <c r="V24" s="108">
        <f t="shared" ca="1" si="13"/>
        <v>2.7726643679440799</v>
      </c>
      <c r="W24" s="55">
        <f t="shared" ca="1" si="14"/>
        <v>0</v>
      </c>
      <c r="X24" s="54">
        <f t="shared" ca="1" si="15"/>
        <v>1.5974017371812534E-3</v>
      </c>
      <c r="Y24" s="109">
        <f t="shared" ca="1" si="16"/>
        <v>35.38977316096063</v>
      </c>
      <c r="AA24" s="108">
        <f t="shared" ca="1" si="17"/>
        <v>-5.8411777039633224</v>
      </c>
      <c r="AB24" s="55">
        <f t="shared" ca="1" si="18"/>
        <v>0</v>
      </c>
      <c r="AC24" s="54">
        <f t="shared" ca="1" si="19"/>
        <v>-3.5334578214386392E-3</v>
      </c>
      <c r="AD24" s="109">
        <f t="shared" ca="1" si="20"/>
        <v>32.785618088433239</v>
      </c>
      <c r="AF24" s="108">
        <f t="shared" ca="1" si="21"/>
        <v>7.5479673414277508</v>
      </c>
      <c r="AG24" s="55">
        <f t="shared" ca="1" si="22"/>
        <v>0</v>
      </c>
      <c r="AH24" s="54">
        <f t="shared" ca="1" si="23"/>
        <v>4.4858761006300665E-3</v>
      </c>
      <c r="AI24" s="109">
        <f t="shared" ca="1" si="24"/>
        <v>41.435095276246926</v>
      </c>
      <c r="AK24" s="108">
        <f t="shared" ca="1" si="25"/>
        <v>12.635094400764016</v>
      </c>
      <c r="AL24" s="55">
        <f t="shared" ca="1" si="26"/>
        <v>0</v>
      </c>
      <c r="AM24" s="54">
        <f t="shared" ca="1" si="27"/>
        <v>3.9472710326043407E-3</v>
      </c>
      <c r="AN24" s="109">
        <f t="shared" ca="1" si="28"/>
        <v>48.437090806284502</v>
      </c>
      <c r="AP24" s="108">
        <f t="shared" ca="1" si="29"/>
        <v>-2.8465270195421614E-2</v>
      </c>
      <c r="AQ24" s="55">
        <f t="shared" ca="1" si="30"/>
        <v>0</v>
      </c>
      <c r="AR24" s="54">
        <f t="shared" ca="1" si="31"/>
        <v>1.1931224189949616E-2</v>
      </c>
      <c r="AS24" s="109">
        <f t="shared" ca="1" si="32"/>
        <v>35.523531352847378</v>
      </c>
      <c r="AU24" s="108">
        <f t="shared" ca="1" si="33"/>
        <v>11.476370123934625</v>
      </c>
      <c r="AV24" s="55">
        <f t="shared" ca="1" si="34"/>
        <v>0</v>
      </c>
      <c r="AW24" s="54">
        <f t="shared" ca="1" si="35"/>
        <v>-7.8071925230825184E-3</v>
      </c>
      <c r="AX24" s="109">
        <f t="shared" ca="1" si="36"/>
        <v>48.205415067039318</v>
      </c>
      <c r="AZ24" s="108">
        <f t="shared" ca="1" si="37"/>
        <v>8.5866382609300498</v>
      </c>
      <c r="BA24" s="55">
        <f t="shared" ca="1" si="38"/>
        <v>0</v>
      </c>
      <c r="BB24" s="54">
        <f t="shared" ca="1" si="39"/>
        <v>5.1788341750094056E-3</v>
      </c>
      <c r="BC24" s="109">
        <f t="shared" ca="1" si="40"/>
        <v>46.776554318051929</v>
      </c>
      <c r="BE24" s="108">
        <f t="shared" ca="1" si="41"/>
        <v>1.3295748480470859</v>
      </c>
      <c r="BF24" s="55">
        <f t="shared" ca="1" si="42"/>
        <v>0</v>
      </c>
      <c r="BG24" s="54">
        <f t="shared" ca="1" si="43"/>
        <v>-7.61375285147089E-4</v>
      </c>
      <c r="BH24" s="109">
        <f t="shared" ca="1" si="44"/>
        <v>36.939381366765353</v>
      </c>
    </row>
    <row r="25" spans="1:60">
      <c r="A25" s="53">
        <f t="shared" si="45"/>
        <v>11</v>
      </c>
      <c r="B25" s="54">
        <f t="shared" ca="1" si="0"/>
        <v>-5.1073902005092169</v>
      </c>
      <c r="C25" s="55">
        <f t="shared" ca="1" si="1"/>
        <v>0</v>
      </c>
      <c r="D25" s="54">
        <f t="shared" ca="1" si="2"/>
        <v>4.656939393105344E-3</v>
      </c>
      <c r="E25" s="97">
        <f t="shared" ca="1" si="3"/>
        <v>29.091425787517167</v>
      </c>
      <c r="F25" s="56"/>
      <c r="G25" s="56"/>
      <c r="H25" s="57" t="str">
        <f t="shared" ca="1" si="46"/>
        <v/>
      </c>
      <c r="I25" s="55"/>
      <c r="J25" s="116">
        <f t="shared" ca="1" si="4"/>
        <v>32.550914527045279</v>
      </c>
      <c r="L25" s="108">
        <f t="shared" ca="1" si="5"/>
        <v>0.35059638012644173</v>
      </c>
      <c r="M25" s="55">
        <f t="shared" ca="1" si="6"/>
        <v>0</v>
      </c>
      <c r="N25" s="54">
        <f t="shared" ca="1" si="7"/>
        <v>1.3815832158378034E-3</v>
      </c>
      <c r="O25" s="109">
        <f t="shared" ca="1" si="8"/>
        <v>34.21059479958938</v>
      </c>
      <c r="Q25" s="108">
        <f t="shared" ca="1" si="9"/>
        <v>2.6525799833574788</v>
      </c>
      <c r="R25" s="55">
        <f t="shared" ca="1" si="10"/>
        <v>0</v>
      </c>
      <c r="S25" s="54">
        <f t="shared" ca="1" si="11"/>
        <v>-4.8233726218346795E-3</v>
      </c>
      <c r="T25" s="109">
        <f t="shared" ca="1" si="12"/>
        <v>37.49580183522832</v>
      </c>
      <c r="V25" s="108">
        <f t="shared" ca="1" si="13"/>
        <v>4.587062287457897</v>
      </c>
      <c r="W25" s="55">
        <f t="shared" ca="1" si="14"/>
        <v>0</v>
      </c>
      <c r="X25" s="54">
        <f t="shared" ca="1" si="15"/>
        <v>-4.1126009740035984E-3</v>
      </c>
      <c r="Y25" s="109">
        <f t="shared" ca="1" si="16"/>
        <v>40.23384289269962</v>
      </c>
      <c r="AA25" s="108">
        <f t="shared" ca="1" si="17"/>
        <v>-15.190822628995024</v>
      </c>
      <c r="AB25" s="55">
        <f t="shared" ca="1" si="18"/>
        <v>0</v>
      </c>
      <c r="AC25" s="54">
        <f t="shared" ca="1" si="19"/>
        <v>1.5661609899768863E-3</v>
      </c>
      <c r="AD25" s="109">
        <f t="shared" ca="1" si="20"/>
        <v>19.953665199683289</v>
      </c>
      <c r="AF25" s="108">
        <f t="shared" ca="1" si="21"/>
        <v>-11.779185735672497</v>
      </c>
      <c r="AG25" s="55">
        <f t="shared" ca="1" si="22"/>
        <v>0</v>
      </c>
      <c r="AH25" s="54">
        <f t="shared" ca="1" si="23"/>
        <v>8.3877003520910973E-3</v>
      </c>
      <c r="AI25" s="109">
        <f t="shared" ca="1" si="24"/>
        <v>25.033624367021666</v>
      </c>
      <c r="AK25" s="108">
        <f t="shared" ca="1" si="25"/>
        <v>-0.51171134805792629</v>
      </c>
      <c r="AL25" s="55">
        <f t="shared" ca="1" si="26"/>
        <v>0</v>
      </c>
      <c r="AM25" s="54">
        <f t="shared" ca="1" si="27"/>
        <v>-3.7217381638736781E-3</v>
      </c>
      <c r="AN25" s="109">
        <f t="shared" ca="1" si="28"/>
        <v>37.651652649590659</v>
      </c>
      <c r="AP25" s="108">
        <f t="shared" ca="1" si="29"/>
        <v>-6.5009324344263817</v>
      </c>
      <c r="AQ25" s="55">
        <f t="shared" ca="1" si="30"/>
        <v>0</v>
      </c>
      <c r="AR25" s="54">
        <f t="shared" ca="1" si="31"/>
        <v>-6.7428061892955255E-4</v>
      </c>
      <c r="AS25" s="109">
        <f t="shared" ca="1" si="32"/>
        <v>29.171647622737261</v>
      </c>
      <c r="AU25" s="108">
        <f t="shared" ca="1" si="33"/>
        <v>-1.5574245909633075</v>
      </c>
      <c r="AV25" s="55">
        <f t="shared" ca="1" si="34"/>
        <v>0</v>
      </c>
      <c r="AW25" s="54">
        <f t="shared" ca="1" si="35"/>
        <v>5.3843711919316231E-3</v>
      </c>
      <c r="AX25" s="109">
        <f t="shared" ca="1" si="36"/>
        <v>36.561253492411012</v>
      </c>
      <c r="AZ25" s="108">
        <f t="shared" ca="1" si="37"/>
        <v>-5.5648837037155543</v>
      </c>
      <c r="BA25" s="55">
        <f t="shared" ca="1" si="38"/>
        <v>0</v>
      </c>
      <c r="BB25" s="54">
        <f t="shared" ca="1" si="39"/>
        <v>-1.0694293432568837E-2</v>
      </c>
      <c r="BC25" s="109">
        <f t="shared" ca="1" si="40"/>
        <v>32.278193882398512</v>
      </c>
      <c r="BE25" s="108">
        <f t="shared" ca="1" si="41"/>
        <v>0.43268624149545637</v>
      </c>
      <c r="BF25" s="55">
        <f t="shared" ca="1" si="42"/>
        <v>0</v>
      </c>
      <c r="BG25" s="54">
        <f t="shared" ca="1" si="43"/>
        <v>-4.867035424020727E-3</v>
      </c>
      <c r="BH25" s="109">
        <f t="shared" ca="1" si="44"/>
        <v>36.378357268621194</v>
      </c>
    </row>
    <row r="26" spans="1:60">
      <c r="A26" s="53">
        <f t="shared" si="45"/>
        <v>12</v>
      </c>
      <c r="B26" s="54">
        <f t="shared" ca="1" si="0"/>
        <v>-0.44282758128615096</v>
      </c>
      <c r="C26" s="55">
        <f t="shared" ca="1" si="1"/>
        <v>0</v>
      </c>
      <c r="D26" s="54">
        <f t="shared" ca="1" si="2"/>
        <v>-1.5196086168647085E-2</v>
      </c>
      <c r="E26" s="97">
        <f t="shared" ca="1" si="3"/>
        <v>33.989119689588343</v>
      </c>
      <c r="F26" s="56"/>
      <c r="G26" s="56"/>
      <c r="H26" s="57" t="str">
        <f t="shared" ca="1" si="46"/>
        <v/>
      </c>
      <c r="I26" s="55"/>
      <c r="J26" s="116">
        <f t="shared" ca="1" si="4"/>
        <v>33.511373503224597</v>
      </c>
      <c r="L26" s="108">
        <f t="shared" ca="1" si="5"/>
        <v>1.5241815362914226</v>
      </c>
      <c r="M26" s="55">
        <f t="shared" ca="1" si="6"/>
        <v>0</v>
      </c>
      <c r="N26" s="54">
        <f t="shared" ca="1" si="7"/>
        <v>2.7516898530462113E-2</v>
      </c>
      <c r="O26" s="109">
        <f t="shared" ca="1" si="8"/>
        <v>36.943520704022347</v>
      </c>
      <c r="Q26" s="108">
        <f t="shared" ca="1" si="9"/>
        <v>11.612343561220138</v>
      </c>
      <c r="R26" s="55">
        <f t="shared" ca="1" si="10"/>
        <v>0</v>
      </c>
      <c r="S26" s="54">
        <f t="shared" ca="1" si="11"/>
        <v>-2.4574396845495113E-3</v>
      </c>
      <c r="T26" s="109">
        <f t="shared" ca="1" si="12"/>
        <v>47.665337683268071</v>
      </c>
      <c r="V26" s="108">
        <f t="shared" ca="1" si="13"/>
        <v>-5.9848639031120108</v>
      </c>
      <c r="W26" s="55">
        <f t="shared" ca="1" si="14"/>
        <v>0</v>
      </c>
      <c r="X26" s="54">
        <f t="shared" ca="1" si="15"/>
        <v>-9.542557067937818E-4</v>
      </c>
      <c r="Y26" s="109">
        <f t="shared" ca="1" si="16"/>
        <v>30.596247096310321</v>
      </c>
      <c r="AA26" s="108">
        <f t="shared" ca="1" si="17"/>
        <v>17.077346271000554</v>
      </c>
      <c r="AB26" s="55">
        <f t="shared" ca="1" si="18"/>
        <v>0</v>
      </c>
      <c r="AC26" s="54">
        <f t="shared" ca="1" si="19"/>
        <v>-1.0298131327982616E-3</v>
      </c>
      <c r="AD26" s="109">
        <f t="shared" ca="1" si="20"/>
        <v>49.746790538250053</v>
      </c>
      <c r="AF26" s="108">
        <f t="shared" ca="1" si="21"/>
        <v>7.807650677218402</v>
      </c>
      <c r="AG26" s="55">
        <f t="shared" ca="1" si="22"/>
        <v>0</v>
      </c>
      <c r="AH26" s="54">
        <f t="shared" ca="1" si="23"/>
        <v>-1.208118629826036E-2</v>
      </c>
      <c r="AI26" s="109">
        <f t="shared" ca="1" si="24"/>
        <v>41.456923996089913</v>
      </c>
      <c r="AK26" s="108">
        <f t="shared" ca="1" si="25"/>
        <v>-18.028767656655702</v>
      </c>
      <c r="AL26" s="55">
        <f t="shared" ca="1" si="26"/>
        <v>0</v>
      </c>
      <c r="AM26" s="54">
        <f t="shared" ca="1" si="27"/>
        <v>-1.3229459223615488E-3</v>
      </c>
      <c r="AN26" s="109">
        <f t="shared" ca="1" si="28"/>
        <v>18.054287170724862</v>
      </c>
      <c r="AP26" s="108">
        <f t="shared" ca="1" si="29"/>
        <v>-3.2913321901960702</v>
      </c>
      <c r="AQ26" s="55">
        <f t="shared" ca="1" si="30"/>
        <v>0</v>
      </c>
      <c r="AR26" s="54">
        <f t="shared" ca="1" si="31"/>
        <v>1.1340069308609034E-2</v>
      </c>
      <c r="AS26" s="109">
        <f t="shared" ca="1" si="32"/>
        <v>31.156088371335656</v>
      </c>
      <c r="AU26" s="108">
        <f t="shared" ca="1" si="33"/>
        <v>4.1248546963101127</v>
      </c>
      <c r="AV26" s="55">
        <f t="shared" ca="1" si="34"/>
        <v>0</v>
      </c>
      <c r="AW26" s="54">
        <f t="shared" ca="1" si="35"/>
        <v>-2.4014120563599278E-2</v>
      </c>
      <c r="AX26" s="109">
        <f t="shared" ca="1" si="36"/>
        <v>39.99759193316001</v>
      </c>
      <c r="AZ26" s="108">
        <f t="shared" ca="1" si="37"/>
        <v>-4.6572497214628239</v>
      </c>
      <c r="BA26" s="55">
        <f t="shared" ca="1" si="38"/>
        <v>0</v>
      </c>
      <c r="BB26" s="54">
        <f t="shared" ca="1" si="39"/>
        <v>-1.4030944019267255E-3</v>
      </c>
      <c r="BC26" s="109">
        <f t="shared" ca="1" si="40"/>
        <v>30.389365474347542</v>
      </c>
      <c r="BE26" s="108">
        <f t="shared" ca="1" si="41"/>
        <v>-27.207624099821736</v>
      </c>
      <c r="BF26" s="55">
        <f t="shared" ca="1" si="42"/>
        <v>0</v>
      </c>
      <c r="BG26" s="54">
        <f t="shared" ca="1" si="43"/>
        <v>7.6843736485803253E-3</v>
      </c>
      <c r="BH26" s="109">
        <f t="shared" ca="1" si="44"/>
        <v>8.6298358783735214</v>
      </c>
    </row>
    <row r="27" spans="1:60">
      <c r="A27" s="53">
        <f t="shared" si="45"/>
        <v>13</v>
      </c>
      <c r="B27" s="54">
        <f t="shared" ca="1" si="0"/>
        <v>7.7556214757078958</v>
      </c>
      <c r="C27" s="55">
        <f t="shared" ca="1" si="1"/>
        <v>0</v>
      </c>
      <c r="D27" s="54">
        <f t="shared" ca="1" si="2"/>
        <v>4.2286842600469518E-3</v>
      </c>
      <c r="E27" s="97">
        <f t="shared" ca="1" si="3"/>
        <v>43.132242239640334</v>
      </c>
      <c r="F27" s="56"/>
      <c r="G27" s="56"/>
      <c r="H27" s="57" t="str">
        <f t="shared" ca="1" si="46"/>
        <v/>
      </c>
      <c r="I27" s="55"/>
      <c r="J27" s="116">
        <f t="shared" ca="1" si="4"/>
        <v>41.257193868880286</v>
      </c>
      <c r="L27" s="108">
        <f t="shared" ca="1" si="5"/>
        <v>-7.07177710510837</v>
      </c>
      <c r="M27" s="55">
        <f t="shared" ca="1" si="6"/>
        <v>0</v>
      </c>
      <c r="N27" s="54">
        <f t="shared" ca="1" si="7"/>
        <v>2.0636432498515322E-3</v>
      </c>
      <c r="O27" s="109">
        <f t="shared" ca="1" si="8"/>
        <v>28.874692322706281</v>
      </c>
      <c r="Q27" s="108">
        <f t="shared" ca="1" si="9"/>
        <v>-3.2012623670771334</v>
      </c>
      <c r="R27" s="55">
        <f t="shared" ca="1" si="10"/>
        <v>0</v>
      </c>
      <c r="S27" s="54">
        <f t="shared" ca="1" si="11"/>
        <v>-5.9102940463525867E-3</v>
      </c>
      <c r="T27" s="109">
        <f t="shared" ca="1" si="12"/>
        <v>34.81324489655016</v>
      </c>
      <c r="V27" s="108">
        <f t="shared" ca="1" si="13"/>
        <v>19.890784410509742</v>
      </c>
      <c r="W27" s="55">
        <f t="shared" ca="1" si="14"/>
        <v>0</v>
      </c>
      <c r="X27" s="54">
        <f t="shared" ca="1" si="15"/>
        <v>5.6632422069482118E-3</v>
      </c>
      <c r="Y27" s="109">
        <f t="shared" ca="1" si="16"/>
        <v>54.612983549024328</v>
      </c>
      <c r="AA27" s="108">
        <f t="shared" ca="1" si="17"/>
        <v>-3.2219049282784762</v>
      </c>
      <c r="AB27" s="55">
        <f t="shared" ca="1" si="18"/>
        <v>0</v>
      </c>
      <c r="AC27" s="54">
        <f t="shared" ca="1" si="19"/>
        <v>-1.1994098290931019E-2</v>
      </c>
      <c r="AD27" s="109">
        <f t="shared" ca="1" si="20"/>
        <v>35.194075636552824</v>
      </c>
      <c r="AF27" s="108">
        <f t="shared" ca="1" si="21"/>
        <v>-2.6708552686241811</v>
      </c>
      <c r="AG27" s="55">
        <f t="shared" ca="1" si="22"/>
        <v>1</v>
      </c>
      <c r="AH27" s="54">
        <f t="shared" ca="1" si="23"/>
        <v>-9.5430318117041852E-3</v>
      </c>
      <c r="AI27" s="109">
        <f t="shared" ca="1" si="24"/>
        <v>34.136622153790121</v>
      </c>
      <c r="AK27" s="108">
        <f t="shared" ca="1" si="25"/>
        <v>2.0584713296235928</v>
      </c>
      <c r="AL27" s="55">
        <f t="shared" ca="1" si="26"/>
        <v>0</v>
      </c>
      <c r="AM27" s="54">
        <f t="shared" ca="1" si="27"/>
        <v>1.5404360249454625E-4</v>
      </c>
      <c r="AN27" s="109">
        <f t="shared" ca="1" si="28"/>
        <v>34.36156112206713</v>
      </c>
      <c r="AP27" s="108">
        <f t="shared" ca="1" si="29"/>
        <v>16.07086933037986</v>
      </c>
      <c r="AQ27" s="55">
        <f t="shared" ca="1" si="30"/>
        <v>0</v>
      </c>
      <c r="AR27" s="54">
        <f t="shared" ca="1" si="31"/>
        <v>4.2280549419317463E-3</v>
      </c>
      <c r="AS27" s="109">
        <f t="shared" ca="1" si="32"/>
        <v>50.901051373381918</v>
      </c>
      <c r="AU27" s="108">
        <f t="shared" ca="1" si="33"/>
        <v>-0.63477859371007683</v>
      </c>
      <c r="AV27" s="55">
        <f t="shared" ca="1" si="34"/>
        <v>0</v>
      </c>
      <c r="AW27" s="54">
        <f t="shared" ca="1" si="35"/>
        <v>-4.4216124328880172E-3</v>
      </c>
      <c r="AX27" s="109">
        <f t="shared" ca="1" si="36"/>
        <v>35.900764017068738</v>
      </c>
      <c r="AZ27" s="108">
        <f t="shared" ca="1" si="37"/>
        <v>28.115052051830983</v>
      </c>
      <c r="BA27" s="55">
        <f t="shared" ca="1" si="38"/>
        <v>0</v>
      </c>
      <c r="BB27" s="54">
        <f t="shared" ca="1" si="39"/>
        <v>1.65614604898488E-3</v>
      </c>
      <c r="BC27" s="109">
        <f t="shared" ca="1" si="40"/>
        <v>62.79734759727161</v>
      </c>
      <c r="BE27" s="108">
        <f t="shared" ca="1" si="41"/>
        <v>8.6192581322779045</v>
      </c>
      <c r="BF27" s="55">
        <f t="shared" ca="1" si="42"/>
        <v>0</v>
      </c>
      <c r="BG27" s="54">
        <f t="shared" ca="1" si="43"/>
        <v>6.5452333277574355E-4</v>
      </c>
      <c r="BH27" s="109">
        <f t="shared" ca="1" si="44"/>
        <v>39.104547649629723</v>
      </c>
    </row>
    <row r="28" spans="1:60">
      <c r="A28" s="53">
        <f t="shared" si="45"/>
        <v>14</v>
      </c>
      <c r="B28" s="54">
        <f t="shared" ca="1" si="0"/>
        <v>-14.208999775409204</v>
      </c>
      <c r="C28" s="55">
        <f t="shared" ca="1" si="1"/>
        <v>0</v>
      </c>
      <c r="D28" s="54">
        <f t="shared" ca="1" si="2"/>
        <v>5.7693893627792474E-3</v>
      </c>
      <c r="E28" s="97">
        <f t="shared" ca="1" si="3"/>
        <v>22.931158214310638</v>
      </c>
      <c r="F28" s="56"/>
      <c r="G28" s="56"/>
      <c r="H28" s="57" t="str">
        <f t="shared" ca="1" si="46"/>
        <v/>
      </c>
      <c r="I28" s="55"/>
      <c r="J28" s="116">
        <f t="shared" ca="1" si="4"/>
        <v>34.939213932083369</v>
      </c>
      <c r="L28" s="108">
        <f t="shared" ca="1" si="5"/>
        <v>15.241725007315004</v>
      </c>
      <c r="M28" s="55">
        <f t="shared" ca="1" si="6"/>
        <v>0</v>
      </c>
      <c r="N28" s="54">
        <f t="shared" ca="1" si="7"/>
        <v>1.577825616766481E-2</v>
      </c>
      <c r="O28" s="109">
        <f t="shared" ca="1" si="8"/>
        <v>49.631868449007996</v>
      </c>
      <c r="Q28" s="108">
        <f t="shared" ca="1" si="9"/>
        <v>-1.5492439857485241</v>
      </c>
      <c r="R28" s="55">
        <f t="shared" ca="1" si="10"/>
        <v>0</v>
      </c>
      <c r="S28" s="54">
        <f t="shared" ca="1" si="11"/>
        <v>7.3484314426838695E-4</v>
      </c>
      <c r="T28" s="109">
        <f t="shared" ca="1" si="12"/>
        <v>33.986335107051403</v>
      </c>
      <c r="V28" s="108">
        <f t="shared" ca="1" si="13"/>
        <v>-1.5539785863606308</v>
      </c>
      <c r="W28" s="55">
        <f t="shared" ca="1" si="14"/>
        <v>0</v>
      </c>
      <c r="X28" s="54">
        <f t="shared" ca="1" si="15"/>
        <v>-8.1558761835992186E-3</v>
      </c>
      <c r="Y28" s="109">
        <f t="shared" ca="1" si="16"/>
        <v>37.800599539138616</v>
      </c>
      <c r="AA28" s="108">
        <f t="shared" ca="1" si="17"/>
        <v>5.4218082889764725</v>
      </c>
      <c r="AB28" s="55">
        <f t="shared" ca="1" si="18"/>
        <v>0</v>
      </c>
      <c r="AC28" s="54">
        <f t="shared" ca="1" si="19"/>
        <v>7.4222710571539424E-3</v>
      </c>
      <c r="AD28" s="109">
        <f t="shared" ca="1" si="20"/>
        <v>41.030842504251495</v>
      </c>
      <c r="AF28" s="108">
        <f t="shared" ca="1" si="21"/>
        <v>-9.8557253686709991</v>
      </c>
      <c r="AG28" s="55">
        <f t="shared" ca="1" si="22"/>
        <v>0</v>
      </c>
      <c r="AH28" s="54">
        <f t="shared" ca="1" si="23"/>
        <v>1.8389664013435954E-2</v>
      </c>
      <c r="AI28" s="109">
        <f t="shared" ca="1" si="24"/>
        <v>25.549345860088003</v>
      </c>
      <c r="AK28" s="108">
        <f t="shared" ca="1" si="25"/>
        <v>-6.1615402732736131</v>
      </c>
      <c r="AL28" s="55">
        <f t="shared" ca="1" si="26"/>
        <v>0</v>
      </c>
      <c r="AM28" s="54">
        <f t="shared" ca="1" si="27"/>
        <v>1.0998087077628985E-2</v>
      </c>
      <c r="AN28" s="109">
        <f t="shared" ca="1" si="28"/>
        <v>29.286917472718986</v>
      </c>
      <c r="AP28" s="108">
        <f t="shared" ca="1" si="29"/>
        <v>-10.732488332719079</v>
      </c>
      <c r="AQ28" s="55">
        <f t="shared" ca="1" si="30"/>
        <v>0</v>
      </c>
      <c r="AR28" s="54">
        <f t="shared" ca="1" si="31"/>
        <v>-2.0377839214174597E-3</v>
      </c>
      <c r="AS28" s="109">
        <f t="shared" ca="1" si="32"/>
        <v>27.906127545144521</v>
      </c>
      <c r="AU28" s="108">
        <f t="shared" ca="1" si="33"/>
        <v>-6.262405754777995</v>
      </c>
      <c r="AV28" s="55">
        <f t="shared" ca="1" si="34"/>
        <v>0</v>
      </c>
      <c r="AW28" s="54">
        <f t="shared" ca="1" si="35"/>
        <v>-1.748905379368661E-2</v>
      </c>
      <c r="AX28" s="109">
        <f t="shared" ca="1" si="36"/>
        <v>29.482935423380745</v>
      </c>
      <c r="AZ28" s="108">
        <f t="shared" ca="1" si="37"/>
        <v>8.2162674076299413E-3</v>
      </c>
      <c r="BA28" s="55">
        <f t="shared" ca="1" si="38"/>
        <v>0</v>
      </c>
      <c r="BB28" s="54">
        <f t="shared" ca="1" si="39"/>
        <v>3.5056903775425503E-4</v>
      </c>
      <c r="BC28" s="109">
        <f t="shared" ca="1" si="40"/>
        <v>40.941405046922242</v>
      </c>
      <c r="BE28" s="108">
        <f t="shared" ca="1" si="41"/>
        <v>9.4205270090362401</v>
      </c>
      <c r="BF28" s="55">
        <f t="shared" ca="1" si="42"/>
        <v>0</v>
      </c>
      <c r="BG28" s="54">
        <f t="shared" ca="1" si="43"/>
        <v>1.777121881745094E-3</v>
      </c>
      <c r="BH28" s="109">
        <f t="shared" ca="1" si="44"/>
        <v>45.783818090902393</v>
      </c>
    </row>
    <row r="29" spans="1:60">
      <c r="A29" s="53">
        <f t="shared" si="45"/>
        <v>15</v>
      </c>
      <c r="B29" s="54">
        <f t="shared" ca="1" si="0"/>
        <v>17.47146987619232</v>
      </c>
      <c r="C29" s="55">
        <f t="shared" ca="1" si="1"/>
        <v>0</v>
      </c>
      <c r="D29" s="54">
        <f t="shared" ca="1" si="2"/>
        <v>-1.3259821080211754E-2</v>
      </c>
      <c r="E29" s="97">
        <f t="shared" ca="1" si="3"/>
        <v>50.715216821993081</v>
      </c>
      <c r="F29" s="56"/>
      <c r="G29" s="56"/>
      <c r="H29" s="57" t="str">
        <f t="shared" ca="1" si="46"/>
        <v/>
      </c>
      <c r="I29" s="55"/>
      <c r="J29" s="116">
        <f t="shared" ca="1" si="4"/>
        <v>39.37360711296656</v>
      </c>
      <c r="L29" s="108">
        <f t="shared" ca="1" si="5"/>
        <v>13.411936454736917</v>
      </c>
      <c r="M29" s="55">
        <f t="shared" ca="1" si="6"/>
        <v>0</v>
      </c>
      <c r="N29" s="54">
        <f t="shared" ca="1" si="7"/>
        <v>7.892322598883587E-3</v>
      </c>
      <c r="O29" s="109">
        <f t="shared" ca="1" si="8"/>
        <v>51.805750699327604</v>
      </c>
      <c r="Q29" s="108">
        <f t="shared" ca="1" si="9"/>
        <v>-8.896215002063828</v>
      </c>
      <c r="R29" s="55">
        <f t="shared" ca="1" si="10"/>
        <v>0</v>
      </c>
      <c r="S29" s="54">
        <f t="shared" ca="1" si="11"/>
        <v>-1.2604927812254541E-3</v>
      </c>
      <c r="T29" s="109">
        <f t="shared" ca="1" si="12"/>
        <v>26.479868668010877</v>
      </c>
      <c r="V29" s="108">
        <f t="shared" ca="1" si="13"/>
        <v>-2.7792808102311821</v>
      </c>
      <c r="W29" s="55">
        <f t="shared" ca="1" si="14"/>
        <v>0</v>
      </c>
      <c r="X29" s="54">
        <f t="shared" ca="1" si="15"/>
        <v>2.2290889317796948E-3</v>
      </c>
      <c r="Y29" s="109">
        <f t="shared" ca="1" si="16"/>
        <v>33.332503084592716</v>
      </c>
      <c r="AA29" s="108">
        <f t="shared" ca="1" si="17"/>
        <v>-8.4431441870857089</v>
      </c>
      <c r="AB29" s="55">
        <f t="shared" ca="1" si="18"/>
        <v>0</v>
      </c>
      <c r="AC29" s="54">
        <f t="shared" ca="1" si="19"/>
        <v>1.0260248940183417E-2</v>
      </c>
      <c r="AD29" s="109">
        <f t="shared" ca="1" si="20"/>
        <v>28.291693121506775</v>
      </c>
      <c r="AF29" s="108">
        <f t="shared" ca="1" si="21"/>
        <v>-10.311640092485373</v>
      </c>
      <c r="AG29" s="55">
        <f t="shared" ca="1" si="22"/>
        <v>0</v>
      </c>
      <c r="AH29" s="54">
        <f t="shared" ca="1" si="23"/>
        <v>-6.0936571109508697E-3</v>
      </c>
      <c r="AI29" s="109">
        <f t="shared" ca="1" si="24"/>
        <v>23.437106250638223</v>
      </c>
      <c r="AK29" s="108">
        <f t="shared" ca="1" si="25"/>
        <v>8.0354846371380599</v>
      </c>
      <c r="AL29" s="55">
        <f t="shared" ca="1" si="26"/>
        <v>1</v>
      </c>
      <c r="AM29" s="54">
        <f t="shared" ca="1" si="27"/>
        <v>3.799382752914986E-3</v>
      </c>
      <c r="AN29" s="109">
        <f t="shared" ca="1" si="28"/>
        <v>42.508937978201629</v>
      </c>
      <c r="AP29" s="108">
        <f t="shared" ca="1" si="29"/>
        <v>13.244838421918944</v>
      </c>
      <c r="AQ29" s="55">
        <f t="shared" ca="1" si="30"/>
        <v>0</v>
      </c>
      <c r="AR29" s="54">
        <f t="shared" ca="1" si="31"/>
        <v>-2.2350457234110211E-5</v>
      </c>
      <c r="AS29" s="109">
        <f t="shared" ca="1" si="32"/>
        <v>47.448163844771429</v>
      </c>
      <c r="AU29" s="108">
        <f t="shared" ca="1" si="33"/>
        <v>2.7470076329085664</v>
      </c>
      <c r="AV29" s="55">
        <f t="shared" ca="1" si="34"/>
        <v>0</v>
      </c>
      <c r="AW29" s="54">
        <f t="shared" ca="1" si="35"/>
        <v>-3.6606169945862144E-3</v>
      </c>
      <c r="AX29" s="109">
        <f t="shared" ca="1" si="36"/>
        <v>37.254469785413512</v>
      </c>
      <c r="AZ29" s="108">
        <f t="shared" ca="1" si="37"/>
        <v>-3.2739586866832968</v>
      </c>
      <c r="BA29" s="55">
        <f t="shared" ca="1" si="38"/>
        <v>0</v>
      </c>
      <c r="BB29" s="54">
        <f t="shared" ca="1" si="39"/>
        <v>-6.8615069414349897E-3</v>
      </c>
      <c r="BC29" s="109">
        <f t="shared" ca="1" si="40"/>
        <v>33.443627810218047</v>
      </c>
      <c r="BE29" s="108">
        <f t="shared" ca="1" si="41"/>
        <v>20.740742830940054</v>
      </c>
      <c r="BF29" s="55">
        <f t="shared" ca="1" si="42"/>
        <v>0</v>
      </c>
      <c r="BG29" s="54">
        <f t="shared" ca="1" si="43"/>
        <v>4.7391164936633349E-3</v>
      </c>
      <c r="BH29" s="109">
        <f t="shared" ca="1" si="44"/>
        <v>58.392340177958346</v>
      </c>
    </row>
    <row r="30" spans="1:60">
      <c r="A30" s="53">
        <f t="shared" si="45"/>
        <v>16</v>
      </c>
      <c r="B30" s="54">
        <f t="shared" ca="1" si="0"/>
        <v>2.102919267035781</v>
      </c>
      <c r="C30" s="55">
        <f t="shared" ca="1" si="1"/>
        <v>0</v>
      </c>
      <c r="D30" s="54">
        <f t="shared" ca="1" si="2"/>
        <v>1.7276813670015507E-2</v>
      </c>
      <c r="E30" s="97">
        <f t="shared" ca="1" si="3"/>
        <v>40.705691137841875</v>
      </c>
      <c r="F30" s="56"/>
      <c r="G30" s="56"/>
      <c r="H30" s="57" t="str">
        <f t="shared" ca="1" si="46"/>
        <v/>
      </c>
      <c r="I30" s="55"/>
      <c r="J30" s="116">
        <f t="shared" ca="1" si="4"/>
        <v>37.172931924698155</v>
      </c>
      <c r="L30" s="108">
        <f t="shared" ca="1" si="5"/>
        <v>-10.701245308349064</v>
      </c>
      <c r="M30" s="55">
        <f t="shared" ca="1" si="6"/>
        <v>0</v>
      </c>
      <c r="N30" s="54">
        <f t="shared" ca="1" si="7"/>
        <v>-4.4206091070549689E-3</v>
      </c>
      <c r="O30" s="109">
        <f t="shared" ca="1" si="8"/>
        <v>28.111870137984269</v>
      </c>
      <c r="Q30" s="108">
        <f t="shared" ca="1" si="9"/>
        <v>6.2244876118644683</v>
      </c>
      <c r="R30" s="55">
        <f t="shared" ca="1" si="10"/>
        <v>0</v>
      </c>
      <c r="S30" s="54">
        <f t="shared" ca="1" si="11"/>
        <v>-5.846830720244564E-4</v>
      </c>
      <c r="T30" s="109">
        <f t="shared" ca="1" si="12"/>
        <v>40.152714389843098</v>
      </c>
      <c r="V30" s="108">
        <f t="shared" ca="1" si="13"/>
        <v>-14.543699650561623</v>
      </c>
      <c r="W30" s="55">
        <f t="shared" ca="1" si="14"/>
        <v>0</v>
      </c>
      <c r="X30" s="54">
        <f t="shared" ca="1" si="15"/>
        <v>-3.7634180768281811E-3</v>
      </c>
      <c r="Y30" s="109">
        <f t="shared" ca="1" si="16"/>
        <v>20.706272058888512</v>
      </c>
      <c r="AA30" s="108">
        <f t="shared" ca="1" si="17"/>
        <v>-8.3603587081176993</v>
      </c>
      <c r="AB30" s="55">
        <f t="shared" ca="1" si="18"/>
        <v>0</v>
      </c>
      <c r="AC30" s="54">
        <f t="shared" ca="1" si="19"/>
        <v>1.4238849998305036E-3</v>
      </c>
      <c r="AD30" s="109">
        <f t="shared" ca="1" si="20"/>
        <v>25.917335098530884</v>
      </c>
      <c r="AF30" s="108">
        <f t="shared" ca="1" si="21"/>
        <v>22.654603516658433</v>
      </c>
      <c r="AG30" s="55">
        <f t="shared" ca="1" si="22"/>
        <v>0</v>
      </c>
      <c r="AH30" s="54">
        <f t="shared" ca="1" si="23"/>
        <v>-1.249600025195159E-2</v>
      </c>
      <c r="AI30" s="109">
        <f t="shared" ca="1" si="24"/>
        <v>55.995938369817239</v>
      </c>
      <c r="AK30" s="108">
        <f t="shared" ca="1" si="25"/>
        <v>-15.096299061654548</v>
      </c>
      <c r="AL30" s="55">
        <f t="shared" ca="1" si="26"/>
        <v>0</v>
      </c>
      <c r="AM30" s="54">
        <f t="shared" ca="1" si="27"/>
        <v>-1.1351119127271303E-3</v>
      </c>
      <c r="AN30" s="109">
        <f t="shared" ca="1" si="28"/>
        <v>21.923635201212498</v>
      </c>
      <c r="AP30" s="108">
        <f t="shared" ca="1" si="29"/>
        <v>18.408196185789489</v>
      </c>
      <c r="AQ30" s="55">
        <f t="shared" ca="1" si="30"/>
        <v>0</v>
      </c>
      <c r="AR30" s="54">
        <f t="shared" ca="1" si="31"/>
        <v>3.2607178712836483E-3</v>
      </c>
      <c r="AS30" s="109">
        <f t="shared" ca="1" si="32"/>
        <v>56.380814680392923</v>
      </c>
      <c r="AU30" s="108">
        <f t="shared" ca="1" si="33"/>
        <v>1.2904060825905181</v>
      </c>
      <c r="AV30" s="55">
        <f t="shared" ca="1" si="34"/>
        <v>0</v>
      </c>
      <c r="AW30" s="54">
        <f t="shared" ca="1" si="35"/>
        <v>3.113253427745607E-3</v>
      </c>
      <c r="AX30" s="109">
        <f t="shared" ca="1" si="36"/>
        <v>37.29685176877377</v>
      </c>
      <c r="AZ30" s="108">
        <f t="shared" ca="1" si="37"/>
        <v>3.0249761224660228E-2</v>
      </c>
      <c r="BA30" s="55">
        <f t="shared" ca="1" si="38"/>
        <v>0</v>
      </c>
      <c r="BB30" s="54">
        <f t="shared" ca="1" si="39"/>
        <v>-4.8060934352087675E-3</v>
      </c>
      <c r="BC30" s="109">
        <f t="shared" ca="1" si="40"/>
        <v>35.301655350541644</v>
      </c>
      <c r="BE30" s="108">
        <f t="shared" ca="1" si="41"/>
        <v>6.3259276895311221</v>
      </c>
      <c r="BF30" s="55">
        <f t="shared" ca="1" si="42"/>
        <v>0</v>
      </c>
      <c r="BG30" s="54">
        <f t="shared" ca="1" si="43"/>
        <v>-1.8363727257649093E-2</v>
      </c>
      <c r="BH30" s="109">
        <f t="shared" ca="1" si="44"/>
        <v>46.409472977853056</v>
      </c>
    </row>
    <row r="31" spans="1:60">
      <c r="A31" s="53">
        <f t="shared" si="45"/>
        <v>17</v>
      </c>
      <c r="B31" s="54">
        <f t="shared" ca="1" si="0"/>
        <v>9.1416560485945144</v>
      </c>
      <c r="C31" s="55">
        <f t="shared" ca="1" si="1"/>
        <v>0</v>
      </c>
      <c r="D31" s="54">
        <f t="shared" ca="1" si="2"/>
        <v>-1.0132278105494731E-2</v>
      </c>
      <c r="E31" s="97">
        <f t="shared" ca="1" si="3"/>
        <v>45.813777743834997</v>
      </c>
      <c r="F31" s="56"/>
      <c r="G31" s="56"/>
      <c r="H31" s="57" t="str">
        <f t="shared" ca="1" si="46"/>
        <v/>
      </c>
      <c r="I31" s="55"/>
      <c r="J31" s="116">
        <f t="shared" ca="1" si="4"/>
        <v>34.089962747209732</v>
      </c>
      <c r="L31" s="108">
        <f t="shared" ca="1" si="5"/>
        <v>-2.5532425264047882</v>
      </c>
      <c r="M31" s="55">
        <f t="shared" ca="1" si="6"/>
        <v>0</v>
      </c>
      <c r="N31" s="54">
        <f t="shared" ca="1" si="7"/>
        <v>-1.1538492879551904E-2</v>
      </c>
      <c r="O31" s="109">
        <f t="shared" ca="1" si="8"/>
        <v>31.689766792120835</v>
      </c>
      <c r="Q31" s="108">
        <f t="shared" ca="1" si="9"/>
        <v>5.0025551566113169</v>
      </c>
      <c r="R31" s="55">
        <f t="shared" ca="1" si="10"/>
        <v>0</v>
      </c>
      <c r="S31" s="54">
        <f t="shared" ca="1" si="11"/>
        <v>-9.7478238032085024E-3</v>
      </c>
      <c r="T31" s="109">
        <f t="shared" ca="1" si="12"/>
        <v>41.568017986157699</v>
      </c>
      <c r="V31" s="108">
        <f t="shared" ca="1" si="13"/>
        <v>-6.4629369640619379</v>
      </c>
      <c r="W31" s="55">
        <f t="shared" ca="1" si="14"/>
        <v>0</v>
      </c>
      <c r="X31" s="54">
        <f t="shared" ca="1" si="15"/>
        <v>4.9103284347284592E-3</v>
      </c>
      <c r="Y31" s="109">
        <f t="shared" ca="1" si="16"/>
        <v>26.351671081243214</v>
      </c>
      <c r="AA31" s="108">
        <f t="shared" ca="1" si="17"/>
        <v>-8.9407470359347077</v>
      </c>
      <c r="AB31" s="55">
        <f t="shared" ca="1" si="18"/>
        <v>0</v>
      </c>
      <c r="AC31" s="54">
        <f t="shared" ca="1" si="19"/>
        <v>8.0726040968074255E-3</v>
      </c>
      <c r="AD31" s="109">
        <f t="shared" ca="1" si="20"/>
        <v>24.878977544342618</v>
      </c>
      <c r="AF31" s="108">
        <f t="shared" ca="1" si="21"/>
        <v>-1.7502049045815273</v>
      </c>
      <c r="AG31" s="55">
        <f t="shared" ca="1" si="22"/>
        <v>0</v>
      </c>
      <c r="AH31" s="54">
        <f t="shared" ca="1" si="23"/>
        <v>-8.0478148779792921E-3</v>
      </c>
      <c r="AI31" s="109">
        <f t="shared" ca="1" si="24"/>
        <v>37.871119323761611</v>
      </c>
      <c r="AK31" s="108">
        <f t="shared" ca="1" si="25"/>
        <v>-1.3512572646717735</v>
      </c>
      <c r="AL31" s="55">
        <f t="shared" ca="1" si="26"/>
        <v>0</v>
      </c>
      <c r="AM31" s="54">
        <f t="shared" ca="1" si="27"/>
        <v>-2.0342581037095099E-3</v>
      </c>
      <c r="AN31" s="109">
        <f t="shared" ca="1" si="28"/>
        <v>31.698157347759363</v>
      </c>
      <c r="AP31" s="108">
        <f t="shared" ca="1" si="29"/>
        <v>-11.461912190682188</v>
      </c>
      <c r="AQ31" s="55">
        <f t="shared" ca="1" si="30"/>
        <v>0</v>
      </c>
      <c r="AR31" s="54">
        <f t="shared" ca="1" si="31"/>
        <v>2.3224202390416055E-3</v>
      </c>
      <c r="AS31" s="109">
        <f t="shared" ca="1" si="32"/>
        <v>28.233647474986469</v>
      </c>
      <c r="AU31" s="108">
        <f t="shared" ca="1" si="33"/>
        <v>-16.52797398455689</v>
      </c>
      <c r="AV31" s="55">
        <f t="shared" ca="1" si="34"/>
        <v>0</v>
      </c>
      <c r="AW31" s="54">
        <f t="shared" ca="1" si="35"/>
        <v>7.5023482322281575E-3</v>
      </c>
      <c r="AX31" s="109">
        <f t="shared" ca="1" si="36"/>
        <v>19.486646393035052</v>
      </c>
      <c r="AZ31" s="108">
        <f t="shared" ca="1" si="37"/>
        <v>-4.8383228633202204</v>
      </c>
      <c r="BA31" s="55">
        <f t="shared" ca="1" si="38"/>
        <v>0</v>
      </c>
      <c r="BB31" s="54">
        <f t="shared" ca="1" si="39"/>
        <v>-2.4633781534140111E-3</v>
      </c>
      <c r="BC31" s="109">
        <f t="shared" ca="1" si="40"/>
        <v>30.791461465422081</v>
      </c>
      <c r="BE31" s="108">
        <f t="shared" ca="1" si="41"/>
        <v>18.834072601102843</v>
      </c>
      <c r="BF31" s="55">
        <f t="shared" ca="1" si="42"/>
        <v>0</v>
      </c>
      <c r="BG31" s="54">
        <f t="shared" ca="1" si="43"/>
        <v>-1.2496601246845063E-2</v>
      </c>
      <c r="BH31" s="109">
        <f t="shared" ca="1" si="44"/>
        <v>56.606347066643089</v>
      </c>
    </row>
    <row r="32" spans="1:60">
      <c r="A32" s="53">
        <f t="shared" si="45"/>
        <v>18</v>
      </c>
      <c r="B32" s="54">
        <f t="shared" ca="1" si="0"/>
        <v>-6.0924723591698644</v>
      </c>
      <c r="C32" s="55">
        <f t="shared" ca="1" si="1"/>
        <v>0</v>
      </c>
      <c r="D32" s="54">
        <f t="shared" ca="1" si="2"/>
        <v>-5.8438287313124504E-3</v>
      </c>
      <c r="E32" s="97">
        <f t="shared" ca="1" si="3"/>
        <v>31.564903644202325</v>
      </c>
      <c r="F32" s="56"/>
      <c r="G32" s="56"/>
      <c r="H32" s="57" t="str">
        <f t="shared" ca="1" si="46"/>
        <v/>
      </c>
      <c r="I32" s="55"/>
      <c r="J32" s="116">
        <f t="shared" ca="1" si="4"/>
        <v>36.287773264564684</v>
      </c>
      <c r="L32" s="108">
        <f t="shared" ca="1" si="5"/>
        <v>-18.006526455507924</v>
      </c>
      <c r="M32" s="55">
        <f t="shared" ca="1" si="6"/>
        <v>0</v>
      </c>
      <c r="N32" s="54">
        <f t="shared" ca="1" si="7"/>
        <v>1.8294278926785763E-2</v>
      </c>
      <c r="O32" s="109">
        <f t="shared" ca="1" si="8"/>
        <v>16.926592167038145</v>
      </c>
      <c r="Q32" s="108">
        <f t="shared" ca="1" si="9"/>
        <v>-6.9060913063422671</v>
      </c>
      <c r="R32" s="55">
        <f t="shared" ca="1" si="10"/>
        <v>0</v>
      </c>
      <c r="S32" s="54">
        <f t="shared" ca="1" si="11"/>
        <v>7.1343585202713802E-3</v>
      </c>
      <c r="T32" s="109">
        <f t="shared" ca="1" si="12"/>
        <v>29.93235709943675</v>
      </c>
      <c r="V32" s="108">
        <f t="shared" ca="1" si="13"/>
        <v>17.824811340137703</v>
      </c>
      <c r="W32" s="55">
        <f t="shared" ca="1" si="14"/>
        <v>0</v>
      </c>
      <c r="X32" s="54">
        <f t="shared" ca="1" si="15"/>
        <v>3.5703449814402115E-4</v>
      </c>
      <c r="Y32" s="109">
        <f t="shared" ca="1" si="16"/>
        <v>51.728311202854805</v>
      </c>
      <c r="AA32" s="108">
        <f t="shared" ca="1" si="17"/>
        <v>-1.7966309599268022</v>
      </c>
      <c r="AB32" s="55">
        <f t="shared" ca="1" si="18"/>
        <v>0</v>
      </c>
      <c r="AC32" s="54">
        <f t="shared" ca="1" si="19"/>
        <v>1.4518576014266796E-2</v>
      </c>
      <c r="AD32" s="109">
        <f t="shared" ca="1" si="20"/>
        <v>31.822813881075</v>
      </c>
      <c r="AF32" s="108">
        <f t="shared" ca="1" si="21"/>
        <v>10.923628755180733</v>
      </c>
      <c r="AG32" s="55">
        <f t="shared" ca="1" si="22"/>
        <v>0</v>
      </c>
      <c r="AH32" s="54">
        <f t="shared" ca="1" si="23"/>
        <v>-1.1555926822950386E-2</v>
      </c>
      <c r="AI32" s="109">
        <f t="shared" ca="1" si="24"/>
        <v>47.049014596676166</v>
      </c>
      <c r="AK32" s="108">
        <f t="shared" ca="1" si="25"/>
        <v>4.7810423057298292</v>
      </c>
      <c r="AL32" s="55">
        <f t="shared" ca="1" si="26"/>
        <v>0</v>
      </c>
      <c r="AM32" s="54">
        <f t="shared" ca="1" si="27"/>
        <v>-8.7224926111210827E-3</v>
      </c>
      <c r="AN32" s="109">
        <f t="shared" ca="1" si="28"/>
        <v>39.71577930942879</v>
      </c>
      <c r="AP32" s="108">
        <f t="shared" ca="1" si="29"/>
        <v>-12.608888235085352</v>
      </c>
      <c r="AQ32" s="55">
        <f t="shared" ca="1" si="30"/>
        <v>0</v>
      </c>
      <c r="AR32" s="54">
        <f t="shared" ca="1" si="31"/>
        <v>9.7291210230825258E-3</v>
      </c>
      <c r="AS32" s="109">
        <f t="shared" ca="1" si="32"/>
        <v>21.657609652677419</v>
      </c>
      <c r="AU32" s="108">
        <f t="shared" ca="1" si="33"/>
        <v>13.889635375393027</v>
      </c>
      <c r="AV32" s="55">
        <f t="shared" ca="1" si="34"/>
        <v>0</v>
      </c>
      <c r="AW32" s="54">
        <f t="shared" ca="1" si="35"/>
        <v>-1.3301213114053519E-2</v>
      </c>
      <c r="AX32" s="109">
        <f t="shared" ca="1" si="36"/>
        <v>46.469000455126633</v>
      </c>
      <c r="AZ32" s="108">
        <f t="shared" ca="1" si="37"/>
        <v>2.8427779628579475</v>
      </c>
      <c r="BA32" s="55">
        <f t="shared" ca="1" si="38"/>
        <v>0</v>
      </c>
      <c r="BB32" s="54">
        <f t="shared" ca="1" si="39"/>
        <v>-2.0792063798649806E-2</v>
      </c>
      <c r="BC32" s="109">
        <f t="shared" ca="1" si="40"/>
        <v>37.602630299724915</v>
      </c>
      <c r="BE32" s="108">
        <f t="shared" ca="1" si="41"/>
        <v>4.9574329598472522</v>
      </c>
      <c r="BF32" s="55">
        <f t="shared" ca="1" si="42"/>
        <v>0</v>
      </c>
      <c r="BG32" s="54">
        <f t="shared" ca="1" si="43"/>
        <v>-1.1263009114318058E-2</v>
      </c>
      <c r="BH32" s="109">
        <f t="shared" ca="1" si="44"/>
        <v>44.696493601970673</v>
      </c>
    </row>
    <row r="33" spans="1:60">
      <c r="A33" s="53">
        <f t="shared" si="45"/>
        <v>19</v>
      </c>
      <c r="B33" s="54">
        <f t="shared" ca="1" si="0"/>
        <v>-3.4997119166582524</v>
      </c>
      <c r="C33" s="55">
        <f t="shared" ca="1" si="1"/>
        <v>0</v>
      </c>
      <c r="D33" s="54">
        <f t="shared" ca="1" si="2"/>
        <v>1.2438168523004714E-2</v>
      </c>
      <c r="E33" s="97">
        <f t="shared" ca="1" si="3"/>
        <v>31.409322941476056</v>
      </c>
      <c r="F33" s="56"/>
      <c r="G33" s="56"/>
      <c r="H33" s="57" t="str">
        <f t="shared" ca="1" si="46"/>
        <v/>
      </c>
      <c r="I33" s="55"/>
      <c r="J33" s="116">
        <f t="shared" ca="1" si="4"/>
        <v>31.398901098103444</v>
      </c>
      <c r="L33" s="108">
        <f t="shared" ca="1" si="5"/>
        <v>-5.2954745285631306</v>
      </c>
      <c r="M33" s="55">
        <f t="shared" ca="1" si="6"/>
        <v>0</v>
      </c>
      <c r="N33" s="54">
        <f t="shared" ca="1" si="7"/>
        <v>-5.10595355830491E-3</v>
      </c>
      <c r="O33" s="109">
        <f t="shared" ca="1" si="8"/>
        <v>26.790104002552656</v>
      </c>
      <c r="Q33" s="108">
        <f t="shared" ca="1" si="9"/>
        <v>-8.4148918426525086</v>
      </c>
      <c r="R33" s="55">
        <f t="shared" ca="1" si="10"/>
        <v>0</v>
      </c>
      <c r="S33" s="54">
        <f t="shared" ca="1" si="11"/>
        <v>4.3461870258944451E-3</v>
      </c>
      <c r="T33" s="109">
        <f t="shared" ca="1" si="12"/>
        <v>26.179255340208506</v>
      </c>
      <c r="V33" s="108">
        <f t="shared" ca="1" si="13"/>
        <v>30.442705179231247</v>
      </c>
      <c r="W33" s="55">
        <f t="shared" ca="1" si="14"/>
        <v>0</v>
      </c>
      <c r="X33" s="54">
        <f t="shared" ca="1" si="15"/>
        <v>1.3193170059624211E-2</v>
      </c>
      <c r="Y33" s="109">
        <f t="shared" ca="1" si="16"/>
        <v>69.240883995980056</v>
      </c>
      <c r="AA33" s="108">
        <f t="shared" ca="1" si="17"/>
        <v>5.6339849101957258</v>
      </c>
      <c r="AB33" s="55">
        <f t="shared" ca="1" si="18"/>
        <v>0</v>
      </c>
      <c r="AC33" s="54">
        <f t="shared" ca="1" si="19"/>
        <v>3.6586033358488156E-3</v>
      </c>
      <c r="AD33" s="109">
        <f t="shared" ca="1" si="20"/>
        <v>40.592765826216358</v>
      </c>
      <c r="AF33" s="108">
        <f t="shared" ca="1" si="21"/>
        <v>-10.19637459710995</v>
      </c>
      <c r="AG33" s="55">
        <f t="shared" ca="1" si="22"/>
        <v>0</v>
      </c>
      <c r="AH33" s="54">
        <f t="shared" ca="1" si="23"/>
        <v>1.0959340366217854E-2</v>
      </c>
      <c r="AI33" s="109">
        <f t="shared" ca="1" si="24"/>
        <v>27.699255477639362</v>
      </c>
      <c r="AK33" s="108">
        <f t="shared" ca="1" si="25"/>
        <v>3.5635338552657663</v>
      </c>
      <c r="AL33" s="55">
        <f t="shared" ca="1" si="26"/>
        <v>0</v>
      </c>
      <c r="AM33" s="54">
        <f t="shared" ca="1" si="27"/>
        <v>9.7858004985588009E-3</v>
      </c>
      <c r="AN33" s="109">
        <f t="shared" ca="1" si="28"/>
        <v>40.044720085067929</v>
      </c>
      <c r="AP33" s="108">
        <f t="shared" ca="1" si="29"/>
        <v>-15.70592946791276</v>
      </c>
      <c r="AQ33" s="55">
        <f t="shared" ca="1" si="30"/>
        <v>0</v>
      </c>
      <c r="AR33" s="54">
        <f t="shared" ca="1" si="31"/>
        <v>-2.2430465324437322E-3</v>
      </c>
      <c r="AS33" s="109">
        <f t="shared" ca="1" si="32"/>
        <v>17.29217379489095</v>
      </c>
      <c r="AU33" s="108">
        <f t="shared" ca="1" si="33"/>
        <v>-13.647417045631249</v>
      </c>
      <c r="AV33" s="55">
        <f t="shared" ca="1" si="34"/>
        <v>0</v>
      </c>
      <c r="AW33" s="54">
        <f t="shared" ca="1" si="35"/>
        <v>-4.4467209269806072E-3</v>
      </c>
      <c r="AX33" s="109">
        <f t="shared" ca="1" si="36"/>
        <v>24.136339156214554</v>
      </c>
      <c r="AZ33" s="108">
        <f t="shared" ca="1" si="37"/>
        <v>-16.22319821578709</v>
      </c>
      <c r="BA33" s="55">
        <f t="shared" ca="1" si="38"/>
        <v>0</v>
      </c>
      <c r="BB33" s="54">
        <f t="shared" ca="1" si="39"/>
        <v>-8.6467612994541509E-4</v>
      </c>
      <c r="BC33" s="109">
        <f t="shared" ca="1" si="40"/>
        <v>19.850401117760754</v>
      </c>
      <c r="BE33" s="108">
        <f t="shared" ca="1" si="41"/>
        <v>-15.289182461319404</v>
      </c>
      <c r="BF33" s="55">
        <f t="shared" ca="1" si="42"/>
        <v>0</v>
      </c>
      <c r="BG33" s="54">
        <f t="shared" ca="1" si="43"/>
        <v>-3.0049771926209107E-4</v>
      </c>
      <c r="BH33" s="109">
        <f t="shared" ca="1" si="44"/>
        <v>22.15269034113064</v>
      </c>
    </row>
    <row r="34" spans="1:60" ht="15.75" thickBot="1">
      <c r="A34" s="98">
        <f t="shared" si="45"/>
        <v>20</v>
      </c>
      <c r="B34" s="99">
        <f t="shared" ca="1" si="0"/>
        <v>-1.8639917057247626</v>
      </c>
      <c r="C34" s="100">
        <f t="shared" ca="1" si="1"/>
        <v>0</v>
      </c>
      <c r="D34" s="99">
        <f t="shared" ca="1" si="2"/>
        <v>-2.158285787701603E-2</v>
      </c>
      <c r="E34" s="97">
        <f t="shared" ca="1" si="3"/>
        <v>33.01503454655635</v>
      </c>
      <c r="F34" s="56"/>
      <c r="G34" s="56"/>
      <c r="H34" s="57" t="str">
        <f t="shared" ca="1" si="46"/>
        <v/>
      </c>
      <c r="I34" s="55"/>
      <c r="J34" s="116">
        <f t="shared" ca="1" si="4"/>
        <v>30.658374692092426</v>
      </c>
      <c r="L34" s="110">
        <f t="shared" ca="1" si="5"/>
        <v>-24.422309554174948</v>
      </c>
      <c r="M34" s="111">
        <f t="shared" ca="1" si="6"/>
        <v>0</v>
      </c>
      <c r="N34" s="112">
        <f t="shared" ca="1" si="7"/>
        <v>8.3425733009116407E-4</v>
      </c>
      <c r="O34" s="113">
        <f t="shared" ca="1" si="8"/>
        <v>9.5657558137628573</v>
      </c>
      <c r="Q34" s="110">
        <f t="shared" ca="1" si="9"/>
        <v>11.596554181667305</v>
      </c>
      <c r="R34" s="111">
        <f t="shared" ca="1" si="10"/>
        <v>0</v>
      </c>
      <c r="S34" s="112">
        <f t="shared" ca="1" si="11"/>
        <v>3.6489857058581332E-3</v>
      </c>
      <c r="T34" s="113">
        <f t="shared" ca="1" si="12"/>
        <v>45.466798274710328</v>
      </c>
      <c r="V34" s="110">
        <f t="shared" ca="1" si="13"/>
        <v>-6.0130601708264955</v>
      </c>
      <c r="W34" s="111">
        <f t="shared" ca="1" si="14"/>
        <v>0</v>
      </c>
      <c r="X34" s="112">
        <f t="shared" ca="1" si="15"/>
        <v>5.6256160928305522E-3</v>
      </c>
      <c r="Y34" s="113">
        <f t="shared" ca="1" si="16"/>
        <v>36.162966188807154</v>
      </c>
      <c r="AA34" s="110">
        <f t="shared" ca="1" si="17"/>
        <v>1.1971059577862375</v>
      </c>
      <c r="AB34" s="111">
        <f t="shared" ca="1" si="18"/>
        <v>0</v>
      </c>
      <c r="AC34" s="112">
        <f t="shared" ca="1" si="19"/>
        <v>-4.8695961003213356E-4</v>
      </c>
      <c r="AD34" s="113">
        <f t="shared" ca="1" si="20"/>
        <v>37.847446473818515</v>
      </c>
      <c r="AF34" s="110">
        <f t="shared" ca="1" si="21"/>
        <v>-15.476657302523279</v>
      </c>
      <c r="AG34" s="111">
        <f t="shared" ca="1" si="22"/>
        <v>0</v>
      </c>
      <c r="AH34" s="112">
        <f t="shared" ca="1" si="23"/>
        <v>1.1459910015708759E-3</v>
      </c>
      <c r="AI34" s="113">
        <f t="shared" ca="1" si="24"/>
        <v>18.686766370131313</v>
      </c>
      <c r="AK34" s="110">
        <f t="shared" ca="1" si="25"/>
        <v>13.409186646769028</v>
      </c>
      <c r="AL34" s="111">
        <f t="shared" ca="1" si="26"/>
        <v>0</v>
      </c>
      <c r="AM34" s="112">
        <f t="shared" ca="1" si="27"/>
        <v>-5.0829448606127137E-4</v>
      </c>
      <c r="AN34" s="113">
        <f t="shared" ca="1" si="28"/>
        <v>49.953819396044537</v>
      </c>
      <c r="AP34" s="110">
        <f t="shared" ca="1" si="29"/>
        <v>-6.036599681987374</v>
      </c>
      <c r="AQ34" s="111">
        <f t="shared" ca="1" si="30"/>
        <v>0</v>
      </c>
      <c r="AR34" s="112">
        <f t="shared" ca="1" si="31"/>
        <v>7.2028633984585677E-3</v>
      </c>
      <c r="AS34" s="113">
        <f t="shared" ca="1" si="32"/>
        <v>26.119492703257897</v>
      </c>
      <c r="AU34" s="110">
        <f t="shared" ca="1" si="33"/>
        <v>-12.405147338973686</v>
      </c>
      <c r="AV34" s="111">
        <f t="shared" ca="1" si="34"/>
        <v>0</v>
      </c>
      <c r="AW34" s="112">
        <f t="shared" ca="1" si="35"/>
        <v>-1.1806330062348271E-2</v>
      </c>
      <c r="AX34" s="113">
        <f t="shared" ca="1" si="36"/>
        <v>21.071056455482683</v>
      </c>
      <c r="AZ34" s="110">
        <f t="shared" ca="1" si="37"/>
        <v>-6.5216758488334827</v>
      </c>
      <c r="BA34" s="111">
        <f t="shared" ca="1" si="38"/>
        <v>0</v>
      </c>
      <c r="BB34" s="112">
        <f t="shared" ca="1" si="39"/>
        <v>-1.7567751758983414E-3</v>
      </c>
      <c r="BC34" s="113">
        <f t="shared" ca="1" si="40"/>
        <v>26.127850709606996</v>
      </c>
      <c r="BE34" s="110">
        <f t="shared" ca="1" si="41"/>
        <v>0.13153961869814423</v>
      </c>
      <c r="BF34" s="111">
        <f t="shared" ca="1" si="42"/>
        <v>0</v>
      </c>
      <c r="BG34" s="112">
        <f t="shared" ca="1" si="43"/>
        <v>-2.6792594792753289E-3</v>
      </c>
      <c r="BH34" s="113">
        <f t="shared" ca="1" si="44"/>
        <v>33.225134680838039</v>
      </c>
    </row>
    <row r="35" spans="1:60">
      <c r="A35" s="53">
        <f t="shared" si="45"/>
        <v>21</v>
      </c>
      <c r="B35" s="54">
        <f t="shared" ca="1" si="0"/>
        <v>-0.52436889180140922</v>
      </c>
      <c r="C35" s="55">
        <f ca="1">IF(RAND()&lt;jumpProb,1,0)</f>
        <v>0</v>
      </c>
      <c r="D35" s="54">
        <f t="shared" ca="1" si="2"/>
        <v>-1.2544287334149092E-2</v>
      </c>
      <c r="E35" s="95">
        <f t="shared" ref="E35:E41" ca="1" si="47">alpha+B35+C35*D35+$B$7*E34</f>
        <v>34.66436907810531</v>
      </c>
      <c r="F35" s="56">
        <f t="shared" ref="F35:F80" ca="1" si="48">F34+E35</f>
        <v>34.66436907810531</v>
      </c>
      <c r="G35" s="56">
        <f t="shared" ref="G35:G78" ca="1" si="49">F35</f>
        <v>34.66436907810531</v>
      </c>
      <c r="H35" s="57" t="str">
        <f t="shared" ca="1" si="46"/>
        <v/>
      </c>
      <c r="I35" s="55"/>
      <c r="J35" s="55"/>
    </row>
    <row r="36" spans="1:60">
      <c r="A36" s="53">
        <f t="shared" si="45"/>
        <v>22</v>
      </c>
      <c r="B36" s="54">
        <f t="shared" ca="1" si="0"/>
        <v>9.7457490453663969</v>
      </c>
      <c r="C36" s="55">
        <f t="shared" ca="1" si="1"/>
        <v>0</v>
      </c>
      <c r="D36" s="54">
        <f t="shared" ca="1" si="2"/>
        <v>3.773872049707533E-3</v>
      </c>
      <c r="E36" s="95">
        <f t="shared" ca="1" si="47"/>
        <v>45.252612779008686</v>
      </c>
      <c r="F36" s="56">
        <f t="shared" ca="1" si="48"/>
        <v>79.916981857113996</v>
      </c>
      <c r="G36" s="56">
        <f t="shared" ca="1" si="49"/>
        <v>79.916981857113996</v>
      </c>
      <c r="H36" s="57" t="str">
        <f t="shared" ca="1" si="46"/>
        <v/>
      </c>
      <c r="I36" s="55"/>
      <c r="J36" s="55"/>
    </row>
    <row r="37" spans="1:60">
      <c r="A37" s="53">
        <f t="shared" si="45"/>
        <v>23</v>
      </c>
      <c r="B37" s="54">
        <f t="shared" ca="1" si="0"/>
        <v>3.3838050204168368</v>
      </c>
      <c r="C37" s="55">
        <f t="shared" ca="1" si="1"/>
        <v>0</v>
      </c>
      <c r="D37" s="54">
        <f t="shared" ca="1" si="2"/>
        <v>2.0822374564403523E-3</v>
      </c>
      <c r="E37" s="95">
        <f t="shared" ca="1" si="47"/>
        <v>40.932942804311892</v>
      </c>
      <c r="F37" s="56">
        <f t="shared" ca="1" si="48"/>
        <v>120.84992466142589</v>
      </c>
      <c r="G37" s="56">
        <f t="shared" ca="1" si="49"/>
        <v>120.84992466142589</v>
      </c>
      <c r="H37" s="57" t="str">
        <f t="shared" ca="1" si="46"/>
        <v/>
      </c>
      <c r="I37" s="55"/>
      <c r="J37" s="55"/>
      <c r="M37" s="39">
        <v>1</v>
      </c>
      <c r="N37" s="39">
        <v>2</v>
      </c>
      <c r="O37" s="39">
        <v>3</v>
      </c>
      <c r="P37" s="39">
        <v>4</v>
      </c>
      <c r="Q37" s="39">
        <v>5</v>
      </c>
      <c r="R37" s="39">
        <v>6</v>
      </c>
      <c r="S37" s="39">
        <v>7</v>
      </c>
      <c r="T37" s="39">
        <v>8</v>
      </c>
      <c r="U37" s="39">
        <v>9</v>
      </c>
      <c r="V37" s="39">
        <v>10</v>
      </c>
    </row>
    <row r="38" spans="1:60">
      <c r="A38" s="53">
        <f t="shared" si="45"/>
        <v>24</v>
      </c>
      <c r="B38" s="54">
        <f t="shared" ca="1" si="0"/>
        <v>-12.102419861038515</v>
      </c>
      <c r="C38" s="55">
        <f t="shared" ca="1" si="1"/>
        <v>0</v>
      </c>
      <c r="D38" s="54">
        <f t="shared" ca="1" si="2"/>
        <v>-1.3390122839693191E-2</v>
      </c>
      <c r="E38" s="95">
        <f t="shared" ca="1" si="47"/>
        <v>24.613534427634704</v>
      </c>
      <c r="F38" s="56">
        <f t="shared" ca="1" si="48"/>
        <v>145.46345908906059</v>
      </c>
      <c r="G38" s="56">
        <f t="shared" ca="1" si="49"/>
        <v>145.46345908906059</v>
      </c>
      <c r="H38" s="57" t="str">
        <f t="shared" ca="1" si="46"/>
        <v/>
      </c>
      <c r="I38" s="55"/>
      <c r="J38" s="55"/>
      <c r="L38" s="39">
        <f>A15</f>
        <v>1</v>
      </c>
      <c r="M38" s="60">
        <f ca="1">O15</f>
        <v>42.857200420755824</v>
      </c>
      <c r="N38" s="60">
        <f ca="1">T15</f>
        <v>32.808674078714844</v>
      </c>
      <c r="O38" s="60">
        <f ca="1">Y15</f>
        <v>55.971793014746012</v>
      </c>
      <c r="P38" s="60">
        <f ca="1">AD15</f>
        <v>35.491426223180838</v>
      </c>
      <c r="Q38" s="60">
        <f ca="1">AI15</f>
        <v>39.822458821135427</v>
      </c>
      <c r="R38" s="60">
        <f ca="1">AN15</f>
        <v>27.455946737159469</v>
      </c>
      <c r="S38" s="60">
        <f ca="1">AS15</f>
        <v>37.963623530180165</v>
      </c>
      <c r="T38" s="60">
        <f ca="1">AX15</f>
        <v>24.529150661996216</v>
      </c>
      <c r="U38" s="60">
        <f ca="1">BC15</f>
        <v>22.275649624981789</v>
      </c>
      <c r="V38" s="60">
        <f ca="1">BH15</f>
        <v>27.957292631209928</v>
      </c>
    </row>
    <row r="39" spans="1:60">
      <c r="A39" s="53">
        <f t="shared" si="45"/>
        <v>25</v>
      </c>
      <c r="B39" s="54">
        <f t="shared" ca="1" si="0"/>
        <v>-4.9425515741557708</v>
      </c>
      <c r="C39" s="55">
        <f t="shared" ca="1" si="1"/>
        <v>0</v>
      </c>
      <c r="D39" s="54">
        <f t="shared" ca="1" si="2"/>
        <v>2.1790825133078853E-2</v>
      </c>
      <c r="E39" s="95">
        <f t="shared" ca="1" si="47"/>
        <v>28.625694257417813</v>
      </c>
      <c r="F39" s="56">
        <f t="shared" ca="1" si="48"/>
        <v>174.08915334647841</v>
      </c>
      <c r="G39" s="56">
        <f t="shared" ca="1" si="49"/>
        <v>174.08915334647841</v>
      </c>
      <c r="H39" s="57" t="str">
        <f t="shared" ca="1" si="46"/>
        <v/>
      </c>
      <c r="I39" s="55"/>
      <c r="J39" s="55"/>
      <c r="L39" s="39">
        <f t="shared" ref="L39:L57" si="50">A16</f>
        <v>2</v>
      </c>
      <c r="M39" s="60">
        <f t="shared" ref="M39:M57" ca="1" si="51">O16</f>
        <v>30.853981869688305</v>
      </c>
      <c r="N39" s="60">
        <f t="shared" ref="N39:N57" ca="1" si="52">T16</f>
        <v>41.985810309856696</v>
      </c>
      <c r="O39" s="60">
        <f t="shared" ref="O39:O57" ca="1" si="53">Y16</f>
        <v>38.639895797597319</v>
      </c>
      <c r="P39" s="60">
        <f t="shared" ref="P39:P57" ca="1" si="54">AD16</f>
        <v>40.678291157311691</v>
      </c>
      <c r="Q39" s="60">
        <f t="shared" ref="Q39:Q57" ca="1" si="55">AI16</f>
        <v>32.408752414835952</v>
      </c>
      <c r="R39" s="60">
        <f t="shared" ref="R39:R57" ca="1" si="56">AN16</f>
        <v>20.627111976306388</v>
      </c>
      <c r="S39" s="60">
        <f t="shared" ref="S39:S57" ca="1" si="57">AS16</f>
        <v>31.113575640095195</v>
      </c>
      <c r="T39" s="60">
        <f t="shared" ref="T39:T57" ca="1" si="58">AX16</f>
        <v>35.800550652267127</v>
      </c>
      <c r="U39" s="60">
        <f t="shared" ref="U39:U57" ca="1" si="59">BC16</f>
        <v>43.212244218668545</v>
      </c>
      <c r="V39" s="60">
        <f t="shared" ref="V39:V57" ca="1" si="60">BH16</f>
        <v>30.842918897718505</v>
      </c>
    </row>
    <row r="40" spans="1:60">
      <c r="A40" s="53">
        <f t="shared" si="45"/>
        <v>26</v>
      </c>
      <c r="B40" s="54">
        <f t="shared" ca="1" si="0"/>
        <v>3.0880940401786074</v>
      </c>
      <c r="C40" s="55">
        <f t="shared" ca="1" si="1"/>
        <v>0</v>
      </c>
      <c r="D40" s="54">
        <f t="shared" ca="1" si="2"/>
        <v>4.7876057380897043E-3</v>
      </c>
      <c r="E40" s="95">
        <f t="shared" ca="1" si="47"/>
        <v>37.43021041509202</v>
      </c>
      <c r="F40" s="56">
        <f t="shared" ca="1" si="48"/>
        <v>211.51936376157045</v>
      </c>
      <c r="G40" s="56">
        <f t="shared" ca="1" si="49"/>
        <v>211.51936376157045</v>
      </c>
      <c r="H40" s="57" t="str">
        <f t="shared" ca="1" si="46"/>
        <v/>
      </c>
      <c r="I40" s="55"/>
      <c r="J40" s="55"/>
      <c r="L40" s="39">
        <f t="shared" si="50"/>
        <v>3</v>
      </c>
      <c r="M40" s="60">
        <f t="shared" ca="1" si="51"/>
        <v>42.804268821652904</v>
      </c>
      <c r="N40" s="60">
        <f t="shared" ca="1" si="52"/>
        <v>57.180398299277755</v>
      </c>
      <c r="O40" s="60">
        <f t="shared" ca="1" si="53"/>
        <v>23.202124920782222</v>
      </c>
      <c r="P40" s="60">
        <f t="shared" ca="1" si="54"/>
        <v>40.24225153251065</v>
      </c>
      <c r="Q40" s="60">
        <f t="shared" ca="1" si="55"/>
        <v>31.054774217072584</v>
      </c>
      <c r="R40" s="60">
        <f t="shared" ca="1" si="56"/>
        <v>39.261409153221777</v>
      </c>
      <c r="S40" s="60">
        <f t="shared" ca="1" si="57"/>
        <v>58.199233577906952</v>
      </c>
      <c r="T40" s="60">
        <f t="shared" ca="1" si="58"/>
        <v>27.397118821155821</v>
      </c>
      <c r="U40" s="60">
        <f t="shared" ca="1" si="59"/>
        <v>41.008619381003875</v>
      </c>
      <c r="V40" s="60">
        <f t="shared" ca="1" si="60"/>
        <v>21.608506361765336</v>
      </c>
    </row>
    <row r="41" spans="1:60">
      <c r="A41" s="53">
        <f t="shared" si="45"/>
        <v>27</v>
      </c>
      <c r="B41" s="54">
        <f t="shared" ca="1" si="0"/>
        <v>11.036683305059663</v>
      </c>
      <c r="C41" s="55">
        <f t="shared" ca="1" si="1"/>
        <v>0</v>
      </c>
      <c r="D41" s="54">
        <f t="shared" ca="1" si="2"/>
        <v>-3.6773752099902948E-3</v>
      </c>
      <c r="E41" s="95">
        <f t="shared" ca="1" si="47"/>
        <v>47.077026069710882</v>
      </c>
      <c r="F41" s="56">
        <f t="shared" ca="1" si="48"/>
        <v>258.59638983128133</v>
      </c>
      <c r="G41" s="56">
        <f t="shared" ca="1" si="49"/>
        <v>258.59638983128133</v>
      </c>
      <c r="H41" s="57" t="str">
        <f t="shared" ca="1" si="46"/>
        <v/>
      </c>
      <c r="I41" s="55"/>
      <c r="J41" s="55"/>
      <c r="L41" s="39">
        <f t="shared" si="50"/>
        <v>4</v>
      </c>
      <c r="M41" s="60">
        <f t="shared" ca="1" si="51"/>
        <v>43.624418809369445</v>
      </c>
      <c r="N41" s="60">
        <f t="shared" ca="1" si="52"/>
        <v>51.351731702039764</v>
      </c>
      <c r="O41" s="60">
        <f t="shared" ca="1" si="53"/>
        <v>29.439327606045548</v>
      </c>
      <c r="P41" s="60">
        <f t="shared" ca="1" si="54"/>
        <v>31.550703276585963</v>
      </c>
      <c r="Q41" s="60">
        <f t="shared" ca="1" si="55"/>
        <v>29.845895477053219</v>
      </c>
      <c r="R41" s="60">
        <f t="shared" ca="1" si="56"/>
        <v>36.724685710546126</v>
      </c>
      <c r="S41" s="60">
        <f t="shared" ca="1" si="57"/>
        <v>40.676223685467029</v>
      </c>
      <c r="T41" s="60">
        <f t="shared" ca="1" si="58"/>
        <v>15.93379687507155</v>
      </c>
      <c r="U41" s="60">
        <f t="shared" ca="1" si="59"/>
        <v>46.509329072872504</v>
      </c>
      <c r="V41" s="60">
        <f t="shared" ca="1" si="60"/>
        <v>30.952869531037621</v>
      </c>
    </row>
    <row r="42" spans="1:60">
      <c r="A42" s="53">
        <f t="shared" si="45"/>
        <v>28</v>
      </c>
      <c r="B42" s="54">
        <f t="shared" ca="1" si="0"/>
        <v>18.776509819710359</v>
      </c>
      <c r="C42" s="55">
        <f t="shared" ca="1" si="1"/>
        <v>0</v>
      </c>
      <c r="D42" s="54">
        <f t="shared" ca="1" si="2"/>
        <v>-9.9996203905908486E-3</v>
      </c>
      <c r="E42" s="95">
        <f t="shared" ref="E42:E73" ca="1" si="61">alpha+B42+C42*D42+B32*E41</f>
        <v>-239.21821457758367</v>
      </c>
      <c r="F42" s="56">
        <f t="shared" ca="1" si="48"/>
        <v>19.378175253697663</v>
      </c>
      <c r="G42" s="56">
        <f t="shared" ca="1" si="49"/>
        <v>19.378175253697663</v>
      </c>
      <c r="H42" s="57" t="str">
        <f t="shared" ca="1" si="46"/>
        <v/>
      </c>
      <c r="I42" s="55"/>
      <c r="J42" s="55"/>
      <c r="L42" s="39">
        <f t="shared" si="50"/>
        <v>5</v>
      </c>
      <c r="M42" s="60">
        <f t="shared" ca="1" si="51"/>
        <v>36.918394204564457</v>
      </c>
      <c r="N42" s="60">
        <f t="shared" ca="1" si="52"/>
        <v>31.922300454090148</v>
      </c>
      <c r="O42" s="60">
        <f t="shared" ca="1" si="53"/>
        <v>59.186704847855822</v>
      </c>
      <c r="P42" s="60">
        <f t="shared" ca="1" si="54"/>
        <v>28.955515600771047</v>
      </c>
      <c r="Q42" s="60">
        <f t="shared" ca="1" si="55"/>
        <v>39.749991955094629</v>
      </c>
      <c r="R42" s="60">
        <f t="shared" ca="1" si="56"/>
        <v>39.256350911884667</v>
      </c>
      <c r="S42" s="60">
        <f t="shared" ca="1" si="57"/>
        <v>45.260451216329642</v>
      </c>
      <c r="T42" s="60">
        <f t="shared" ca="1" si="58"/>
        <v>24.241050301370947</v>
      </c>
      <c r="U42" s="60">
        <f t="shared" ca="1" si="59"/>
        <v>42.731426450458301</v>
      </c>
      <c r="V42" s="60">
        <f t="shared" ca="1" si="60"/>
        <v>26.656074473804928</v>
      </c>
    </row>
    <row r="43" spans="1:60">
      <c r="A43" s="53">
        <f t="shared" si="45"/>
        <v>29</v>
      </c>
      <c r="B43" s="54">
        <f t="shared" ca="1" si="0"/>
        <v>-5.2924607616862263</v>
      </c>
      <c r="C43" s="55">
        <f t="shared" ca="1" si="1"/>
        <v>0</v>
      </c>
      <c r="D43" s="54">
        <f t="shared" ca="1" si="2"/>
        <v>6.8452050467140355E-3</v>
      </c>
      <c r="E43" s="95">
        <f t="shared" ca="1" si="61"/>
        <v>860.72313116153282</v>
      </c>
      <c r="F43" s="56">
        <f t="shared" ca="1" si="48"/>
        <v>880.10130641523051</v>
      </c>
      <c r="G43" s="56">
        <f t="shared" ca="1" si="49"/>
        <v>880.10130641523051</v>
      </c>
      <c r="H43" s="57" t="str">
        <f t="shared" ca="1" si="46"/>
        <v/>
      </c>
      <c r="I43" s="55"/>
      <c r="J43" s="55"/>
      <c r="L43" s="39">
        <f t="shared" si="50"/>
        <v>6</v>
      </c>
      <c r="M43" s="60">
        <f t="shared" ca="1" si="51"/>
        <v>47.372082983616622</v>
      </c>
      <c r="N43" s="60">
        <f t="shared" ca="1" si="52"/>
        <v>32.89689539338918</v>
      </c>
      <c r="O43" s="60">
        <f t="shared" ca="1" si="53"/>
        <v>47.007095083725098</v>
      </c>
      <c r="P43" s="60">
        <f t="shared" ca="1" si="54"/>
        <v>24.956755005464487</v>
      </c>
      <c r="Q43" s="60">
        <f t="shared" ca="1" si="55"/>
        <v>27.214497378632558</v>
      </c>
      <c r="R43" s="60">
        <f t="shared" ca="1" si="56"/>
        <v>24.484042852134785</v>
      </c>
      <c r="S43" s="60">
        <f t="shared" ca="1" si="57"/>
        <v>36.451631485012754</v>
      </c>
      <c r="T43" s="60">
        <f t="shared" ca="1" si="58"/>
        <v>43.812216993310933</v>
      </c>
      <c r="U43" s="60">
        <f t="shared" ca="1" si="59"/>
        <v>26.116211920910388</v>
      </c>
      <c r="V43" s="60">
        <f t="shared" ca="1" si="60"/>
        <v>25.866111796124059</v>
      </c>
    </row>
    <row r="44" spans="1:60">
      <c r="A44" s="53">
        <f t="shared" si="45"/>
        <v>30</v>
      </c>
      <c r="B44" s="54">
        <f t="shared" ca="1" si="0"/>
        <v>-2.1500495766482932</v>
      </c>
      <c r="C44" s="55">
        <f t="shared" ca="1" si="1"/>
        <v>0</v>
      </c>
      <c r="D44" s="54">
        <f t="shared" ca="1" si="2"/>
        <v>9.554627385895886E-3</v>
      </c>
      <c r="E44" s="95">
        <f t="shared" ca="1" si="61"/>
        <v>-1577.7100713028537</v>
      </c>
      <c r="F44" s="56">
        <f t="shared" ca="1" si="48"/>
        <v>-697.60876488762324</v>
      </c>
      <c r="G44" s="56">
        <f t="shared" ca="1" si="49"/>
        <v>-697.60876488762324</v>
      </c>
      <c r="H44" s="57" t="str">
        <f t="shared" ca="1" si="46"/>
        <v/>
      </c>
      <c r="I44" s="55"/>
      <c r="J44" s="55"/>
      <c r="L44" s="39">
        <f t="shared" si="50"/>
        <v>7</v>
      </c>
      <c r="M44" s="60">
        <f t="shared" ca="1" si="51"/>
        <v>25.392151252450134</v>
      </c>
      <c r="N44" s="60">
        <f t="shared" ca="1" si="52"/>
        <v>33.950616207030627</v>
      </c>
      <c r="O44" s="60">
        <f t="shared" ca="1" si="53"/>
        <v>29.460679272235431</v>
      </c>
      <c r="P44" s="60">
        <f t="shared" ca="1" si="54"/>
        <v>18.447215195204372</v>
      </c>
      <c r="Q44" s="60">
        <f t="shared" ca="1" si="55"/>
        <v>27.361977801373982</v>
      </c>
      <c r="R44" s="60">
        <f t="shared" ca="1" si="56"/>
        <v>38.662658799087346</v>
      </c>
      <c r="S44" s="60">
        <f t="shared" ca="1" si="57"/>
        <v>29.569491264812768</v>
      </c>
      <c r="T44" s="60">
        <f t="shared" ca="1" si="58"/>
        <v>39.46992583660257</v>
      </c>
      <c r="U44" s="60">
        <f t="shared" ca="1" si="59"/>
        <v>25.044005807658905</v>
      </c>
      <c r="V44" s="60">
        <f t="shared" ca="1" si="60"/>
        <v>29.781148280884899</v>
      </c>
    </row>
    <row r="45" spans="1:60">
      <c r="A45" s="53">
        <f t="shared" si="45"/>
        <v>31</v>
      </c>
      <c r="B45" s="54">
        <f t="shared" ca="1" si="0"/>
        <v>14.746286948559659</v>
      </c>
      <c r="C45" s="55">
        <f t="shared" ca="1" si="1"/>
        <v>0</v>
      </c>
      <c r="D45" s="54">
        <f t="shared" ca="1" si="2"/>
        <v>-1.9904117300930606E-2</v>
      </c>
      <c r="E45" s="95">
        <f t="shared" ca="1" si="61"/>
        <v>870.86912430589803</v>
      </c>
      <c r="F45" s="56">
        <f t="shared" ca="1" si="48"/>
        <v>173.26035941827479</v>
      </c>
      <c r="G45" s="56">
        <f t="shared" ca="1" si="49"/>
        <v>173.26035941827479</v>
      </c>
      <c r="H45" s="57" t="str">
        <f t="shared" ca="1" si="46"/>
        <v/>
      </c>
      <c r="I45" s="55"/>
      <c r="J45" s="55"/>
      <c r="L45" s="39">
        <f t="shared" si="50"/>
        <v>8</v>
      </c>
      <c r="M45" s="60">
        <f t="shared" ca="1" si="51"/>
        <v>26.329296913589928</v>
      </c>
      <c r="N45" s="60">
        <f t="shared" ca="1" si="52"/>
        <v>49.855823558019992</v>
      </c>
      <c r="O45" s="60">
        <f t="shared" ca="1" si="53"/>
        <v>28.892417167794065</v>
      </c>
      <c r="P45" s="60">
        <f t="shared" ca="1" si="54"/>
        <v>38.21975973124367</v>
      </c>
      <c r="Q45" s="60">
        <f t="shared" ca="1" si="55"/>
        <v>34.022584887794586</v>
      </c>
      <c r="R45" s="60">
        <f t="shared" ca="1" si="56"/>
        <v>35.645758421312081</v>
      </c>
      <c r="S45" s="60">
        <f t="shared" ca="1" si="57"/>
        <v>21.763012720589323</v>
      </c>
      <c r="T45" s="60">
        <f t="shared" ca="1" si="58"/>
        <v>45.300672749375323</v>
      </c>
      <c r="U45" s="60">
        <f t="shared" ca="1" si="59"/>
        <v>51.734352454067704</v>
      </c>
      <c r="V45" s="60">
        <f t="shared" ca="1" si="60"/>
        <v>5.1126343179585154</v>
      </c>
    </row>
    <row r="46" spans="1:60">
      <c r="A46" s="53">
        <f t="shared" si="45"/>
        <v>32</v>
      </c>
      <c r="B46" s="54">
        <f t="shared" ca="1" si="0"/>
        <v>12.688099678262569</v>
      </c>
      <c r="C46" s="55">
        <f t="shared" ca="1" si="1"/>
        <v>0</v>
      </c>
      <c r="D46" s="54">
        <f t="shared" ca="1" si="2"/>
        <v>7.2809958161461244E-4</v>
      </c>
      <c r="E46" s="95">
        <f t="shared" ca="1" si="61"/>
        <v>8528.7807922058764</v>
      </c>
      <c r="F46" s="56">
        <f t="shared" ca="1" si="48"/>
        <v>8702.0411516241511</v>
      </c>
      <c r="G46" s="56">
        <f t="shared" ca="1" si="49"/>
        <v>8702.0411516241511</v>
      </c>
      <c r="H46" s="57" t="str">
        <f t="shared" ca="1" si="46"/>
        <v/>
      </c>
      <c r="I46" s="55"/>
      <c r="J46" s="55"/>
      <c r="L46" s="39">
        <f t="shared" si="50"/>
        <v>9</v>
      </c>
      <c r="M46" s="60">
        <f t="shared" ca="1" si="51"/>
        <v>32.322607706941263</v>
      </c>
      <c r="N46" s="60">
        <f t="shared" ca="1" si="52"/>
        <v>57.815256406949374</v>
      </c>
      <c r="O46" s="60">
        <f t="shared" ca="1" si="53"/>
        <v>19.682330040079091</v>
      </c>
      <c r="P46" s="60">
        <f t="shared" ca="1" si="54"/>
        <v>50.839769712639566</v>
      </c>
      <c r="Q46" s="60">
        <f t="shared" ca="1" si="55"/>
        <v>26.266790228736934</v>
      </c>
      <c r="R46" s="60">
        <f t="shared" ca="1" si="56"/>
        <v>36.194495093053355</v>
      </c>
      <c r="S46" s="60">
        <f t="shared" ca="1" si="57"/>
        <v>34.898362176063635</v>
      </c>
      <c r="T46" s="60">
        <f t="shared" ca="1" si="58"/>
        <v>41.000811775818249</v>
      </c>
      <c r="U46" s="60">
        <f t="shared" ca="1" si="59"/>
        <v>48.574750919249915</v>
      </c>
      <c r="V46" s="60">
        <f t="shared" ca="1" si="60"/>
        <v>35.198079671695474</v>
      </c>
    </row>
    <row r="47" spans="1:60">
      <c r="A47" s="53">
        <f t="shared" si="45"/>
        <v>33</v>
      </c>
      <c r="B47" s="54">
        <f t="shared" ca="1" si="0"/>
        <v>-0.8160103146762987</v>
      </c>
      <c r="C47" s="55">
        <f t="shared" ca="1" si="1"/>
        <v>0</v>
      </c>
      <c r="D47" s="54">
        <f t="shared" ca="1" si="2"/>
        <v>-8.6621456476061905E-3</v>
      </c>
      <c r="E47" s="95">
        <f t="shared" ca="1" si="61"/>
        <v>28887.736008070591</v>
      </c>
      <c r="F47" s="56">
        <f t="shared" ca="1" si="48"/>
        <v>37589.777159694742</v>
      </c>
      <c r="G47" s="56">
        <f t="shared" ca="1" si="49"/>
        <v>37589.777159694742</v>
      </c>
      <c r="H47" s="57" t="str">
        <f t="shared" ca="1" si="46"/>
        <v/>
      </c>
      <c r="I47" s="55"/>
      <c r="J47" s="55"/>
      <c r="L47" s="39">
        <f t="shared" si="50"/>
        <v>10</v>
      </c>
      <c r="M47" s="60">
        <f t="shared" ca="1" si="51"/>
        <v>26.126136274854666</v>
      </c>
      <c r="N47" s="60">
        <f t="shared" ca="1" si="52"/>
        <v>31.22369373218271</v>
      </c>
      <c r="O47" s="60">
        <f t="shared" ca="1" si="53"/>
        <v>35.38977316096063</v>
      </c>
      <c r="P47" s="60">
        <f t="shared" ca="1" si="54"/>
        <v>32.785618088433239</v>
      </c>
      <c r="Q47" s="60">
        <f t="shared" ca="1" si="55"/>
        <v>41.435095276246926</v>
      </c>
      <c r="R47" s="60">
        <f t="shared" ca="1" si="56"/>
        <v>48.437090806284502</v>
      </c>
      <c r="S47" s="60">
        <f t="shared" ca="1" si="57"/>
        <v>35.523531352847378</v>
      </c>
      <c r="T47" s="60">
        <f t="shared" ca="1" si="58"/>
        <v>48.205415067039318</v>
      </c>
      <c r="U47" s="60">
        <f t="shared" ca="1" si="59"/>
        <v>46.776554318051929</v>
      </c>
      <c r="V47" s="60">
        <f t="shared" ca="1" si="60"/>
        <v>36.939381366765353</v>
      </c>
    </row>
    <row r="48" spans="1:60">
      <c r="A48" s="53">
        <f t="shared" si="45"/>
        <v>34</v>
      </c>
      <c r="B48" s="54">
        <f t="shared" ca="1" si="0"/>
        <v>-1.2968343834994414</v>
      </c>
      <c r="C48" s="55">
        <f t="shared" ca="1" si="1"/>
        <v>0</v>
      </c>
      <c r="D48" s="54">
        <f t="shared" ca="1" si="2"/>
        <v>-4.1743111926020419E-3</v>
      </c>
      <c r="E48" s="95">
        <f t="shared" ca="1" si="61"/>
        <v>-349583.98608321015</v>
      </c>
      <c r="F48" s="56">
        <f t="shared" ca="1" si="48"/>
        <v>-311994.2089235154</v>
      </c>
      <c r="G48" s="56">
        <f t="shared" ca="1" si="49"/>
        <v>-311994.2089235154</v>
      </c>
      <c r="H48" s="57" t="str">
        <f t="shared" ca="1" si="46"/>
        <v/>
      </c>
      <c r="I48" s="55"/>
      <c r="J48" s="55"/>
      <c r="L48" s="39">
        <f t="shared" si="50"/>
        <v>11</v>
      </c>
      <c r="M48" s="60">
        <f t="shared" ca="1" si="51"/>
        <v>34.21059479958938</v>
      </c>
      <c r="N48" s="60">
        <f t="shared" ca="1" si="52"/>
        <v>37.49580183522832</v>
      </c>
      <c r="O48" s="60">
        <f t="shared" ca="1" si="53"/>
        <v>40.23384289269962</v>
      </c>
      <c r="P48" s="60">
        <f t="shared" ca="1" si="54"/>
        <v>19.953665199683289</v>
      </c>
      <c r="Q48" s="60">
        <f t="shared" ca="1" si="55"/>
        <v>25.033624367021666</v>
      </c>
      <c r="R48" s="60">
        <f t="shared" ca="1" si="56"/>
        <v>37.651652649590659</v>
      </c>
      <c r="S48" s="60">
        <f t="shared" ca="1" si="57"/>
        <v>29.171647622737261</v>
      </c>
      <c r="T48" s="60">
        <f t="shared" ca="1" si="58"/>
        <v>36.561253492411012</v>
      </c>
      <c r="U48" s="60">
        <f t="shared" ca="1" si="59"/>
        <v>32.278193882398512</v>
      </c>
      <c r="V48" s="60">
        <f t="shared" ca="1" si="60"/>
        <v>36.378357268621194</v>
      </c>
    </row>
    <row r="49" spans="1:22">
      <c r="A49" s="53">
        <f t="shared" si="45"/>
        <v>35</v>
      </c>
      <c r="B49" s="54">
        <f t="shared" ca="1" si="0"/>
        <v>-9.964236719383738</v>
      </c>
      <c r="C49" s="55">
        <f t="shared" ca="1" si="1"/>
        <v>0</v>
      </c>
      <c r="D49" s="54">
        <f t="shared" ca="1" si="2"/>
        <v>9.0005301194108454E-3</v>
      </c>
      <c r="E49" s="95">
        <f t="shared" ca="1" si="61"/>
        <v>1727855.7372341845</v>
      </c>
      <c r="F49" s="56">
        <f t="shared" ca="1" si="48"/>
        <v>1415861.5283106691</v>
      </c>
      <c r="G49" s="56">
        <f t="shared" ca="1" si="49"/>
        <v>1415861.5283106691</v>
      </c>
      <c r="H49" s="57" t="str">
        <f t="shared" ca="1" si="46"/>
        <v/>
      </c>
      <c r="I49" s="55"/>
      <c r="J49" s="55"/>
      <c r="L49" s="39">
        <f t="shared" si="50"/>
        <v>12</v>
      </c>
      <c r="M49" s="60">
        <f t="shared" ca="1" si="51"/>
        <v>36.943520704022347</v>
      </c>
      <c r="N49" s="60">
        <f t="shared" ca="1" si="52"/>
        <v>47.665337683268071</v>
      </c>
      <c r="O49" s="60">
        <f t="shared" ca="1" si="53"/>
        <v>30.596247096310321</v>
      </c>
      <c r="P49" s="60">
        <f t="shared" ca="1" si="54"/>
        <v>49.746790538250053</v>
      </c>
      <c r="Q49" s="60">
        <f t="shared" ca="1" si="55"/>
        <v>41.456923996089913</v>
      </c>
      <c r="R49" s="60">
        <f t="shared" ca="1" si="56"/>
        <v>18.054287170724862</v>
      </c>
      <c r="S49" s="60">
        <f t="shared" ca="1" si="57"/>
        <v>31.156088371335656</v>
      </c>
      <c r="T49" s="60">
        <f t="shared" ca="1" si="58"/>
        <v>39.99759193316001</v>
      </c>
      <c r="U49" s="60">
        <f t="shared" ca="1" si="59"/>
        <v>30.389365474347542</v>
      </c>
      <c r="V49" s="60">
        <f t="shared" ca="1" si="60"/>
        <v>8.6298358783735214</v>
      </c>
    </row>
    <row r="50" spans="1:22">
      <c r="A50" s="53">
        <f t="shared" si="45"/>
        <v>36</v>
      </c>
      <c r="B50" s="54">
        <f t="shared" ca="1" si="0"/>
        <v>2.2092724681601235</v>
      </c>
      <c r="C50" s="55">
        <f t="shared" ca="1" si="1"/>
        <v>0</v>
      </c>
      <c r="D50" s="54">
        <f t="shared" ca="1" si="2"/>
        <v>-1.2219083228631664E-2</v>
      </c>
      <c r="E50" s="95">
        <f t="shared" ca="1" si="61"/>
        <v>5335812.0344694518</v>
      </c>
      <c r="F50" s="56">
        <f t="shared" ca="1" si="48"/>
        <v>6751673.5627801213</v>
      </c>
      <c r="G50" s="56">
        <f t="shared" ca="1" si="49"/>
        <v>6751673.5627801213</v>
      </c>
      <c r="H50" s="57" t="str">
        <f t="shared" ca="1" si="46"/>
        <v/>
      </c>
      <c r="I50" s="55"/>
      <c r="J50" s="55"/>
      <c r="L50" s="39">
        <f t="shared" si="50"/>
        <v>13</v>
      </c>
      <c r="M50" s="60">
        <f t="shared" ca="1" si="51"/>
        <v>28.874692322706281</v>
      </c>
      <c r="N50" s="60">
        <f t="shared" ca="1" si="52"/>
        <v>34.81324489655016</v>
      </c>
      <c r="O50" s="60">
        <f t="shared" ca="1" si="53"/>
        <v>54.612983549024328</v>
      </c>
      <c r="P50" s="60">
        <f t="shared" ca="1" si="54"/>
        <v>35.194075636552824</v>
      </c>
      <c r="Q50" s="60">
        <f t="shared" ca="1" si="55"/>
        <v>34.136622153790121</v>
      </c>
      <c r="R50" s="60">
        <f t="shared" ca="1" si="56"/>
        <v>34.36156112206713</v>
      </c>
      <c r="S50" s="60">
        <f t="shared" ca="1" si="57"/>
        <v>50.901051373381918</v>
      </c>
      <c r="T50" s="60">
        <f t="shared" ca="1" si="58"/>
        <v>35.900764017068738</v>
      </c>
      <c r="U50" s="60">
        <f t="shared" ca="1" si="59"/>
        <v>62.79734759727161</v>
      </c>
      <c r="V50" s="60">
        <f t="shared" ca="1" si="60"/>
        <v>39.104547649629723</v>
      </c>
    </row>
    <row r="51" spans="1:22">
      <c r="A51" s="53">
        <f t="shared" si="45"/>
        <v>37</v>
      </c>
      <c r="B51" s="54">
        <f t="shared" ca="1" si="0"/>
        <v>6.6108632132774563</v>
      </c>
      <c r="C51" s="55">
        <f t="shared" ca="1" si="1"/>
        <v>0</v>
      </c>
      <c r="D51" s="54">
        <f t="shared" ca="1" si="2"/>
        <v>2.8309172715450738E-3</v>
      </c>
      <c r="E51" s="95">
        <f t="shared" ca="1" si="61"/>
        <v>58889703.031384334</v>
      </c>
      <c r="F51" s="56">
        <f t="shared" ca="1" si="48"/>
        <v>65641376.594164453</v>
      </c>
      <c r="G51" s="56">
        <f t="shared" ca="1" si="49"/>
        <v>65641376.594164453</v>
      </c>
      <c r="H51" s="57" t="str">
        <f t="shared" ca="1" si="46"/>
        <v/>
      </c>
      <c r="I51" s="55"/>
      <c r="J51" s="55"/>
      <c r="L51" s="39">
        <f t="shared" si="50"/>
        <v>14</v>
      </c>
      <c r="M51" s="60">
        <f t="shared" ca="1" si="51"/>
        <v>49.631868449007996</v>
      </c>
      <c r="N51" s="60">
        <f t="shared" ca="1" si="52"/>
        <v>33.986335107051403</v>
      </c>
      <c r="O51" s="60">
        <f t="shared" ca="1" si="53"/>
        <v>37.800599539138616</v>
      </c>
      <c r="P51" s="60">
        <f t="shared" ca="1" si="54"/>
        <v>41.030842504251495</v>
      </c>
      <c r="Q51" s="60">
        <f t="shared" ca="1" si="55"/>
        <v>25.549345860088003</v>
      </c>
      <c r="R51" s="60">
        <f t="shared" ca="1" si="56"/>
        <v>29.286917472718986</v>
      </c>
      <c r="S51" s="60">
        <f t="shared" ca="1" si="57"/>
        <v>27.906127545144521</v>
      </c>
      <c r="T51" s="60">
        <f t="shared" ca="1" si="58"/>
        <v>29.482935423380745</v>
      </c>
      <c r="U51" s="60">
        <f t="shared" ca="1" si="59"/>
        <v>40.941405046922242</v>
      </c>
      <c r="V51" s="60">
        <f t="shared" ca="1" si="60"/>
        <v>45.783818090902393</v>
      </c>
    </row>
    <row r="52" spans="1:22">
      <c r="A52" s="53">
        <f t="shared" si="45"/>
        <v>38</v>
      </c>
      <c r="B52" s="54">
        <f t="shared" ca="1" si="0"/>
        <v>-2.9552119234486249</v>
      </c>
      <c r="C52" s="55">
        <f t="shared" ca="1" si="1"/>
        <v>0</v>
      </c>
      <c r="D52" s="54">
        <f t="shared" ca="1" si="2"/>
        <v>1.2174374936664443E-3</v>
      </c>
      <c r="E52" s="95">
        <f t="shared" ca="1" si="61"/>
        <v>1105743113.1141586</v>
      </c>
      <c r="F52" s="56">
        <f t="shared" ca="1" si="48"/>
        <v>1171384489.708323</v>
      </c>
      <c r="G52" s="56">
        <f t="shared" ca="1" si="49"/>
        <v>1171384489.708323</v>
      </c>
      <c r="H52" s="57" t="str">
        <f t="shared" ca="1" si="46"/>
        <v/>
      </c>
      <c r="I52" s="55"/>
      <c r="J52" s="55"/>
      <c r="L52" s="39">
        <f t="shared" si="50"/>
        <v>15</v>
      </c>
      <c r="M52" s="60">
        <f t="shared" ca="1" si="51"/>
        <v>51.805750699327604</v>
      </c>
      <c r="N52" s="60">
        <f t="shared" ca="1" si="52"/>
        <v>26.479868668010877</v>
      </c>
      <c r="O52" s="60">
        <f t="shared" ca="1" si="53"/>
        <v>33.332503084592716</v>
      </c>
      <c r="P52" s="60">
        <f t="shared" ca="1" si="54"/>
        <v>28.291693121506775</v>
      </c>
      <c r="Q52" s="60">
        <f t="shared" ca="1" si="55"/>
        <v>23.437106250638223</v>
      </c>
      <c r="R52" s="60">
        <f t="shared" ca="1" si="56"/>
        <v>42.508937978201629</v>
      </c>
      <c r="S52" s="60">
        <f t="shared" ca="1" si="57"/>
        <v>47.448163844771429</v>
      </c>
      <c r="T52" s="60">
        <f t="shared" ca="1" si="58"/>
        <v>37.254469785413512</v>
      </c>
      <c r="U52" s="60">
        <f t="shared" ca="1" si="59"/>
        <v>33.443627810218047</v>
      </c>
      <c r="V52" s="60">
        <f t="shared" ca="1" si="60"/>
        <v>58.392340177958346</v>
      </c>
    </row>
    <row r="53" spans="1:22">
      <c r="A53" s="53">
        <f t="shared" si="45"/>
        <v>39</v>
      </c>
      <c r="B53" s="54">
        <f t="shared" ca="1" si="0"/>
        <v>5.0045603378118102</v>
      </c>
      <c r="C53" s="55">
        <f t="shared" ca="1" si="1"/>
        <v>0</v>
      </c>
      <c r="D53" s="54">
        <f t="shared" ca="1" si="2"/>
        <v>8.7289801320250722E-3</v>
      </c>
      <c r="E53" s="95">
        <f t="shared" ca="1" si="61"/>
        <v>-5852102004.8361425</v>
      </c>
      <c r="F53" s="56">
        <f t="shared" ca="1" si="48"/>
        <v>-4680717515.1278191</v>
      </c>
      <c r="G53" s="56">
        <f t="shared" ca="1" si="49"/>
        <v>-4680717515.1278191</v>
      </c>
      <c r="H53" s="57" t="str">
        <f t="shared" ca="1" si="46"/>
        <v/>
      </c>
      <c r="I53" s="55"/>
      <c r="J53" s="55"/>
      <c r="L53" s="39">
        <f t="shared" si="50"/>
        <v>16</v>
      </c>
      <c r="M53" s="60">
        <f t="shared" ca="1" si="51"/>
        <v>28.111870137984269</v>
      </c>
      <c r="N53" s="60">
        <f t="shared" ca="1" si="52"/>
        <v>40.152714389843098</v>
      </c>
      <c r="O53" s="60">
        <f t="shared" ca="1" si="53"/>
        <v>20.706272058888512</v>
      </c>
      <c r="P53" s="60">
        <f t="shared" ca="1" si="54"/>
        <v>25.917335098530884</v>
      </c>
      <c r="Q53" s="60">
        <f t="shared" ca="1" si="55"/>
        <v>55.995938369817239</v>
      </c>
      <c r="R53" s="60">
        <f t="shared" ca="1" si="56"/>
        <v>21.923635201212498</v>
      </c>
      <c r="S53" s="60">
        <f t="shared" ca="1" si="57"/>
        <v>56.380814680392923</v>
      </c>
      <c r="T53" s="60">
        <f t="shared" ca="1" si="58"/>
        <v>37.29685176877377</v>
      </c>
      <c r="U53" s="60">
        <f t="shared" ca="1" si="59"/>
        <v>35.301655350541644</v>
      </c>
      <c r="V53" s="60">
        <f t="shared" ca="1" si="60"/>
        <v>46.409472977853056</v>
      </c>
    </row>
    <row r="54" spans="1:22">
      <c r="A54" s="53">
        <f t="shared" si="45"/>
        <v>40</v>
      </c>
      <c r="B54" s="54">
        <f t="shared" ca="1" si="0"/>
        <v>-8.4643795229997618</v>
      </c>
      <c r="C54" s="55">
        <f t="shared" ca="1" si="1"/>
        <v>0</v>
      </c>
      <c r="D54" s="54">
        <f t="shared" ca="1" si="2"/>
        <v>-1.120372784827354E-2</v>
      </c>
      <c r="E54" s="95">
        <f t="shared" ca="1" si="61"/>
        <v>12582309458.356953</v>
      </c>
      <c r="F54" s="56">
        <f t="shared" ca="1" si="48"/>
        <v>7901591943.2291336</v>
      </c>
      <c r="G54" s="56">
        <f t="shared" ca="1" si="49"/>
        <v>7901591943.2291336</v>
      </c>
      <c r="H54" s="57" t="str">
        <f t="shared" ca="1" si="46"/>
        <v/>
      </c>
      <c r="I54" s="55"/>
      <c r="J54" s="55"/>
      <c r="L54" s="39">
        <f t="shared" si="50"/>
        <v>17</v>
      </c>
      <c r="M54" s="60">
        <f t="shared" ca="1" si="51"/>
        <v>31.689766792120835</v>
      </c>
      <c r="N54" s="60">
        <f t="shared" ca="1" si="52"/>
        <v>41.568017986157699</v>
      </c>
      <c r="O54" s="60">
        <f t="shared" ca="1" si="53"/>
        <v>26.351671081243214</v>
      </c>
      <c r="P54" s="60">
        <f t="shared" ca="1" si="54"/>
        <v>24.878977544342618</v>
      </c>
      <c r="Q54" s="60">
        <f t="shared" ca="1" si="55"/>
        <v>37.871119323761611</v>
      </c>
      <c r="R54" s="60">
        <f t="shared" ca="1" si="56"/>
        <v>31.698157347759363</v>
      </c>
      <c r="S54" s="60">
        <f t="shared" ca="1" si="57"/>
        <v>28.233647474986469</v>
      </c>
      <c r="T54" s="60">
        <f t="shared" ca="1" si="58"/>
        <v>19.486646393035052</v>
      </c>
      <c r="U54" s="60">
        <f t="shared" ca="1" si="59"/>
        <v>30.791461465422081</v>
      </c>
      <c r="V54" s="60">
        <f t="shared" ca="1" si="60"/>
        <v>56.606347066643089</v>
      </c>
    </row>
    <row r="55" spans="1:22">
      <c r="A55" s="53">
        <f t="shared" si="45"/>
        <v>41</v>
      </c>
      <c r="B55" s="54">
        <f t="shared" ca="1" si="0"/>
        <v>8.0231358937998909</v>
      </c>
      <c r="C55" s="55">
        <f t="shared" ca="1" si="1"/>
        <v>0</v>
      </c>
      <c r="D55" s="54">
        <f t="shared" ca="1" si="2"/>
        <v>9.1698117728746652E-3</v>
      </c>
      <c r="E55" s="95">
        <f t="shared" ca="1" si="61"/>
        <v>185542345785.35178</v>
      </c>
      <c r="F55" s="56">
        <f t="shared" ca="1" si="48"/>
        <v>193443937728.5809</v>
      </c>
      <c r="G55" s="56">
        <f t="shared" ca="1" si="49"/>
        <v>193443937728.5809</v>
      </c>
      <c r="H55" s="57" t="str">
        <f t="shared" ca="1" si="46"/>
        <v/>
      </c>
      <c r="I55" s="55"/>
      <c r="J55" s="55"/>
      <c r="L55" s="39">
        <f t="shared" si="50"/>
        <v>18</v>
      </c>
      <c r="M55" s="60">
        <f t="shared" ca="1" si="51"/>
        <v>16.926592167038145</v>
      </c>
      <c r="N55" s="60">
        <f t="shared" ca="1" si="52"/>
        <v>29.93235709943675</v>
      </c>
      <c r="O55" s="60">
        <f t="shared" ca="1" si="53"/>
        <v>51.728311202854805</v>
      </c>
      <c r="P55" s="60">
        <f t="shared" ca="1" si="54"/>
        <v>31.822813881075</v>
      </c>
      <c r="Q55" s="60">
        <f t="shared" ca="1" si="55"/>
        <v>47.049014596676166</v>
      </c>
      <c r="R55" s="60">
        <f t="shared" ca="1" si="56"/>
        <v>39.71577930942879</v>
      </c>
      <c r="S55" s="60">
        <f t="shared" ca="1" si="57"/>
        <v>21.657609652677419</v>
      </c>
      <c r="T55" s="60">
        <f t="shared" ca="1" si="58"/>
        <v>46.469000455126633</v>
      </c>
      <c r="U55" s="60">
        <f t="shared" ca="1" si="59"/>
        <v>37.602630299724915</v>
      </c>
      <c r="V55" s="60">
        <f t="shared" ca="1" si="60"/>
        <v>44.696493601970673</v>
      </c>
    </row>
    <row r="56" spans="1:22">
      <c r="A56" s="53">
        <f t="shared" si="45"/>
        <v>42</v>
      </c>
      <c r="B56" s="54">
        <f t="shared" ca="1" si="0"/>
        <v>-5.6422629612364803</v>
      </c>
      <c r="C56" s="55">
        <f t="shared" ca="1" si="1"/>
        <v>1</v>
      </c>
      <c r="D56" s="54">
        <f t="shared" ca="1" si="2"/>
        <v>1.5320575386152741E-2</v>
      </c>
      <c r="E56" s="95">
        <f t="shared" ca="1" si="61"/>
        <v>2354179777886.3979</v>
      </c>
      <c r="F56" s="56">
        <f t="shared" ca="1" si="48"/>
        <v>2547623715614.979</v>
      </c>
      <c r="G56" s="56">
        <f t="shared" ca="1" si="49"/>
        <v>2547623715614.979</v>
      </c>
      <c r="H56" s="57">
        <f t="shared" ca="1" si="46"/>
        <v>2547623715614.979</v>
      </c>
      <c r="I56" s="55"/>
      <c r="J56" s="55"/>
      <c r="L56" s="39">
        <f t="shared" si="50"/>
        <v>19</v>
      </c>
      <c r="M56" s="60">
        <f t="shared" ca="1" si="51"/>
        <v>26.790104002552656</v>
      </c>
      <c r="N56" s="60">
        <f t="shared" ca="1" si="52"/>
        <v>26.179255340208506</v>
      </c>
      <c r="O56" s="60">
        <f t="shared" ca="1" si="53"/>
        <v>69.240883995980056</v>
      </c>
      <c r="P56" s="60">
        <f t="shared" ca="1" si="54"/>
        <v>40.592765826216358</v>
      </c>
      <c r="Q56" s="60">
        <f t="shared" ca="1" si="55"/>
        <v>27.699255477639362</v>
      </c>
      <c r="R56" s="60">
        <f t="shared" ca="1" si="56"/>
        <v>40.044720085067929</v>
      </c>
      <c r="S56" s="60">
        <f t="shared" ca="1" si="57"/>
        <v>17.29217379489095</v>
      </c>
      <c r="T56" s="60">
        <f t="shared" ca="1" si="58"/>
        <v>24.136339156214554</v>
      </c>
      <c r="U56" s="60">
        <f t="shared" ca="1" si="59"/>
        <v>19.850401117760754</v>
      </c>
      <c r="V56" s="60">
        <f t="shared" ca="1" si="60"/>
        <v>22.15269034113064</v>
      </c>
    </row>
    <row r="57" spans="1:22">
      <c r="A57" s="53">
        <f t="shared" si="45"/>
        <v>43</v>
      </c>
      <c r="B57" s="54">
        <f t="shared" ca="1" si="0"/>
        <v>4.0216844295872303</v>
      </c>
      <c r="C57" s="55">
        <f t="shared" ca="1" si="1"/>
        <v>0</v>
      </c>
      <c r="D57" s="54">
        <f t="shared" ca="1" si="2"/>
        <v>4.7508992967435718E-4</v>
      </c>
      <c r="E57" s="95">
        <f t="shared" ca="1" si="61"/>
        <v>-1921034981324.8159</v>
      </c>
      <c r="F57" s="56">
        <f t="shared" ca="1" si="48"/>
        <v>626588734290.16309</v>
      </c>
      <c r="G57" s="56">
        <f t="shared" ca="1" si="49"/>
        <v>626588734290.16309</v>
      </c>
      <c r="H57" s="57" t="str">
        <f t="shared" ca="1" si="46"/>
        <v/>
      </c>
      <c r="I57" s="55"/>
      <c r="J57" s="55"/>
      <c r="L57" s="39">
        <f t="shared" si="50"/>
        <v>20</v>
      </c>
      <c r="M57" s="138">
        <f t="shared" ca="1" si="51"/>
        <v>9.5657558137628573</v>
      </c>
      <c r="N57" s="60">
        <f t="shared" ca="1" si="52"/>
        <v>45.466798274710328</v>
      </c>
      <c r="O57" s="60">
        <f t="shared" ca="1" si="53"/>
        <v>36.162966188807154</v>
      </c>
      <c r="P57" s="60">
        <f t="shared" ca="1" si="54"/>
        <v>37.847446473818515</v>
      </c>
      <c r="Q57" s="60">
        <f t="shared" ca="1" si="55"/>
        <v>18.686766370131313</v>
      </c>
      <c r="R57" s="60">
        <f t="shared" ca="1" si="56"/>
        <v>49.953819396044537</v>
      </c>
      <c r="S57" s="60">
        <f t="shared" ca="1" si="57"/>
        <v>26.119492703257897</v>
      </c>
      <c r="T57" s="60">
        <f t="shared" ca="1" si="58"/>
        <v>21.071056455482683</v>
      </c>
      <c r="U57" s="60">
        <f t="shared" ca="1" si="59"/>
        <v>26.127850709606996</v>
      </c>
      <c r="V57" s="60">
        <f t="shared" ca="1" si="60"/>
        <v>33.225134680838039</v>
      </c>
    </row>
    <row r="58" spans="1:22">
      <c r="A58" s="53">
        <f t="shared" si="45"/>
        <v>44</v>
      </c>
      <c r="B58" s="54">
        <f t="shared" ca="1" si="0"/>
        <v>-17.390282486166321</v>
      </c>
      <c r="C58" s="55">
        <f t="shared" ca="1" si="1"/>
        <v>0</v>
      </c>
      <c r="D58" s="54">
        <f t="shared" ca="1" si="2"/>
        <v>1.6799222478232078E-2</v>
      </c>
      <c r="E58" s="95">
        <f t="shared" ca="1" si="61"/>
        <v>2491264215698.6592</v>
      </c>
      <c r="F58" s="56">
        <f t="shared" ca="1" si="48"/>
        <v>3117852949988.8223</v>
      </c>
      <c r="G58" s="56">
        <f t="shared" ca="1" si="49"/>
        <v>3117852949988.8223</v>
      </c>
      <c r="H58" s="57" t="str">
        <f t="shared" ca="1" si="46"/>
        <v/>
      </c>
      <c r="I58" s="55"/>
      <c r="J58" s="55"/>
      <c r="M58" s="60"/>
      <c r="N58" s="60"/>
      <c r="O58" s="60"/>
      <c r="P58" s="60"/>
      <c r="Q58" s="60"/>
      <c r="R58" s="60"/>
      <c r="S58" s="60"/>
      <c r="T58" s="60"/>
      <c r="U58" s="60"/>
      <c r="V58" s="60"/>
    </row>
    <row r="59" spans="1:22">
      <c r="A59" s="53">
        <f t="shared" si="45"/>
        <v>45</v>
      </c>
      <c r="B59" s="54">
        <f t="shared" ca="1" si="0"/>
        <v>14.778994146172925</v>
      </c>
      <c r="C59" s="55">
        <f t="shared" ca="1" si="1"/>
        <v>0</v>
      </c>
      <c r="D59" s="54">
        <f t="shared" ca="1" si="2"/>
        <v>-6.3346975707213619E-3</v>
      </c>
      <c r="E59" s="95">
        <f t="shared" ca="1" si="61"/>
        <v>-24823546375707.707</v>
      </c>
      <c r="F59" s="56">
        <f t="shared" ca="1" si="48"/>
        <v>-21705693425718.883</v>
      </c>
      <c r="G59" s="56">
        <f t="shared" ca="1" si="49"/>
        <v>-21705693425718.883</v>
      </c>
      <c r="H59" s="57" t="str">
        <f t="shared" ca="1" si="46"/>
        <v/>
      </c>
      <c r="I59" s="55"/>
      <c r="J59" s="55"/>
      <c r="M59" s="60"/>
      <c r="N59" s="60"/>
      <c r="O59" s="60"/>
      <c r="P59" s="60"/>
      <c r="Q59" s="60"/>
      <c r="R59" s="60"/>
      <c r="S59" s="60"/>
      <c r="T59" s="60"/>
      <c r="U59" s="60"/>
      <c r="V59" s="60"/>
    </row>
    <row r="60" spans="1:22">
      <c r="A60" s="53">
        <f t="shared" si="45"/>
        <v>46</v>
      </c>
      <c r="B60" s="54">
        <f t="shared" ca="1" si="0"/>
        <v>-14.882957279874688</v>
      </c>
      <c r="C60" s="55">
        <f t="shared" ca="1" si="1"/>
        <v>0</v>
      </c>
      <c r="D60" s="54">
        <f t="shared" ca="1" si="2"/>
        <v>8.6039582467325945E-3</v>
      </c>
      <c r="E60" s="95">
        <f t="shared" ca="1" si="61"/>
        <v>-54841977569933.117</v>
      </c>
      <c r="F60" s="56">
        <f t="shared" ca="1" si="48"/>
        <v>-76547670995652</v>
      </c>
      <c r="G60" s="56">
        <f t="shared" ca="1" si="49"/>
        <v>-76547670995652</v>
      </c>
      <c r="H60" s="57" t="str">
        <f t="shared" ca="1" si="46"/>
        <v/>
      </c>
      <c r="I60" s="55"/>
      <c r="J60" s="55"/>
    </row>
    <row r="61" spans="1:22">
      <c r="A61" s="53">
        <f t="shared" si="45"/>
        <v>47</v>
      </c>
      <c r="B61" s="54">
        <f t="shared" ca="1" si="0"/>
        <v>-1.6500592411312089</v>
      </c>
      <c r="C61" s="55">
        <f t="shared" ca="1" si="1"/>
        <v>0</v>
      </c>
      <c r="D61" s="54">
        <f t="shared" ca="1" si="2"/>
        <v>-9.8516659122411376E-3</v>
      </c>
      <c r="E61" s="95">
        <f t="shared" ca="1" si="61"/>
        <v>-362552812060431.06</v>
      </c>
      <c r="F61" s="56">
        <f t="shared" ca="1" si="48"/>
        <v>-439100483056083.06</v>
      </c>
      <c r="G61" s="56">
        <f t="shared" ca="1" si="49"/>
        <v>-439100483056083.06</v>
      </c>
      <c r="H61" s="57" t="str">
        <f t="shared" ca="1" si="46"/>
        <v/>
      </c>
      <c r="I61" s="55"/>
      <c r="J61" s="55"/>
    </row>
    <row r="62" spans="1:22">
      <c r="A62" s="53">
        <f t="shared" si="45"/>
        <v>48</v>
      </c>
      <c r="B62" s="54">
        <f t="shared" ca="1" si="0"/>
        <v>11.066948365928919</v>
      </c>
      <c r="C62" s="55">
        <f t="shared" ca="1" si="1"/>
        <v>0</v>
      </c>
      <c r="D62" s="54">
        <f t="shared" ca="1" si="2"/>
        <v>-1.3457458613648682E-2</v>
      </c>
      <c r="E62" s="95">
        <f t="shared" ca="1" si="61"/>
        <v>1071420393080854.1</v>
      </c>
      <c r="F62" s="56">
        <f t="shared" ca="1" si="48"/>
        <v>632319910024771</v>
      </c>
      <c r="G62" s="56">
        <f t="shared" ca="1" si="49"/>
        <v>632319910024771</v>
      </c>
      <c r="H62" s="57" t="str">
        <f t="shared" ca="1" si="46"/>
        <v/>
      </c>
      <c r="I62" s="55"/>
      <c r="J62" s="55"/>
    </row>
    <row r="63" spans="1:22">
      <c r="A63" s="53">
        <f t="shared" si="45"/>
        <v>49</v>
      </c>
      <c r="B63" s="54">
        <f t="shared" ca="1" si="0"/>
        <v>1.5271214182542721</v>
      </c>
      <c r="C63" s="55">
        <f t="shared" ca="1" si="1"/>
        <v>0</v>
      </c>
      <c r="D63" s="54">
        <f t="shared" ca="1" si="2"/>
        <v>-3.6201249123620372E-3</v>
      </c>
      <c r="E63" s="95">
        <f t="shared" ca="1" si="61"/>
        <v>5361988004335212</v>
      </c>
      <c r="F63" s="56">
        <f t="shared" ca="1" si="48"/>
        <v>5994307914359983</v>
      </c>
      <c r="G63" s="56">
        <f t="shared" ca="1" si="49"/>
        <v>5994307914359983</v>
      </c>
      <c r="H63" s="57" t="str">
        <f t="shared" ca="1" si="46"/>
        <v/>
      </c>
      <c r="I63" s="55"/>
      <c r="J63" s="55"/>
    </row>
    <row r="64" spans="1:22">
      <c r="A64" s="53">
        <f t="shared" si="45"/>
        <v>50</v>
      </c>
      <c r="B64" s="54">
        <f t="shared" ca="1" si="0"/>
        <v>-3.4054660684394107</v>
      </c>
      <c r="C64" s="55">
        <f t="shared" ca="1" si="1"/>
        <v>0</v>
      </c>
      <c r="D64" s="54">
        <f t="shared" ca="1" si="2"/>
        <v>-8.7856958238958765E-3</v>
      </c>
      <c r="E64" s="95">
        <f t="shared" ca="1" si="61"/>
        <v>-4.5385901466465304E+16</v>
      </c>
      <c r="F64" s="56">
        <f t="shared" ca="1" si="48"/>
        <v>-3.939159355210532E+16</v>
      </c>
      <c r="G64" s="56">
        <f t="shared" ca="1" si="49"/>
        <v>-3.939159355210532E+16</v>
      </c>
      <c r="H64" s="57" t="str">
        <f t="shared" ca="1" si="46"/>
        <v/>
      </c>
      <c r="I64" s="55"/>
      <c r="J64" s="55"/>
    </row>
    <row r="65" spans="1:10">
      <c r="A65" s="53">
        <f t="shared" si="45"/>
        <v>51</v>
      </c>
      <c r="B65" s="54">
        <f t="shared" ca="1" si="0"/>
        <v>1.2457319875141839</v>
      </c>
      <c r="C65" s="55">
        <f t="shared" ca="1" si="1"/>
        <v>0</v>
      </c>
      <c r="D65" s="54">
        <f t="shared" ca="1" si="2"/>
        <v>-2.2567009879547593E-2</v>
      </c>
      <c r="E65" s="95">
        <f t="shared" ca="1" si="61"/>
        <v>-3.6413725512806291E+17</v>
      </c>
      <c r="F65" s="56">
        <f t="shared" ca="1" si="48"/>
        <v>-4.0352884868016826E+17</v>
      </c>
      <c r="G65" s="56">
        <f t="shared" ca="1" si="49"/>
        <v>-4.0352884868016826E+17</v>
      </c>
      <c r="H65" s="57" t="str">
        <f t="shared" ca="1" si="46"/>
        <v/>
      </c>
      <c r="I65" s="55"/>
      <c r="J65" s="55"/>
    </row>
    <row r="66" spans="1:10">
      <c r="A66" s="53">
        <f t="shared" si="45"/>
        <v>52</v>
      </c>
      <c r="B66" s="54">
        <f t="shared" ca="1" si="0"/>
        <v>9.2050046164398953</v>
      </c>
      <c r="C66" s="55">
        <f t="shared" ca="1" si="1"/>
        <v>0</v>
      </c>
      <c r="D66" s="54">
        <f t="shared" ca="1" si="2"/>
        <v>7.375402814097114E-3</v>
      </c>
      <c r="E66" s="95">
        <f t="shared" ca="1" si="61"/>
        <v>2.0545581474153879E+18</v>
      </c>
      <c r="F66" s="56">
        <f t="shared" ca="1" si="48"/>
        <v>1.6510292987352197E+18</v>
      </c>
      <c r="G66" s="56">
        <f t="shared" ca="1" si="49"/>
        <v>1.6510292987352197E+18</v>
      </c>
      <c r="H66" s="57" t="str">
        <f t="shared" ca="1" si="46"/>
        <v/>
      </c>
      <c r="I66" s="55"/>
      <c r="J66" s="55"/>
    </row>
    <row r="67" spans="1:10">
      <c r="A67" s="53">
        <f t="shared" si="45"/>
        <v>53</v>
      </c>
      <c r="B67" s="54">
        <f t="shared" ca="1" si="0"/>
        <v>-19.78311944593101</v>
      </c>
      <c r="C67" s="55">
        <f t="shared" ca="1" si="1"/>
        <v>0</v>
      </c>
      <c r="D67" s="54">
        <f t="shared" ca="1" si="2"/>
        <v>-1.7992916628346924E-2</v>
      </c>
      <c r="E67" s="95">
        <f t="shared" ca="1" si="61"/>
        <v>8.2627845111420508E+18</v>
      </c>
      <c r="F67" s="56">
        <f t="shared" ca="1" si="48"/>
        <v>9.9138138098772705E+18</v>
      </c>
      <c r="G67" s="56">
        <f t="shared" ca="1" si="49"/>
        <v>9.9138138098772705E+18</v>
      </c>
      <c r="H67" s="57" t="str">
        <f t="shared" ca="1" si="46"/>
        <v/>
      </c>
      <c r="I67" s="55"/>
      <c r="J67" s="55"/>
    </row>
    <row r="68" spans="1:10">
      <c r="A68" s="53">
        <f t="shared" si="45"/>
        <v>54</v>
      </c>
      <c r="B68" s="54">
        <f t="shared" ca="1" si="0"/>
        <v>-1.9871575142377027</v>
      </c>
      <c r="C68" s="55">
        <f t="shared" ca="1" si="1"/>
        <v>0</v>
      </c>
      <c r="D68" s="54">
        <f t="shared" ca="1" si="2"/>
        <v>4.596280409775058E-3</v>
      </c>
      <c r="E68" s="95">
        <f t="shared" ca="1" si="61"/>
        <v>-1.4369215677107995E+20</v>
      </c>
      <c r="F68" s="56">
        <f t="shared" ca="1" si="48"/>
        <v>-1.3377834296120268E+20</v>
      </c>
      <c r="G68" s="56">
        <f t="shared" ca="1" si="49"/>
        <v>-1.3377834296120268E+20</v>
      </c>
      <c r="H68" s="57" t="str">
        <f t="shared" ca="1" si="46"/>
        <v/>
      </c>
      <c r="I68" s="55"/>
      <c r="J68" s="55"/>
    </row>
    <row r="69" spans="1:10">
      <c r="A69" s="53">
        <f t="shared" si="45"/>
        <v>55</v>
      </c>
      <c r="B69" s="54">
        <f t="shared" ca="1" si="0"/>
        <v>-10.627525884771778</v>
      </c>
      <c r="C69" s="55">
        <f t="shared" ca="1" si="1"/>
        <v>0</v>
      </c>
      <c r="D69" s="54">
        <f t="shared" ca="1" si="2"/>
        <v>-4.2907724461143529E-3</v>
      </c>
      <c r="E69" s="95">
        <f t="shared" ca="1" si="61"/>
        <v>-2.1236255437707527E+21</v>
      </c>
      <c r="F69" s="56">
        <f t="shared" ca="1" si="48"/>
        <v>-2.2574038867319553E+21</v>
      </c>
      <c r="G69" s="56">
        <f t="shared" ca="1" si="49"/>
        <v>-2.2574038867319553E+21</v>
      </c>
      <c r="H69" s="57" t="str">
        <f t="shared" ca="1" si="46"/>
        <v/>
      </c>
      <c r="I69" s="55"/>
      <c r="J69" s="55"/>
    </row>
    <row r="70" spans="1:10">
      <c r="A70" s="53">
        <f t="shared" si="45"/>
        <v>56</v>
      </c>
      <c r="B70" s="54">
        <f t="shared" ca="1" si="0"/>
        <v>-8.0911099344433524</v>
      </c>
      <c r="C70" s="55">
        <f t="shared" ca="1" si="1"/>
        <v>0</v>
      </c>
      <c r="D70" s="54">
        <f t="shared" ca="1" si="2"/>
        <v>-1.5594019180263317E-2</v>
      </c>
      <c r="E70" s="95">
        <f t="shared" ca="1" si="61"/>
        <v>3.1605828246390765E+22</v>
      </c>
      <c r="F70" s="56">
        <f t="shared" ca="1" si="48"/>
        <v>2.9348424359658811E+22</v>
      </c>
      <c r="G70" s="56">
        <f t="shared" ca="1" si="49"/>
        <v>2.9348424359658811E+22</v>
      </c>
      <c r="H70" s="57" t="str">
        <f t="shared" ca="1" si="46"/>
        <v/>
      </c>
      <c r="I70" s="55"/>
      <c r="J70" s="55"/>
    </row>
    <row r="71" spans="1:10">
      <c r="A71" s="53">
        <f t="shared" si="45"/>
        <v>57</v>
      </c>
      <c r="B71" s="54">
        <f t="shared" ca="1" si="0"/>
        <v>-4.2704980627209874</v>
      </c>
      <c r="C71" s="55">
        <f t="shared" ca="1" si="1"/>
        <v>0</v>
      </c>
      <c r="D71" s="54">
        <f t="shared" ca="1" si="2"/>
        <v>-1.6611942004753113E-4</v>
      </c>
      <c r="E71" s="95">
        <f t="shared" ca="1" si="61"/>
        <v>-5.2151488971562876E+22</v>
      </c>
      <c r="F71" s="56">
        <f t="shared" ca="1" si="48"/>
        <v>-2.2803064611904065E+22</v>
      </c>
      <c r="G71" s="56">
        <f t="shared" ca="1" si="49"/>
        <v>-2.2803064611904065E+22</v>
      </c>
      <c r="H71" s="57" t="str">
        <f t="shared" ca="1" si="46"/>
        <v/>
      </c>
      <c r="I71" s="55"/>
      <c r="J71" s="55"/>
    </row>
    <row r="72" spans="1:10">
      <c r="A72" s="53">
        <f t="shared" si="45"/>
        <v>58</v>
      </c>
      <c r="B72" s="54">
        <f t="shared" ca="1" si="0"/>
        <v>2.3799238320907055</v>
      </c>
      <c r="C72" s="55">
        <f t="shared" ca="1" si="1"/>
        <v>0</v>
      </c>
      <c r="D72" s="54">
        <f t="shared" ca="1" si="2"/>
        <v>-1.8553133905688801E-3</v>
      </c>
      <c r="E72" s="95">
        <f t="shared" ca="1" si="61"/>
        <v>-5.771578356545978E+23</v>
      </c>
      <c r="F72" s="56">
        <f t="shared" ca="1" si="48"/>
        <v>-5.9996090026650189E+23</v>
      </c>
      <c r="G72" s="56">
        <f t="shared" ca="1" si="49"/>
        <v>-5.9996090026650189E+23</v>
      </c>
      <c r="H72" s="57" t="str">
        <f t="shared" ca="1" si="46"/>
        <v/>
      </c>
      <c r="I72" s="55"/>
      <c r="J72" s="55"/>
    </row>
    <row r="73" spans="1:10">
      <c r="A73" s="53">
        <f t="shared" si="45"/>
        <v>59</v>
      </c>
      <c r="B73" s="54">
        <f t="shared" ca="1" si="0"/>
        <v>-2.2540999767800156</v>
      </c>
      <c r="C73" s="55">
        <f t="shared" ca="1" si="1"/>
        <v>0</v>
      </c>
      <c r="D73" s="54">
        <f t="shared" ca="1" si="2"/>
        <v>6.0794387475623405E-3</v>
      </c>
      <c r="E73" s="95">
        <f t="shared" ca="1" si="61"/>
        <v>-8.8139009254141542E+23</v>
      </c>
      <c r="F73" s="56">
        <f t="shared" ca="1" si="48"/>
        <v>-1.4813509928079173E+24</v>
      </c>
      <c r="G73" s="56">
        <f t="shared" ca="1" si="49"/>
        <v>-1.4813509928079173E+24</v>
      </c>
      <c r="H73" s="57" t="str">
        <f t="shared" ca="1" si="46"/>
        <v/>
      </c>
      <c r="I73" s="55"/>
      <c r="J73" s="55"/>
    </row>
    <row r="74" spans="1:10">
      <c r="A74" s="53">
        <f t="shared" si="45"/>
        <v>60</v>
      </c>
      <c r="B74" s="54">
        <f t="shared" ca="1" si="0"/>
        <v>0.24143401310371476</v>
      </c>
      <c r="C74" s="55">
        <f t="shared" ca="1" si="1"/>
        <v>0</v>
      </c>
      <c r="D74" s="54">
        <f t="shared" ca="1" si="2"/>
        <v>-9.9813118177675252E-3</v>
      </c>
      <c r="E74" s="95">
        <f t="shared" ref="E74:E93" ca="1" si="62">alpha+B74+C74*D74+B64*E73</f>
        <v>3.0015440532084624E+24</v>
      </c>
      <c r="F74" s="56">
        <f t="shared" ca="1" si="48"/>
        <v>1.520193060400545E+24</v>
      </c>
      <c r="G74" s="56">
        <f t="shared" ca="1" si="49"/>
        <v>1.520193060400545E+24</v>
      </c>
      <c r="H74" s="57" t="str">
        <f t="shared" ca="1" si="46"/>
        <v/>
      </c>
      <c r="I74" s="55"/>
      <c r="J74" s="55"/>
    </row>
    <row r="75" spans="1:10">
      <c r="A75" s="53">
        <f t="shared" si="45"/>
        <v>61</v>
      </c>
      <c r="B75" s="54">
        <f t="shared" ca="1" si="0"/>
        <v>0.28336539415082845</v>
      </c>
      <c r="C75" s="55">
        <f t="shared" ca="1" si="1"/>
        <v>0</v>
      </c>
      <c r="D75" s="54">
        <f t="shared" ca="1" si="2"/>
        <v>-1.2904626514408012E-2</v>
      </c>
      <c r="E75" s="95">
        <f t="shared" ca="1" si="62"/>
        <v>3.7391194390147573E+24</v>
      </c>
      <c r="F75" s="56">
        <f t="shared" ca="1" si="48"/>
        <v>5.2593124994153026E+24</v>
      </c>
      <c r="G75" s="56">
        <f t="shared" ca="1" si="49"/>
        <v>5.2593124994153026E+24</v>
      </c>
      <c r="H75" s="57" t="str">
        <f t="shared" ca="1" si="46"/>
        <v/>
      </c>
      <c r="I75" s="55"/>
      <c r="J75" s="55"/>
    </row>
    <row r="76" spans="1:10">
      <c r="A76" s="53">
        <f t="shared" si="45"/>
        <v>62</v>
      </c>
      <c r="B76" s="54">
        <f t="shared" ca="1" si="0"/>
        <v>4.2083715534931461</v>
      </c>
      <c r="C76" s="55">
        <f t="shared" ca="1" si="1"/>
        <v>0</v>
      </c>
      <c r="D76" s="54">
        <f t="shared" ca="1" si="2"/>
        <v>-1.3961873104177864E-2</v>
      </c>
      <c r="E76" s="95">
        <f t="shared" ca="1" si="62"/>
        <v>3.4418611697550993E+25</v>
      </c>
      <c r="F76" s="56">
        <f t="shared" ca="1" si="48"/>
        <v>3.9677924196966292E+25</v>
      </c>
      <c r="G76" s="56">
        <f t="shared" ca="1" si="49"/>
        <v>3.9677924196966292E+25</v>
      </c>
      <c r="H76" s="57" t="str">
        <f t="shared" ca="1" si="46"/>
        <v/>
      </c>
      <c r="I76" s="55"/>
      <c r="J76" s="55"/>
    </row>
    <row r="77" spans="1:10">
      <c r="A77" s="53">
        <f t="shared" si="45"/>
        <v>63</v>
      </c>
      <c r="B77" s="54">
        <f t="shared" ca="1" si="0"/>
        <v>1.8186312716403688</v>
      </c>
      <c r="C77" s="55">
        <f t="shared" ca="1" si="1"/>
        <v>0</v>
      </c>
      <c r="D77" s="54">
        <f t="shared" ca="1" si="2"/>
        <v>9.1219264147180523E-3</v>
      </c>
      <c r="E77" s="95">
        <f t="shared" ca="1" si="62"/>
        <v>-6.8090750637576954E+26</v>
      </c>
      <c r="F77" s="56">
        <f t="shared" ca="1" si="48"/>
        <v>-6.412295821788032E+26</v>
      </c>
      <c r="G77" s="56">
        <f t="shared" ca="1" si="49"/>
        <v>-6.412295821788032E+26</v>
      </c>
      <c r="H77" s="57" t="str">
        <f t="shared" ca="1" si="46"/>
        <v/>
      </c>
      <c r="I77" s="55"/>
      <c r="J77" s="55"/>
    </row>
    <row r="78" spans="1:10">
      <c r="A78" s="53">
        <f t="shared" si="45"/>
        <v>64</v>
      </c>
      <c r="B78" s="54">
        <f t="shared" ca="1" si="0"/>
        <v>-0.23179375819888368</v>
      </c>
      <c r="C78" s="55">
        <f t="shared" ca="1" si="1"/>
        <v>0</v>
      </c>
      <c r="D78" s="54">
        <f t="shared" ca="1" si="2"/>
        <v>-1.6820028452102335E-2</v>
      </c>
      <c r="E78" s="95">
        <f t="shared" ca="1" si="62"/>
        <v>1.353070467795467E+27</v>
      </c>
      <c r="F78" s="56">
        <f t="shared" ca="1" si="48"/>
        <v>7.1184088561666378E+26</v>
      </c>
      <c r="G78" s="56">
        <f t="shared" ca="1" si="49"/>
        <v>7.1184088561666378E+26</v>
      </c>
      <c r="H78" s="57" t="str">
        <f t="shared" ca="1" si="46"/>
        <v/>
      </c>
      <c r="I78" s="55"/>
      <c r="J78" s="55"/>
    </row>
    <row r="79" spans="1:10">
      <c r="A79" s="53">
        <f t="shared" si="45"/>
        <v>65</v>
      </c>
      <c r="B79" s="54">
        <f t="shared" ref="B79:B142" ca="1" si="63">sigma*NORMSINV(RAND())</f>
        <v>-5.3862762501995567</v>
      </c>
      <c r="C79" s="55">
        <f t="shared" ref="C79:C142" ca="1" si="64">IF(RAND()&lt;jumpProb,1,0)</f>
        <v>0</v>
      </c>
      <c r="D79" s="54">
        <f t="shared" ref="D79:D142" ca="1" si="65">jumpMean+jumpStdDev*NORMSINV(RAND())</f>
        <v>6.5144503441087352E-4</v>
      </c>
      <c r="E79" s="95">
        <f t="shared" ca="1" si="62"/>
        <v>-1.4379791420416585E+28</v>
      </c>
      <c r="F79" s="56">
        <f t="shared" ca="1" si="48"/>
        <v>-1.3667950534799922E+28</v>
      </c>
      <c r="G79" s="56">
        <f t="shared" ref="G79:G142" ca="1" si="66">F79</f>
        <v>-1.3667950534799922E+28</v>
      </c>
      <c r="H79" s="57" t="str">
        <f t="shared" ca="1" si="46"/>
        <v/>
      </c>
      <c r="I79" s="55"/>
      <c r="J79" s="55"/>
    </row>
    <row r="80" spans="1:10">
      <c r="A80" s="53">
        <f t="shared" ref="A80:A143" si="67">A79+1</f>
        <v>66</v>
      </c>
      <c r="B80" s="54">
        <f t="shared" ca="1" si="63"/>
        <v>18.238671329403147</v>
      </c>
      <c r="C80" s="55">
        <f t="shared" ca="1" si="64"/>
        <v>0</v>
      </c>
      <c r="D80" s="54">
        <f t="shared" ca="1" si="65"/>
        <v>-2.0849395893310127E-2</v>
      </c>
      <c r="E80" s="95">
        <f t="shared" ca="1" si="62"/>
        <v>1.1634847321695591E+29</v>
      </c>
      <c r="F80" s="56">
        <f t="shared" ca="1" si="48"/>
        <v>1.0268052268215599E+29</v>
      </c>
      <c r="G80" s="56">
        <f t="shared" ca="1" si="66"/>
        <v>1.0268052268215599E+29</v>
      </c>
      <c r="H80" s="57" t="str">
        <f t="shared" ref="H80:H143" ca="1" si="68">IF(C80=1,G80,"")</f>
        <v/>
      </c>
      <c r="I80" s="55"/>
      <c r="J80" s="55"/>
    </row>
    <row r="81" spans="1:10">
      <c r="A81" s="53">
        <f t="shared" si="67"/>
        <v>67</v>
      </c>
      <c r="B81" s="54">
        <f t="shared" ca="1" si="63"/>
        <v>9.7801001652671005</v>
      </c>
      <c r="C81" s="55">
        <f t="shared" ca="1" si="64"/>
        <v>0</v>
      </c>
      <c r="D81" s="54">
        <f t="shared" ca="1" si="65"/>
        <v>8.3249759599607707E-3</v>
      </c>
      <c r="E81" s="95">
        <f t="shared" ca="1" si="62"/>
        <v>-4.9686592947355491E+29</v>
      </c>
      <c r="F81" s="56">
        <f t="shared" ref="F81:F144" ca="1" si="69">F80+E81</f>
        <v>-3.941854067913989E+29</v>
      </c>
      <c r="G81" s="56">
        <f t="shared" ca="1" si="66"/>
        <v>-3.941854067913989E+29</v>
      </c>
      <c r="H81" s="57" t="str">
        <f t="shared" ca="1" si="68"/>
        <v/>
      </c>
      <c r="I81" s="55"/>
      <c r="J81" s="55"/>
    </row>
    <row r="82" spans="1:10">
      <c r="A82" s="53">
        <f t="shared" si="67"/>
        <v>68</v>
      </c>
      <c r="B82" s="54">
        <f t="shared" ca="1" si="63"/>
        <v>-0.18383122380702696</v>
      </c>
      <c r="C82" s="55">
        <f t="shared" ca="1" si="64"/>
        <v>0</v>
      </c>
      <c r="D82" s="54">
        <f t="shared" ca="1" si="65"/>
        <v>-1.1534072593740805E-3</v>
      </c>
      <c r="E82" s="95">
        <f t="shared" ca="1" si="62"/>
        <v>-1.1825030669080129E+30</v>
      </c>
      <c r="F82" s="56">
        <f t="shared" ca="1" si="69"/>
        <v>-1.5766884736994118E+30</v>
      </c>
      <c r="G82" s="56">
        <f t="shared" ca="1" si="66"/>
        <v>-1.5766884736994118E+30</v>
      </c>
      <c r="H82" s="57" t="str">
        <f t="shared" ca="1" si="68"/>
        <v/>
      </c>
      <c r="I82" s="55"/>
      <c r="J82" s="55"/>
    </row>
    <row r="83" spans="1:10">
      <c r="A83" s="53">
        <f t="shared" si="67"/>
        <v>69</v>
      </c>
      <c r="B83" s="54">
        <f t="shared" ca="1" si="63"/>
        <v>-11.379091783719764</v>
      </c>
      <c r="C83" s="55">
        <f t="shared" ca="1" si="64"/>
        <v>0</v>
      </c>
      <c r="D83" s="54">
        <f t="shared" ca="1" si="65"/>
        <v>-1.7593317987480434E-4</v>
      </c>
      <c r="E83" s="95">
        <f t="shared" ca="1" si="62"/>
        <v>2.665480135659649E+30</v>
      </c>
      <c r="F83" s="56">
        <f t="shared" ca="1" si="69"/>
        <v>1.0887916619602373E+30</v>
      </c>
      <c r="G83" s="56">
        <f t="shared" ca="1" si="66"/>
        <v>1.0887916619602373E+30</v>
      </c>
      <c r="H83" s="57" t="str">
        <f t="shared" ca="1" si="68"/>
        <v/>
      </c>
      <c r="I83" s="55"/>
      <c r="J83" s="55"/>
    </row>
    <row r="84" spans="1:10">
      <c r="A84" s="53">
        <f t="shared" si="67"/>
        <v>70</v>
      </c>
      <c r="B84" s="54">
        <f t="shared" ca="1" si="63"/>
        <v>-4.6678536142433433</v>
      </c>
      <c r="C84" s="55">
        <f t="shared" ca="1" si="64"/>
        <v>0</v>
      </c>
      <c r="D84" s="54">
        <f t="shared" ca="1" si="65"/>
        <v>3.6542936295115226E-3</v>
      </c>
      <c r="E84" s="95">
        <f t="shared" ca="1" si="62"/>
        <v>6.4353756600054306E+29</v>
      </c>
      <c r="F84" s="56">
        <f t="shared" ca="1" si="69"/>
        <v>1.7323292279607805E+30</v>
      </c>
      <c r="G84" s="56">
        <f t="shared" ca="1" si="66"/>
        <v>1.7323292279607805E+30</v>
      </c>
      <c r="H84" s="57" t="str">
        <f t="shared" ca="1" si="68"/>
        <v/>
      </c>
      <c r="I84" s="55"/>
      <c r="J84" s="55"/>
    </row>
    <row r="85" spans="1:10">
      <c r="A85" s="53">
        <f t="shared" si="67"/>
        <v>71</v>
      </c>
      <c r="B85" s="54">
        <f t="shared" ca="1" si="63"/>
        <v>-6.4853948967808721</v>
      </c>
      <c r="C85" s="55">
        <f t="shared" ca="1" si="64"/>
        <v>0</v>
      </c>
      <c r="D85" s="54">
        <f t="shared" ca="1" si="65"/>
        <v>-8.4908082686578588E-3</v>
      </c>
      <c r="E85" s="95">
        <f t="shared" ca="1" si="62"/>
        <v>1.8235627604060868E+29</v>
      </c>
      <c r="F85" s="56">
        <f t="shared" ca="1" si="69"/>
        <v>1.914685504001389E+30</v>
      </c>
      <c r="G85" s="56">
        <f t="shared" ca="1" si="66"/>
        <v>1.914685504001389E+30</v>
      </c>
      <c r="H85" s="57" t="str">
        <f t="shared" ca="1" si="68"/>
        <v/>
      </c>
      <c r="I85" s="55"/>
      <c r="J85" s="55"/>
    </row>
    <row r="86" spans="1:10">
      <c r="A86" s="53">
        <f t="shared" si="67"/>
        <v>72</v>
      </c>
      <c r="B86" s="54">
        <f t="shared" ca="1" si="63"/>
        <v>-0.83291462879097955</v>
      </c>
      <c r="C86" s="55">
        <f t="shared" ca="1" si="64"/>
        <v>0</v>
      </c>
      <c r="D86" s="54">
        <f t="shared" ca="1" si="65"/>
        <v>-5.5837744611086527E-3</v>
      </c>
      <c r="E86" s="95">
        <f t="shared" ca="1" si="62"/>
        <v>7.6742296469024127E+29</v>
      </c>
      <c r="F86" s="56">
        <f t="shared" ca="1" si="69"/>
        <v>2.6821084686916303E+30</v>
      </c>
      <c r="G86" s="56">
        <f t="shared" ca="1" si="66"/>
        <v>2.6821084686916303E+30</v>
      </c>
      <c r="H86" s="57" t="str">
        <f t="shared" ca="1" si="68"/>
        <v/>
      </c>
      <c r="I86" s="55"/>
      <c r="J86" s="55"/>
    </row>
    <row r="87" spans="1:10">
      <c r="A87" s="53">
        <f t="shared" si="67"/>
        <v>73</v>
      </c>
      <c r="B87" s="54">
        <f t="shared" ca="1" si="63"/>
        <v>-10.626090931407489</v>
      </c>
      <c r="C87" s="55">
        <f t="shared" ca="1" si="64"/>
        <v>0</v>
      </c>
      <c r="D87" s="54">
        <f t="shared" ca="1" si="65"/>
        <v>8.858632687196567E-3</v>
      </c>
      <c r="E87" s="95">
        <f t="shared" ca="1" si="62"/>
        <v>1.3956594021606352E+30</v>
      </c>
      <c r="F87" s="56">
        <f t="shared" ca="1" si="69"/>
        <v>4.0777678708522655E+30</v>
      </c>
      <c r="G87" s="56">
        <f t="shared" ca="1" si="66"/>
        <v>4.0777678708522655E+30</v>
      </c>
      <c r="H87" s="57" t="str">
        <f t="shared" ca="1" si="68"/>
        <v/>
      </c>
      <c r="I87" s="55"/>
      <c r="J87" s="55"/>
    </row>
    <row r="88" spans="1:10">
      <c r="A88" s="53">
        <f t="shared" si="67"/>
        <v>74</v>
      </c>
      <c r="B88" s="54">
        <f t="shared" ca="1" si="63"/>
        <v>2.2327010448760545</v>
      </c>
      <c r="C88" s="55">
        <f t="shared" ca="1" si="64"/>
        <v>0</v>
      </c>
      <c r="D88" s="54">
        <f t="shared" ca="1" si="65"/>
        <v>3.447012552311749E-3</v>
      </c>
      <c r="E88" s="95">
        <f t="shared" ca="1" si="62"/>
        <v>-3.235051379924208E+29</v>
      </c>
      <c r="F88" s="56">
        <f t="shared" ca="1" si="69"/>
        <v>3.7542627328598444E+30</v>
      </c>
      <c r="G88" s="56">
        <f t="shared" ca="1" si="66"/>
        <v>3.7542627328598444E+30</v>
      </c>
      <c r="H88" s="57" t="str">
        <f t="shared" ca="1" si="68"/>
        <v/>
      </c>
      <c r="I88" s="55"/>
      <c r="J88" s="55"/>
    </row>
    <row r="89" spans="1:10">
      <c r="A89" s="53">
        <f t="shared" si="67"/>
        <v>75</v>
      </c>
      <c r="B89" s="54">
        <f t="shared" ca="1" si="63"/>
        <v>5.5389441943359161</v>
      </c>
      <c r="C89" s="55">
        <f t="shared" ca="1" si="64"/>
        <v>0</v>
      </c>
      <c r="D89" s="54">
        <f t="shared" ca="1" si="65"/>
        <v>-9.4643924395339443E-3</v>
      </c>
      <c r="E89" s="95">
        <f t="shared" ca="1" si="62"/>
        <v>1.7424880415861063E+30</v>
      </c>
      <c r="F89" s="56">
        <f t="shared" ca="1" si="69"/>
        <v>5.4967507744459507E+30</v>
      </c>
      <c r="G89" s="56">
        <f t="shared" ca="1" si="66"/>
        <v>5.4967507744459507E+30</v>
      </c>
      <c r="H89" s="57" t="str">
        <f t="shared" ca="1" si="68"/>
        <v/>
      </c>
      <c r="I89" s="55"/>
      <c r="J89" s="55"/>
    </row>
    <row r="90" spans="1:10">
      <c r="A90" s="53">
        <f t="shared" si="67"/>
        <v>76</v>
      </c>
      <c r="B90" s="54">
        <f t="shared" ca="1" si="63"/>
        <v>6.5052734675962673</v>
      </c>
      <c r="C90" s="55">
        <f t="shared" ca="1" si="64"/>
        <v>0</v>
      </c>
      <c r="D90" s="54">
        <f t="shared" ca="1" si="65"/>
        <v>-4.0042752545952118E-4</v>
      </c>
      <c r="E90" s="95">
        <f t="shared" ca="1" si="62"/>
        <v>3.1780666685904357E+31</v>
      </c>
      <c r="F90" s="56">
        <f t="shared" ca="1" si="69"/>
        <v>3.7277417460350308E+31</v>
      </c>
      <c r="G90" s="56">
        <f t="shared" ca="1" si="66"/>
        <v>3.7277417460350308E+31</v>
      </c>
      <c r="H90" s="57" t="str">
        <f t="shared" ca="1" si="68"/>
        <v/>
      </c>
      <c r="I90" s="55"/>
      <c r="J90" s="55"/>
    </row>
    <row r="91" spans="1:10">
      <c r="A91" s="53">
        <f t="shared" si="67"/>
        <v>77</v>
      </c>
      <c r="B91" s="54">
        <f t="shared" ca="1" si="63"/>
        <v>-25.596985462239282</v>
      </c>
      <c r="C91" s="55">
        <f t="shared" ca="1" si="64"/>
        <v>0</v>
      </c>
      <c r="D91" s="54">
        <f t="shared" ca="1" si="65"/>
        <v>4.4118209316567503E-3</v>
      </c>
      <c r="E91" s="95">
        <f t="shared" ca="1" si="62"/>
        <v>3.1081810350711184E+32</v>
      </c>
      <c r="F91" s="56">
        <f t="shared" ca="1" si="69"/>
        <v>3.4809552096746216E+32</v>
      </c>
      <c r="G91" s="56">
        <f t="shared" ca="1" si="66"/>
        <v>3.4809552096746216E+32</v>
      </c>
      <c r="H91" s="57" t="str">
        <f t="shared" ca="1" si="68"/>
        <v/>
      </c>
      <c r="I91" s="55"/>
      <c r="J91" s="55"/>
    </row>
    <row r="92" spans="1:10">
      <c r="A92" s="53">
        <f t="shared" si="67"/>
        <v>78</v>
      </c>
      <c r="B92" s="54">
        <f t="shared" ca="1" si="63"/>
        <v>4.4891840591513432</v>
      </c>
      <c r="C92" s="55">
        <f t="shared" ca="1" si="64"/>
        <v>0</v>
      </c>
      <c r="D92" s="54">
        <f t="shared" ca="1" si="65"/>
        <v>2.0525536924172077E-3</v>
      </c>
      <c r="E92" s="95">
        <f t="shared" ca="1" si="62"/>
        <v>-5.7138072349091546E+31</v>
      </c>
      <c r="F92" s="56">
        <f t="shared" ca="1" si="69"/>
        <v>2.9095744861837062E+32</v>
      </c>
      <c r="G92" s="56">
        <f t="shared" ca="1" si="66"/>
        <v>2.9095744861837062E+32</v>
      </c>
      <c r="H92" s="57" t="str">
        <f t="shared" ca="1" si="68"/>
        <v/>
      </c>
      <c r="I92" s="55"/>
      <c r="J92" s="55"/>
    </row>
    <row r="93" spans="1:10">
      <c r="A93" s="53">
        <f t="shared" si="67"/>
        <v>79</v>
      </c>
      <c r="B93" s="54">
        <f t="shared" ca="1" si="63"/>
        <v>-3.5928148646093807</v>
      </c>
      <c r="C93" s="55">
        <f t="shared" ca="1" si="64"/>
        <v>1</v>
      </c>
      <c r="D93" s="54">
        <f t="shared" ca="1" si="65"/>
        <v>-1.2329614283020485E-2</v>
      </c>
      <c r="E93" s="95">
        <f t="shared" ca="1" si="62"/>
        <v>6.5017936960513299E+32</v>
      </c>
      <c r="F93" s="56">
        <f t="shared" ca="1" si="69"/>
        <v>9.4113681822350354E+32</v>
      </c>
      <c r="G93" s="56">
        <f t="shared" ca="1" si="66"/>
        <v>9.4113681822350354E+32</v>
      </c>
      <c r="H93" s="57">
        <f t="shared" ca="1" si="68"/>
        <v>9.4113681822350354E+32</v>
      </c>
      <c r="I93" s="55"/>
      <c r="J93" s="55"/>
    </row>
    <row r="94" spans="1:10">
      <c r="A94" s="53">
        <f t="shared" si="67"/>
        <v>80</v>
      </c>
      <c r="B94" s="54">
        <f t="shared" ca="1" si="63"/>
        <v>9.4886967560127946</v>
      </c>
      <c r="C94" s="55">
        <f t="shared" ca="1" si="64"/>
        <v>0</v>
      </c>
      <c r="D94" s="54">
        <f t="shared" ca="1" si="65"/>
        <v>-1.1873268301476699E-2</v>
      </c>
      <c r="E94" s="95">
        <f t="shared" ref="E94:E142" ca="1" si="70">alpha+B94+C94*D94</f>
        <v>38.309452440351414</v>
      </c>
      <c r="F94" s="56">
        <f t="shared" ca="1" si="69"/>
        <v>9.4113681822350354E+32</v>
      </c>
      <c r="G94" s="56">
        <f t="shared" ca="1" si="66"/>
        <v>9.4113681822350354E+32</v>
      </c>
      <c r="H94" s="57" t="str">
        <f t="shared" ca="1" si="68"/>
        <v/>
      </c>
      <c r="I94" s="55"/>
      <c r="J94" s="55"/>
    </row>
    <row r="95" spans="1:10">
      <c r="A95" s="53">
        <f t="shared" si="67"/>
        <v>81</v>
      </c>
      <c r="B95" s="54">
        <f t="shared" ca="1" si="63"/>
        <v>-18.89579089048414</v>
      </c>
      <c r="C95" s="55">
        <f t="shared" ca="1" si="64"/>
        <v>0</v>
      </c>
      <c r="D95" s="54">
        <f t="shared" ca="1" si="65"/>
        <v>-7.2647961128726466E-3</v>
      </c>
      <c r="E95" s="95">
        <f t="shared" ca="1" si="70"/>
        <v>9.9249647938544818</v>
      </c>
      <c r="F95" s="56">
        <f t="shared" ca="1" si="69"/>
        <v>9.4113681822350354E+32</v>
      </c>
      <c r="G95" s="56">
        <f t="shared" ca="1" si="66"/>
        <v>9.4113681822350354E+32</v>
      </c>
      <c r="H95" s="57" t="str">
        <f t="shared" ca="1" si="68"/>
        <v/>
      </c>
      <c r="I95" s="55"/>
      <c r="J95" s="55"/>
    </row>
    <row r="96" spans="1:10">
      <c r="A96" s="53">
        <f t="shared" si="67"/>
        <v>82</v>
      </c>
      <c r="B96" s="54">
        <f t="shared" ca="1" si="63"/>
        <v>22.992703110843593</v>
      </c>
      <c r="C96" s="55">
        <f t="shared" ca="1" si="64"/>
        <v>0</v>
      </c>
      <c r="D96" s="54">
        <f t="shared" ca="1" si="65"/>
        <v>-8.9175181826293432E-3</v>
      </c>
      <c r="E96" s="95">
        <f t="shared" ca="1" si="70"/>
        <v>51.813458795182214</v>
      </c>
      <c r="F96" s="56">
        <f t="shared" ca="1" si="69"/>
        <v>9.4113681822350354E+32</v>
      </c>
      <c r="G96" s="56">
        <f t="shared" ca="1" si="66"/>
        <v>9.4113681822350354E+32</v>
      </c>
      <c r="H96" s="57" t="str">
        <f t="shared" ca="1" si="68"/>
        <v/>
      </c>
      <c r="I96" s="55"/>
      <c r="J96" s="55"/>
    </row>
    <row r="97" spans="1:10">
      <c r="A97" s="53">
        <f t="shared" si="67"/>
        <v>83</v>
      </c>
      <c r="B97" s="54">
        <f t="shared" ca="1" si="63"/>
        <v>-6.1156372071398488</v>
      </c>
      <c r="C97" s="55">
        <f t="shared" ca="1" si="64"/>
        <v>0</v>
      </c>
      <c r="D97" s="54">
        <f t="shared" ca="1" si="65"/>
        <v>7.2670789779708603E-3</v>
      </c>
      <c r="E97" s="95">
        <f t="shared" ca="1" si="70"/>
        <v>22.705118477198774</v>
      </c>
      <c r="F97" s="56">
        <f t="shared" ca="1" si="69"/>
        <v>9.4113681822350354E+32</v>
      </c>
      <c r="G97" s="56">
        <f t="shared" ca="1" si="66"/>
        <v>9.4113681822350354E+32</v>
      </c>
      <c r="H97" s="57" t="str">
        <f t="shared" ca="1" si="68"/>
        <v/>
      </c>
      <c r="I97" s="55"/>
      <c r="J97" s="55"/>
    </row>
    <row r="98" spans="1:10">
      <c r="A98" s="53">
        <f t="shared" si="67"/>
        <v>84</v>
      </c>
      <c r="B98" s="54">
        <f t="shared" ca="1" si="63"/>
        <v>4.4391620543364212</v>
      </c>
      <c r="C98" s="55">
        <f t="shared" ca="1" si="64"/>
        <v>0</v>
      </c>
      <c r="D98" s="54">
        <f t="shared" ca="1" si="65"/>
        <v>7.7863973406084143E-4</v>
      </c>
      <c r="E98" s="95">
        <f t="shared" ca="1" si="70"/>
        <v>33.259917738675043</v>
      </c>
      <c r="F98" s="56">
        <f t="shared" ca="1" si="69"/>
        <v>9.4113681822350354E+32</v>
      </c>
      <c r="G98" s="56">
        <f t="shared" ca="1" si="66"/>
        <v>9.4113681822350354E+32</v>
      </c>
      <c r="H98" s="57" t="str">
        <f t="shared" ca="1" si="68"/>
        <v/>
      </c>
      <c r="I98" s="55"/>
      <c r="J98" s="55"/>
    </row>
    <row r="99" spans="1:10">
      <c r="A99" s="53">
        <f t="shared" si="67"/>
        <v>85</v>
      </c>
      <c r="B99" s="54">
        <f t="shared" ca="1" si="63"/>
        <v>-8.3908844755424035</v>
      </c>
      <c r="C99" s="55">
        <f t="shared" ca="1" si="64"/>
        <v>0</v>
      </c>
      <c r="D99" s="54">
        <f t="shared" ca="1" si="65"/>
        <v>-1.2477089601908103E-2</v>
      </c>
      <c r="E99" s="95">
        <f t="shared" ca="1" si="70"/>
        <v>20.429871208796218</v>
      </c>
      <c r="F99" s="56">
        <f t="shared" ca="1" si="69"/>
        <v>9.4113681822350354E+32</v>
      </c>
      <c r="G99" s="56">
        <f t="shared" ca="1" si="66"/>
        <v>9.4113681822350354E+32</v>
      </c>
      <c r="H99" s="57" t="str">
        <f t="shared" ca="1" si="68"/>
        <v/>
      </c>
      <c r="I99" s="55"/>
      <c r="J99" s="55"/>
    </row>
    <row r="100" spans="1:10">
      <c r="A100" s="53">
        <f t="shared" si="67"/>
        <v>86</v>
      </c>
      <c r="B100" s="54">
        <f t="shared" ca="1" si="63"/>
        <v>8.7892030507386547</v>
      </c>
      <c r="C100" s="55">
        <f t="shared" ca="1" si="64"/>
        <v>0</v>
      </c>
      <c r="D100" s="54">
        <f t="shared" ca="1" si="65"/>
        <v>-8.175171447587757E-3</v>
      </c>
      <c r="E100" s="95">
        <f t="shared" ca="1" si="70"/>
        <v>37.609958735077278</v>
      </c>
      <c r="F100" s="56">
        <f t="shared" ca="1" si="69"/>
        <v>9.4113681822350354E+32</v>
      </c>
      <c r="G100" s="56">
        <f t="shared" ca="1" si="66"/>
        <v>9.4113681822350354E+32</v>
      </c>
      <c r="H100" s="57" t="str">
        <f t="shared" ca="1" si="68"/>
        <v/>
      </c>
      <c r="I100" s="55"/>
      <c r="J100" s="55"/>
    </row>
    <row r="101" spans="1:10">
      <c r="A101" s="53">
        <f t="shared" si="67"/>
        <v>87</v>
      </c>
      <c r="B101" s="54">
        <f t="shared" ca="1" si="63"/>
        <v>13.246151534931203</v>
      </c>
      <c r="C101" s="55">
        <f t="shared" ca="1" si="64"/>
        <v>0</v>
      </c>
      <c r="D101" s="54">
        <f t="shared" ca="1" si="65"/>
        <v>9.537853364864457E-3</v>
      </c>
      <c r="E101" s="95">
        <f t="shared" ca="1" si="70"/>
        <v>42.066907219269822</v>
      </c>
      <c r="F101" s="56">
        <f t="shared" ca="1" si="69"/>
        <v>9.4113681822350354E+32</v>
      </c>
      <c r="G101" s="56">
        <f t="shared" ca="1" si="66"/>
        <v>9.4113681822350354E+32</v>
      </c>
      <c r="H101" s="57" t="str">
        <f t="shared" ca="1" si="68"/>
        <v/>
      </c>
      <c r="I101" s="55"/>
      <c r="J101" s="55"/>
    </row>
    <row r="102" spans="1:10">
      <c r="A102" s="53">
        <f t="shared" si="67"/>
        <v>88</v>
      </c>
      <c r="B102" s="54">
        <f t="shared" ca="1" si="63"/>
        <v>-0.84196446229341237</v>
      </c>
      <c r="C102" s="55">
        <f t="shared" ca="1" si="64"/>
        <v>0</v>
      </c>
      <c r="D102" s="54">
        <f t="shared" ca="1" si="65"/>
        <v>7.8514311366739502E-4</v>
      </c>
      <c r="E102" s="95">
        <f t="shared" ca="1" si="70"/>
        <v>27.97879122204521</v>
      </c>
      <c r="F102" s="56">
        <f t="shared" ca="1" si="69"/>
        <v>9.4113681822350354E+32</v>
      </c>
      <c r="G102" s="56">
        <f t="shared" ca="1" si="66"/>
        <v>9.4113681822350354E+32</v>
      </c>
      <c r="H102" s="57" t="str">
        <f t="shared" ca="1" si="68"/>
        <v/>
      </c>
      <c r="I102" s="55"/>
      <c r="J102" s="55"/>
    </row>
    <row r="103" spans="1:10">
      <c r="A103" s="53">
        <f t="shared" si="67"/>
        <v>89</v>
      </c>
      <c r="B103" s="54">
        <f t="shared" ca="1" si="63"/>
        <v>-14.043074459910795</v>
      </c>
      <c r="C103" s="55">
        <f t="shared" ca="1" si="64"/>
        <v>0</v>
      </c>
      <c r="D103" s="54">
        <f t="shared" ca="1" si="65"/>
        <v>-2.2732929781047262E-4</v>
      </c>
      <c r="E103" s="95">
        <f t="shared" ca="1" si="70"/>
        <v>14.777681224427827</v>
      </c>
      <c r="F103" s="56">
        <f t="shared" ca="1" si="69"/>
        <v>9.4113681822350354E+32</v>
      </c>
      <c r="G103" s="56">
        <f t="shared" ca="1" si="66"/>
        <v>9.4113681822350354E+32</v>
      </c>
      <c r="H103" s="57" t="str">
        <f t="shared" ca="1" si="68"/>
        <v/>
      </c>
      <c r="I103" s="55"/>
      <c r="J103" s="55"/>
    </row>
    <row r="104" spans="1:10">
      <c r="A104" s="53">
        <f t="shared" si="67"/>
        <v>90</v>
      </c>
      <c r="B104" s="54">
        <f t="shared" ca="1" si="63"/>
        <v>2.7331475653995101</v>
      </c>
      <c r="C104" s="55">
        <f t="shared" ca="1" si="64"/>
        <v>0</v>
      </c>
      <c r="D104" s="54">
        <f t="shared" ca="1" si="65"/>
        <v>8.8189483961071697E-3</v>
      </c>
      <c r="E104" s="95">
        <f t="shared" ca="1" si="70"/>
        <v>31.553903249738131</v>
      </c>
      <c r="F104" s="56">
        <f t="shared" ca="1" si="69"/>
        <v>9.4113681822350354E+32</v>
      </c>
      <c r="G104" s="56">
        <f t="shared" ca="1" si="66"/>
        <v>9.4113681822350354E+32</v>
      </c>
      <c r="H104" s="57" t="str">
        <f t="shared" ca="1" si="68"/>
        <v/>
      </c>
      <c r="I104" s="55"/>
      <c r="J104" s="55"/>
    </row>
    <row r="105" spans="1:10">
      <c r="A105" s="53">
        <f t="shared" si="67"/>
        <v>91</v>
      </c>
      <c r="B105" s="54">
        <f t="shared" ca="1" si="63"/>
        <v>4.4803889017215779</v>
      </c>
      <c r="C105" s="55">
        <f t="shared" ca="1" si="64"/>
        <v>0</v>
      </c>
      <c r="D105" s="54">
        <f t="shared" ca="1" si="65"/>
        <v>-6.7972219140077983E-3</v>
      </c>
      <c r="E105" s="95">
        <f t="shared" ca="1" si="70"/>
        <v>33.301144586060197</v>
      </c>
      <c r="F105" s="56">
        <f t="shared" ca="1" si="69"/>
        <v>9.4113681822350354E+32</v>
      </c>
      <c r="G105" s="56">
        <f t="shared" ca="1" si="66"/>
        <v>9.4113681822350354E+32</v>
      </c>
      <c r="H105" s="57" t="str">
        <f t="shared" ca="1" si="68"/>
        <v/>
      </c>
      <c r="I105" s="55"/>
      <c r="J105" s="55"/>
    </row>
    <row r="106" spans="1:10">
      <c r="A106" s="53">
        <f t="shared" si="67"/>
        <v>92</v>
      </c>
      <c r="B106" s="54">
        <f t="shared" ca="1" si="63"/>
        <v>7.8168012500360149</v>
      </c>
      <c r="C106" s="55">
        <f t="shared" ca="1" si="64"/>
        <v>0</v>
      </c>
      <c r="D106" s="54">
        <f t="shared" ca="1" si="65"/>
        <v>1.4404477091446042E-2</v>
      </c>
      <c r="E106" s="95">
        <f t="shared" ca="1" si="70"/>
        <v>36.637556934374636</v>
      </c>
      <c r="F106" s="56">
        <f t="shared" ca="1" si="69"/>
        <v>9.4113681822350354E+32</v>
      </c>
      <c r="G106" s="56">
        <f t="shared" ca="1" si="66"/>
        <v>9.4113681822350354E+32</v>
      </c>
      <c r="H106" s="57" t="str">
        <f t="shared" ca="1" si="68"/>
        <v/>
      </c>
      <c r="I106" s="55"/>
      <c r="J106" s="55"/>
    </row>
    <row r="107" spans="1:10">
      <c r="A107" s="53">
        <f t="shared" si="67"/>
        <v>93</v>
      </c>
      <c r="B107" s="54">
        <f t="shared" ca="1" si="63"/>
        <v>4.1152860896560783</v>
      </c>
      <c r="C107" s="55">
        <f t="shared" ca="1" si="64"/>
        <v>0</v>
      </c>
      <c r="D107" s="54">
        <f t="shared" ca="1" si="65"/>
        <v>1.2970040838726909E-2</v>
      </c>
      <c r="E107" s="95">
        <f t="shared" ca="1" si="70"/>
        <v>32.936041773994702</v>
      </c>
      <c r="F107" s="56">
        <f t="shared" ca="1" si="69"/>
        <v>9.4113681822350354E+32</v>
      </c>
      <c r="G107" s="56">
        <f t="shared" ca="1" si="66"/>
        <v>9.4113681822350354E+32</v>
      </c>
      <c r="H107" s="57" t="str">
        <f t="shared" ca="1" si="68"/>
        <v/>
      </c>
      <c r="I107" s="55"/>
      <c r="J107" s="55"/>
    </row>
    <row r="108" spans="1:10">
      <c r="A108" s="53">
        <f t="shared" si="67"/>
        <v>94</v>
      </c>
      <c r="B108" s="54">
        <f t="shared" ca="1" si="63"/>
        <v>6.6688688160270289</v>
      </c>
      <c r="C108" s="55">
        <f t="shared" ca="1" si="64"/>
        <v>0</v>
      </c>
      <c r="D108" s="54">
        <f t="shared" ca="1" si="65"/>
        <v>-7.0930618423597734E-3</v>
      </c>
      <c r="E108" s="95">
        <f t="shared" ca="1" si="70"/>
        <v>35.48962450036565</v>
      </c>
      <c r="F108" s="56">
        <f t="shared" ca="1" si="69"/>
        <v>9.4113681822350354E+32</v>
      </c>
      <c r="G108" s="56">
        <f t="shared" ca="1" si="66"/>
        <v>9.4113681822350354E+32</v>
      </c>
      <c r="H108" s="57" t="str">
        <f t="shared" ca="1" si="68"/>
        <v/>
      </c>
      <c r="I108" s="55"/>
      <c r="J108" s="55"/>
    </row>
    <row r="109" spans="1:10">
      <c r="A109" s="53">
        <f t="shared" si="67"/>
        <v>95</v>
      </c>
      <c r="B109" s="54">
        <f t="shared" ca="1" si="63"/>
        <v>-5.516842231927134</v>
      </c>
      <c r="C109" s="55">
        <f t="shared" ca="1" si="64"/>
        <v>0</v>
      </c>
      <c r="D109" s="54">
        <f t="shared" ca="1" si="65"/>
        <v>-8.2611540453965421E-3</v>
      </c>
      <c r="E109" s="95">
        <f t="shared" ca="1" si="70"/>
        <v>23.303913452411486</v>
      </c>
      <c r="F109" s="56">
        <f t="shared" ca="1" si="69"/>
        <v>9.4113681822350354E+32</v>
      </c>
      <c r="G109" s="56">
        <f t="shared" ca="1" si="66"/>
        <v>9.4113681822350354E+32</v>
      </c>
      <c r="H109" s="57" t="str">
        <f t="shared" ca="1" si="68"/>
        <v/>
      </c>
      <c r="I109" s="55"/>
      <c r="J109" s="55"/>
    </row>
    <row r="110" spans="1:10">
      <c r="A110" s="53">
        <f t="shared" si="67"/>
        <v>96</v>
      </c>
      <c r="B110" s="54">
        <f t="shared" ca="1" si="63"/>
        <v>9.7308288089065158</v>
      </c>
      <c r="C110" s="55">
        <f t="shared" ca="1" si="64"/>
        <v>0</v>
      </c>
      <c r="D110" s="54">
        <f t="shared" ca="1" si="65"/>
        <v>6.2427202947171884E-3</v>
      </c>
      <c r="E110" s="95">
        <f t="shared" ca="1" si="70"/>
        <v>38.551584493245137</v>
      </c>
      <c r="F110" s="56">
        <f t="shared" ca="1" si="69"/>
        <v>9.4113681822350354E+32</v>
      </c>
      <c r="G110" s="56">
        <f t="shared" ca="1" si="66"/>
        <v>9.4113681822350354E+32</v>
      </c>
      <c r="H110" s="57" t="str">
        <f t="shared" ca="1" si="68"/>
        <v/>
      </c>
      <c r="I110" s="55"/>
      <c r="J110" s="55"/>
    </row>
    <row r="111" spans="1:10">
      <c r="A111" s="53">
        <f t="shared" si="67"/>
        <v>97</v>
      </c>
      <c r="B111" s="54">
        <f t="shared" ca="1" si="63"/>
        <v>18.723071944860955</v>
      </c>
      <c r="C111" s="55">
        <f t="shared" ca="1" si="64"/>
        <v>0</v>
      </c>
      <c r="D111" s="54">
        <f t="shared" ca="1" si="65"/>
        <v>-5.8883188712790038E-4</v>
      </c>
      <c r="E111" s="95">
        <f t="shared" ca="1" si="70"/>
        <v>47.543827629199576</v>
      </c>
      <c r="F111" s="56">
        <f t="shared" ca="1" si="69"/>
        <v>9.4113681822350354E+32</v>
      </c>
      <c r="G111" s="56">
        <f t="shared" ca="1" si="66"/>
        <v>9.4113681822350354E+32</v>
      </c>
      <c r="H111" s="57" t="str">
        <f t="shared" ca="1" si="68"/>
        <v/>
      </c>
      <c r="I111" s="55"/>
      <c r="J111" s="55"/>
    </row>
    <row r="112" spans="1:10">
      <c r="A112" s="53">
        <f t="shared" si="67"/>
        <v>98</v>
      </c>
      <c r="B112" s="54">
        <f t="shared" ca="1" si="63"/>
        <v>5.4178139166173978</v>
      </c>
      <c r="C112" s="55">
        <f t="shared" ca="1" si="64"/>
        <v>0</v>
      </c>
      <c r="D112" s="54">
        <f t="shared" ca="1" si="65"/>
        <v>7.9182653658985862E-4</v>
      </c>
      <c r="E112" s="95">
        <f t="shared" ca="1" si="70"/>
        <v>34.238569600956019</v>
      </c>
      <c r="F112" s="56">
        <f t="shared" ca="1" si="69"/>
        <v>9.4113681822350354E+32</v>
      </c>
      <c r="G112" s="56">
        <f t="shared" ca="1" si="66"/>
        <v>9.4113681822350354E+32</v>
      </c>
      <c r="H112" s="57" t="str">
        <f t="shared" ca="1" si="68"/>
        <v/>
      </c>
      <c r="I112" s="55"/>
      <c r="J112" s="55"/>
    </row>
    <row r="113" spans="1:10">
      <c r="A113" s="53">
        <f t="shared" si="67"/>
        <v>99</v>
      </c>
      <c r="B113" s="54">
        <f t="shared" ca="1" si="63"/>
        <v>-5.1341228649078463</v>
      </c>
      <c r="C113" s="55">
        <f t="shared" ca="1" si="64"/>
        <v>0</v>
      </c>
      <c r="D113" s="54">
        <f t="shared" ca="1" si="65"/>
        <v>1.1275408424300149E-2</v>
      </c>
      <c r="E113" s="95">
        <f t="shared" ca="1" si="70"/>
        <v>23.686632819430777</v>
      </c>
      <c r="F113" s="56">
        <f t="shared" ca="1" si="69"/>
        <v>9.4113681822350354E+32</v>
      </c>
      <c r="G113" s="56">
        <f t="shared" ca="1" si="66"/>
        <v>9.4113681822350354E+32</v>
      </c>
      <c r="H113" s="57" t="str">
        <f t="shared" ca="1" si="68"/>
        <v/>
      </c>
      <c r="I113" s="55"/>
      <c r="J113" s="55"/>
    </row>
    <row r="114" spans="1:10">
      <c r="A114" s="53">
        <f t="shared" si="67"/>
        <v>100</v>
      </c>
      <c r="B114" s="54">
        <f t="shared" ca="1" si="63"/>
        <v>8.5512172881478143</v>
      </c>
      <c r="C114" s="55">
        <f t="shared" ca="1" si="64"/>
        <v>0</v>
      </c>
      <c r="D114" s="54">
        <f t="shared" ca="1" si="65"/>
        <v>6.7345090190607084E-3</v>
      </c>
      <c r="E114" s="95">
        <f t="shared" ca="1" si="70"/>
        <v>37.371972972486432</v>
      </c>
      <c r="F114" s="56">
        <f t="shared" ca="1" si="69"/>
        <v>9.4113681822350354E+32</v>
      </c>
      <c r="G114" s="56">
        <f t="shared" ca="1" si="66"/>
        <v>9.4113681822350354E+32</v>
      </c>
      <c r="H114" s="57" t="str">
        <f t="shared" ca="1" si="68"/>
        <v/>
      </c>
      <c r="I114" s="55"/>
      <c r="J114" s="55"/>
    </row>
    <row r="115" spans="1:10">
      <c r="A115" s="53">
        <f t="shared" si="67"/>
        <v>101</v>
      </c>
      <c r="B115" s="54">
        <f t="shared" ca="1" si="63"/>
        <v>-9.3875397082973269</v>
      </c>
      <c r="C115" s="55">
        <f t="shared" ca="1" si="64"/>
        <v>0</v>
      </c>
      <c r="D115" s="54">
        <f t="shared" ca="1" si="65"/>
        <v>-1.3104737416456768E-2</v>
      </c>
      <c r="E115" s="95">
        <f t="shared" ca="1" si="70"/>
        <v>19.433215976041296</v>
      </c>
      <c r="F115" s="56">
        <f t="shared" ca="1" si="69"/>
        <v>9.4113681822350354E+32</v>
      </c>
      <c r="G115" s="56">
        <f t="shared" ca="1" si="66"/>
        <v>9.4113681822350354E+32</v>
      </c>
      <c r="H115" s="57" t="str">
        <f t="shared" ca="1" si="68"/>
        <v/>
      </c>
      <c r="I115" s="55"/>
      <c r="J115" s="55"/>
    </row>
    <row r="116" spans="1:10">
      <c r="A116" s="53">
        <f t="shared" si="67"/>
        <v>102</v>
      </c>
      <c r="B116" s="54">
        <f t="shared" ca="1" si="63"/>
        <v>6.8119749214375629</v>
      </c>
      <c r="C116" s="55">
        <f t="shared" ca="1" si="64"/>
        <v>0</v>
      </c>
      <c r="D116" s="54">
        <f t="shared" ca="1" si="65"/>
        <v>-5.4918493475172745E-3</v>
      </c>
      <c r="E116" s="95">
        <f t="shared" ca="1" si="70"/>
        <v>35.632730605776182</v>
      </c>
      <c r="F116" s="56">
        <f t="shared" ca="1" si="69"/>
        <v>9.4113681822350354E+32</v>
      </c>
      <c r="G116" s="56">
        <f t="shared" ca="1" si="66"/>
        <v>9.4113681822350354E+32</v>
      </c>
      <c r="H116" s="57" t="str">
        <f t="shared" ca="1" si="68"/>
        <v/>
      </c>
      <c r="I116" s="55"/>
      <c r="J116" s="55"/>
    </row>
    <row r="117" spans="1:10">
      <c r="A117" s="53">
        <f t="shared" si="67"/>
        <v>103</v>
      </c>
      <c r="B117" s="54">
        <f t="shared" ca="1" si="63"/>
        <v>3.919087393786608</v>
      </c>
      <c r="C117" s="55">
        <f t="shared" ca="1" si="64"/>
        <v>0</v>
      </c>
      <c r="D117" s="54">
        <f t="shared" ca="1" si="65"/>
        <v>-2.3322052440048511E-2</v>
      </c>
      <c r="E117" s="95">
        <f t="shared" ca="1" si="70"/>
        <v>32.739843078125233</v>
      </c>
      <c r="F117" s="56">
        <f t="shared" ca="1" si="69"/>
        <v>9.4113681822350354E+32</v>
      </c>
      <c r="G117" s="56">
        <f t="shared" ca="1" si="66"/>
        <v>9.4113681822350354E+32</v>
      </c>
      <c r="H117" s="57" t="str">
        <f t="shared" ca="1" si="68"/>
        <v/>
      </c>
      <c r="I117" s="55"/>
      <c r="J117" s="55"/>
    </row>
    <row r="118" spans="1:10">
      <c r="A118" s="53">
        <f t="shared" si="67"/>
        <v>104</v>
      </c>
      <c r="B118" s="54">
        <f t="shared" ca="1" si="63"/>
        <v>15.75997821641019</v>
      </c>
      <c r="C118" s="55">
        <f t="shared" ca="1" si="64"/>
        <v>0</v>
      </c>
      <c r="D118" s="54">
        <f t="shared" ca="1" si="65"/>
        <v>-1.3063407486587231E-2</v>
      </c>
      <c r="E118" s="95">
        <f t="shared" ca="1" si="70"/>
        <v>44.580733900748811</v>
      </c>
      <c r="F118" s="56">
        <f t="shared" ca="1" si="69"/>
        <v>9.4113681822350354E+32</v>
      </c>
      <c r="G118" s="56">
        <f t="shared" ca="1" si="66"/>
        <v>9.4113681822350354E+32</v>
      </c>
      <c r="H118" s="57" t="str">
        <f t="shared" ca="1" si="68"/>
        <v/>
      </c>
      <c r="I118" s="55"/>
      <c r="J118" s="55"/>
    </row>
    <row r="119" spans="1:10">
      <c r="A119" s="53">
        <f t="shared" si="67"/>
        <v>105</v>
      </c>
      <c r="B119" s="54">
        <f t="shared" ca="1" si="63"/>
        <v>1.5731432904888034</v>
      </c>
      <c r="C119" s="55">
        <f t="shared" ca="1" si="64"/>
        <v>0</v>
      </c>
      <c r="D119" s="54">
        <f t="shared" ca="1" si="65"/>
        <v>1.1843877116767595E-3</v>
      </c>
      <c r="E119" s="95">
        <f t="shared" ca="1" si="70"/>
        <v>30.393898974827426</v>
      </c>
      <c r="F119" s="56">
        <f t="shared" ca="1" si="69"/>
        <v>9.4113681822350354E+32</v>
      </c>
      <c r="G119" s="56">
        <f t="shared" ca="1" si="66"/>
        <v>9.4113681822350354E+32</v>
      </c>
      <c r="H119" s="57" t="str">
        <f t="shared" ca="1" si="68"/>
        <v/>
      </c>
      <c r="I119" s="55"/>
      <c r="J119" s="55"/>
    </row>
    <row r="120" spans="1:10">
      <c r="A120" s="53">
        <f t="shared" si="67"/>
        <v>106</v>
      </c>
      <c r="B120" s="54">
        <f t="shared" ca="1" si="63"/>
        <v>0.88351222288346487</v>
      </c>
      <c r="C120" s="55">
        <f t="shared" ca="1" si="64"/>
        <v>0</v>
      </c>
      <c r="D120" s="54">
        <f t="shared" ca="1" si="65"/>
        <v>-8.1269973241153721E-3</v>
      </c>
      <c r="E120" s="95">
        <f t="shared" ca="1" si="70"/>
        <v>29.704267907222086</v>
      </c>
      <c r="F120" s="56">
        <f t="shared" ca="1" si="69"/>
        <v>9.4113681822350354E+32</v>
      </c>
      <c r="G120" s="56">
        <f t="shared" ca="1" si="66"/>
        <v>9.4113681822350354E+32</v>
      </c>
      <c r="H120" s="57" t="str">
        <f t="shared" ca="1" si="68"/>
        <v/>
      </c>
      <c r="I120" s="55"/>
      <c r="J120" s="55"/>
    </row>
    <row r="121" spans="1:10">
      <c r="A121" s="53">
        <f t="shared" si="67"/>
        <v>107</v>
      </c>
      <c r="B121" s="54">
        <f t="shared" ca="1" si="63"/>
        <v>-2.0486323597888734</v>
      </c>
      <c r="C121" s="55">
        <f t="shared" ca="1" si="64"/>
        <v>0</v>
      </c>
      <c r="D121" s="54">
        <f t="shared" ca="1" si="65"/>
        <v>-6.5266260609509507E-3</v>
      </c>
      <c r="E121" s="95">
        <f t="shared" ca="1" si="70"/>
        <v>26.772123324549749</v>
      </c>
      <c r="F121" s="56">
        <f t="shared" ca="1" si="69"/>
        <v>9.4113681822350354E+32</v>
      </c>
      <c r="G121" s="56">
        <f t="shared" ca="1" si="66"/>
        <v>9.4113681822350354E+32</v>
      </c>
      <c r="H121" s="57" t="str">
        <f t="shared" ca="1" si="68"/>
        <v/>
      </c>
      <c r="I121" s="55"/>
      <c r="J121" s="55"/>
    </row>
    <row r="122" spans="1:10">
      <c r="A122" s="53">
        <f t="shared" si="67"/>
        <v>108</v>
      </c>
      <c r="B122" s="54">
        <f t="shared" ca="1" si="63"/>
        <v>2.7800638373657458</v>
      </c>
      <c r="C122" s="55">
        <f t="shared" ca="1" si="64"/>
        <v>0</v>
      </c>
      <c r="D122" s="54">
        <f t="shared" ca="1" si="65"/>
        <v>-3.7341822276887671E-3</v>
      </c>
      <c r="E122" s="95">
        <f t="shared" ca="1" si="70"/>
        <v>31.600819521704366</v>
      </c>
      <c r="F122" s="56">
        <f t="shared" ca="1" si="69"/>
        <v>9.4113681822350354E+32</v>
      </c>
      <c r="G122" s="56">
        <f t="shared" ca="1" si="66"/>
        <v>9.4113681822350354E+32</v>
      </c>
      <c r="H122" s="57" t="str">
        <f t="shared" ca="1" si="68"/>
        <v/>
      </c>
      <c r="I122" s="55"/>
      <c r="J122" s="55"/>
    </row>
    <row r="123" spans="1:10">
      <c r="A123" s="53">
        <f t="shared" si="67"/>
        <v>109</v>
      </c>
      <c r="B123" s="54">
        <f t="shared" ca="1" si="63"/>
        <v>10.796730157676496</v>
      </c>
      <c r="C123" s="55">
        <f t="shared" ca="1" si="64"/>
        <v>0</v>
      </c>
      <c r="D123" s="54">
        <f t="shared" ca="1" si="65"/>
        <v>3.8875504172569486E-3</v>
      </c>
      <c r="E123" s="95">
        <f t="shared" ca="1" si="70"/>
        <v>39.617485842015114</v>
      </c>
      <c r="F123" s="56">
        <f t="shared" ca="1" si="69"/>
        <v>9.4113681822350354E+32</v>
      </c>
      <c r="G123" s="56">
        <f t="shared" ca="1" si="66"/>
        <v>9.4113681822350354E+32</v>
      </c>
      <c r="H123" s="57" t="str">
        <f t="shared" ca="1" si="68"/>
        <v/>
      </c>
      <c r="I123" s="55"/>
      <c r="J123" s="55"/>
    </row>
    <row r="124" spans="1:10">
      <c r="A124" s="53">
        <f t="shared" si="67"/>
        <v>110</v>
      </c>
      <c r="B124" s="54">
        <f t="shared" ca="1" si="63"/>
        <v>8.1735019801196405</v>
      </c>
      <c r="C124" s="55">
        <f t="shared" ca="1" si="64"/>
        <v>0</v>
      </c>
      <c r="D124" s="54">
        <f t="shared" ca="1" si="65"/>
        <v>-4.7556642942074411E-3</v>
      </c>
      <c r="E124" s="95">
        <f t="shared" ca="1" si="70"/>
        <v>36.99425766445826</v>
      </c>
      <c r="F124" s="56">
        <f t="shared" ca="1" si="69"/>
        <v>9.4113681822350354E+32</v>
      </c>
      <c r="G124" s="56">
        <f t="shared" ca="1" si="66"/>
        <v>9.4113681822350354E+32</v>
      </c>
      <c r="H124" s="57" t="str">
        <f t="shared" ca="1" si="68"/>
        <v/>
      </c>
      <c r="I124" s="55"/>
      <c r="J124" s="55"/>
    </row>
    <row r="125" spans="1:10">
      <c r="A125" s="53">
        <f t="shared" si="67"/>
        <v>111</v>
      </c>
      <c r="B125" s="54">
        <f t="shared" ca="1" si="63"/>
        <v>7.5283940375385736</v>
      </c>
      <c r="C125" s="55">
        <f t="shared" ca="1" si="64"/>
        <v>0</v>
      </c>
      <c r="D125" s="54">
        <f t="shared" ca="1" si="65"/>
        <v>-9.7312137661983659E-3</v>
      </c>
      <c r="E125" s="95">
        <f t="shared" ca="1" si="70"/>
        <v>36.349149721877197</v>
      </c>
      <c r="F125" s="56">
        <f t="shared" ca="1" si="69"/>
        <v>9.4113681822350354E+32</v>
      </c>
      <c r="G125" s="56">
        <f t="shared" ca="1" si="66"/>
        <v>9.4113681822350354E+32</v>
      </c>
      <c r="H125" s="57" t="str">
        <f t="shared" ca="1" si="68"/>
        <v/>
      </c>
      <c r="I125" s="55"/>
      <c r="J125" s="55"/>
    </row>
    <row r="126" spans="1:10">
      <c r="A126" s="53">
        <f t="shared" si="67"/>
        <v>112</v>
      </c>
      <c r="B126" s="54">
        <f t="shared" ca="1" si="63"/>
        <v>-9.0010965305791295</v>
      </c>
      <c r="C126" s="55">
        <f t="shared" ca="1" si="64"/>
        <v>0</v>
      </c>
      <c r="D126" s="54">
        <f t="shared" ca="1" si="65"/>
        <v>1.0237920180320499E-2</v>
      </c>
      <c r="E126" s="95">
        <f t="shared" ca="1" si="70"/>
        <v>19.819659153759492</v>
      </c>
      <c r="F126" s="56">
        <f t="shared" ca="1" si="69"/>
        <v>9.4113681822350354E+32</v>
      </c>
      <c r="G126" s="56">
        <f t="shared" ca="1" si="66"/>
        <v>9.4113681822350354E+32</v>
      </c>
      <c r="H126" s="57" t="str">
        <f t="shared" ca="1" si="68"/>
        <v/>
      </c>
      <c r="I126" s="55"/>
      <c r="J126" s="55"/>
    </row>
    <row r="127" spans="1:10">
      <c r="A127" s="53">
        <f t="shared" si="67"/>
        <v>113</v>
      </c>
      <c r="B127" s="54">
        <f t="shared" ca="1" si="63"/>
        <v>-14.211146534356992</v>
      </c>
      <c r="C127" s="55">
        <f t="shared" ca="1" si="64"/>
        <v>0</v>
      </c>
      <c r="D127" s="54">
        <f t="shared" ca="1" si="65"/>
        <v>-6.2391556679457436E-3</v>
      </c>
      <c r="E127" s="95">
        <f t="shared" ca="1" si="70"/>
        <v>14.60960914998163</v>
      </c>
      <c r="F127" s="56">
        <f t="shared" ca="1" si="69"/>
        <v>9.4113681822350354E+32</v>
      </c>
      <c r="G127" s="56">
        <f t="shared" ca="1" si="66"/>
        <v>9.4113681822350354E+32</v>
      </c>
      <c r="H127" s="57" t="str">
        <f t="shared" ca="1" si="68"/>
        <v/>
      </c>
      <c r="I127" s="55"/>
      <c r="J127" s="55"/>
    </row>
    <row r="128" spans="1:10">
      <c r="A128" s="53">
        <f t="shared" si="67"/>
        <v>114</v>
      </c>
      <c r="B128" s="54">
        <f t="shared" ca="1" si="63"/>
        <v>-15.895293634193109</v>
      </c>
      <c r="C128" s="55">
        <f t="shared" ca="1" si="64"/>
        <v>0</v>
      </c>
      <c r="D128" s="54">
        <f t="shared" ca="1" si="65"/>
        <v>3.4446983098656149E-3</v>
      </c>
      <c r="E128" s="95">
        <f t="shared" ca="1" si="70"/>
        <v>12.925462050145512</v>
      </c>
      <c r="F128" s="56">
        <f t="shared" ca="1" si="69"/>
        <v>9.4113681822350354E+32</v>
      </c>
      <c r="G128" s="56">
        <f t="shared" ca="1" si="66"/>
        <v>9.4113681822350354E+32</v>
      </c>
      <c r="H128" s="57" t="str">
        <f t="shared" ca="1" si="68"/>
        <v/>
      </c>
      <c r="I128" s="55"/>
      <c r="J128" s="55"/>
    </row>
    <row r="129" spans="1:10">
      <c r="A129" s="53">
        <f t="shared" si="67"/>
        <v>115</v>
      </c>
      <c r="B129" s="54">
        <f t="shared" ca="1" si="63"/>
        <v>1.0771470173995872</v>
      </c>
      <c r="C129" s="55">
        <f t="shared" ca="1" si="64"/>
        <v>0</v>
      </c>
      <c r="D129" s="54">
        <f t="shared" ca="1" si="65"/>
        <v>-1.341667609630429E-2</v>
      </c>
      <c r="E129" s="95">
        <f t="shared" ca="1" si="70"/>
        <v>29.897902701738207</v>
      </c>
      <c r="F129" s="56">
        <f t="shared" ca="1" si="69"/>
        <v>9.4113681822350354E+32</v>
      </c>
      <c r="G129" s="56">
        <f t="shared" ca="1" si="66"/>
        <v>9.4113681822350354E+32</v>
      </c>
      <c r="H129" s="57" t="str">
        <f t="shared" ca="1" si="68"/>
        <v/>
      </c>
      <c r="I129" s="55"/>
      <c r="J129" s="55"/>
    </row>
    <row r="130" spans="1:10">
      <c r="A130" s="53">
        <f t="shared" si="67"/>
        <v>116</v>
      </c>
      <c r="B130" s="54">
        <f t="shared" ca="1" si="63"/>
        <v>-5.7647243101092176</v>
      </c>
      <c r="C130" s="55">
        <f t="shared" ca="1" si="64"/>
        <v>0</v>
      </c>
      <c r="D130" s="54">
        <f t="shared" ca="1" si="65"/>
        <v>1.5266786052691422E-3</v>
      </c>
      <c r="E130" s="95">
        <f t="shared" ca="1" si="70"/>
        <v>23.056031374229406</v>
      </c>
      <c r="F130" s="56">
        <f t="shared" ca="1" si="69"/>
        <v>9.4113681822350354E+32</v>
      </c>
      <c r="G130" s="56">
        <f t="shared" ca="1" si="66"/>
        <v>9.4113681822350354E+32</v>
      </c>
      <c r="H130" s="57" t="str">
        <f t="shared" ca="1" si="68"/>
        <v/>
      </c>
      <c r="I130" s="55"/>
      <c r="J130" s="55"/>
    </row>
    <row r="131" spans="1:10">
      <c r="A131" s="53">
        <f t="shared" si="67"/>
        <v>117</v>
      </c>
      <c r="B131" s="54">
        <f t="shared" ca="1" si="63"/>
        <v>3.0524100457120347</v>
      </c>
      <c r="C131" s="55">
        <f t="shared" ca="1" si="64"/>
        <v>0</v>
      </c>
      <c r="D131" s="54">
        <f t="shared" ca="1" si="65"/>
        <v>-1.1098746993035822E-2</v>
      </c>
      <c r="E131" s="95">
        <f t="shared" ca="1" si="70"/>
        <v>31.873165730050655</v>
      </c>
      <c r="F131" s="56">
        <f t="shared" ca="1" si="69"/>
        <v>9.4113681822350354E+32</v>
      </c>
      <c r="G131" s="56">
        <f t="shared" ca="1" si="66"/>
        <v>9.4113681822350354E+32</v>
      </c>
      <c r="H131" s="57" t="str">
        <f t="shared" ca="1" si="68"/>
        <v/>
      </c>
      <c r="I131" s="55"/>
      <c r="J131" s="55"/>
    </row>
    <row r="132" spans="1:10">
      <c r="A132" s="53">
        <f t="shared" si="67"/>
        <v>118</v>
      </c>
      <c r="B132" s="54">
        <f t="shared" ca="1" si="63"/>
        <v>-2.5385828096214982</v>
      </c>
      <c r="C132" s="55">
        <f t="shared" ca="1" si="64"/>
        <v>0</v>
      </c>
      <c r="D132" s="54">
        <f t="shared" ca="1" si="65"/>
        <v>-1.7096750065138295E-2</v>
      </c>
      <c r="E132" s="95">
        <f t="shared" ca="1" si="70"/>
        <v>26.282172874717123</v>
      </c>
      <c r="F132" s="56">
        <f t="shared" ca="1" si="69"/>
        <v>9.4113681822350354E+32</v>
      </c>
      <c r="G132" s="56">
        <f t="shared" ca="1" si="66"/>
        <v>9.4113681822350354E+32</v>
      </c>
      <c r="H132" s="57" t="str">
        <f t="shared" ca="1" si="68"/>
        <v/>
      </c>
      <c r="I132" s="55"/>
      <c r="J132" s="55"/>
    </row>
    <row r="133" spans="1:10">
      <c r="A133" s="53">
        <f t="shared" si="67"/>
        <v>119</v>
      </c>
      <c r="B133" s="54">
        <f t="shared" ca="1" si="63"/>
        <v>-6.2252998147647345</v>
      </c>
      <c r="C133" s="55">
        <f t="shared" ca="1" si="64"/>
        <v>0</v>
      </c>
      <c r="D133" s="54">
        <f t="shared" ca="1" si="65"/>
        <v>2.3220233080667469E-3</v>
      </c>
      <c r="E133" s="95">
        <f t="shared" ca="1" si="70"/>
        <v>22.595455869573886</v>
      </c>
      <c r="F133" s="56">
        <f t="shared" ca="1" si="69"/>
        <v>9.4113681822350354E+32</v>
      </c>
      <c r="G133" s="56">
        <f t="shared" ca="1" si="66"/>
        <v>9.4113681822350354E+32</v>
      </c>
      <c r="H133" s="57" t="str">
        <f t="shared" ca="1" si="68"/>
        <v/>
      </c>
      <c r="I133" s="55"/>
      <c r="J133" s="55"/>
    </row>
    <row r="134" spans="1:10">
      <c r="A134" s="53">
        <f t="shared" si="67"/>
        <v>120</v>
      </c>
      <c r="B134" s="54">
        <f t="shared" ca="1" si="63"/>
        <v>1.4188574906245417</v>
      </c>
      <c r="C134" s="55">
        <f t="shared" ca="1" si="64"/>
        <v>0</v>
      </c>
      <c r="D134" s="54">
        <f t="shared" ca="1" si="65"/>
        <v>-7.6575604846038287E-4</v>
      </c>
      <c r="E134" s="95">
        <f t="shared" ca="1" si="70"/>
        <v>30.239613174963164</v>
      </c>
      <c r="F134" s="56">
        <f t="shared" ca="1" si="69"/>
        <v>9.4113681822350354E+32</v>
      </c>
      <c r="G134" s="56">
        <f t="shared" ca="1" si="66"/>
        <v>9.4113681822350354E+32</v>
      </c>
      <c r="H134" s="57" t="str">
        <f t="shared" ca="1" si="68"/>
        <v/>
      </c>
      <c r="I134" s="55"/>
      <c r="J134" s="55"/>
    </row>
    <row r="135" spans="1:10">
      <c r="A135" s="53">
        <f t="shared" si="67"/>
        <v>121</v>
      </c>
      <c r="B135" s="54">
        <f t="shared" ca="1" si="63"/>
        <v>-0.90005472739616199</v>
      </c>
      <c r="C135" s="55">
        <f t="shared" ca="1" si="64"/>
        <v>0</v>
      </c>
      <c r="D135" s="54">
        <f t="shared" ca="1" si="65"/>
        <v>6.1396018900918481E-3</v>
      </c>
      <c r="E135" s="95">
        <f t="shared" ca="1" si="70"/>
        <v>27.920700956942458</v>
      </c>
      <c r="F135" s="56">
        <f t="shared" ca="1" si="69"/>
        <v>9.4113681822350354E+32</v>
      </c>
      <c r="G135" s="56">
        <f t="shared" ca="1" si="66"/>
        <v>9.4113681822350354E+32</v>
      </c>
      <c r="H135" s="57" t="str">
        <f t="shared" ca="1" si="68"/>
        <v/>
      </c>
      <c r="I135" s="55"/>
      <c r="J135" s="55"/>
    </row>
    <row r="136" spans="1:10">
      <c r="A136" s="53">
        <f t="shared" si="67"/>
        <v>122</v>
      </c>
      <c r="B136" s="54">
        <f t="shared" ca="1" si="63"/>
        <v>14.173094143861935</v>
      </c>
      <c r="C136" s="55">
        <f t="shared" ca="1" si="64"/>
        <v>0</v>
      </c>
      <c r="D136" s="54">
        <f t="shared" ca="1" si="65"/>
        <v>-4.4751635030769758E-3</v>
      </c>
      <c r="E136" s="95">
        <f t="shared" ca="1" si="70"/>
        <v>42.993849828200553</v>
      </c>
      <c r="F136" s="56">
        <f t="shared" ca="1" si="69"/>
        <v>9.4113681822350354E+32</v>
      </c>
      <c r="G136" s="56">
        <f t="shared" ca="1" si="66"/>
        <v>9.4113681822350354E+32</v>
      </c>
      <c r="H136" s="57" t="str">
        <f t="shared" ca="1" si="68"/>
        <v/>
      </c>
      <c r="I136" s="55"/>
      <c r="J136" s="55"/>
    </row>
    <row r="137" spans="1:10">
      <c r="A137" s="53">
        <f t="shared" si="67"/>
        <v>123</v>
      </c>
      <c r="B137" s="54">
        <f t="shared" ca="1" si="63"/>
        <v>-8.3119701072063616</v>
      </c>
      <c r="C137" s="55">
        <f t="shared" ca="1" si="64"/>
        <v>0</v>
      </c>
      <c r="D137" s="54">
        <f t="shared" ca="1" si="65"/>
        <v>3.1671895436430911E-4</v>
      </c>
      <c r="E137" s="95">
        <f t="shared" ca="1" si="70"/>
        <v>20.508785577132258</v>
      </c>
      <c r="F137" s="56">
        <f t="shared" ca="1" si="69"/>
        <v>9.4113681822350354E+32</v>
      </c>
      <c r="G137" s="56">
        <f t="shared" ca="1" si="66"/>
        <v>9.4113681822350354E+32</v>
      </c>
      <c r="H137" s="57" t="str">
        <f t="shared" ca="1" si="68"/>
        <v/>
      </c>
      <c r="I137" s="55"/>
      <c r="J137" s="55"/>
    </row>
    <row r="138" spans="1:10">
      <c r="A138" s="53">
        <f t="shared" si="67"/>
        <v>124</v>
      </c>
      <c r="B138" s="54">
        <f t="shared" ca="1" si="63"/>
        <v>-1.4398042893363681</v>
      </c>
      <c r="C138" s="55">
        <f t="shared" ca="1" si="64"/>
        <v>0</v>
      </c>
      <c r="D138" s="54">
        <f t="shared" ca="1" si="65"/>
        <v>6.1710169979125552E-3</v>
      </c>
      <c r="E138" s="95">
        <f t="shared" ca="1" si="70"/>
        <v>27.380951395002253</v>
      </c>
      <c r="F138" s="56">
        <f t="shared" ca="1" si="69"/>
        <v>9.4113681822350354E+32</v>
      </c>
      <c r="G138" s="56">
        <f t="shared" ca="1" si="66"/>
        <v>9.4113681822350354E+32</v>
      </c>
      <c r="H138" s="57" t="str">
        <f t="shared" ca="1" si="68"/>
        <v/>
      </c>
      <c r="I138" s="55"/>
      <c r="J138" s="55"/>
    </row>
    <row r="139" spans="1:10">
      <c r="A139" s="53">
        <f t="shared" si="67"/>
        <v>125</v>
      </c>
      <c r="B139" s="54">
        <f t="shared" ca="1" si="63"/>
        <v>-4.0895691729311441</v>
      </c>
      <c r="C139" s="55">
        <f t="shared" ca="1" si="64"/>
        <v>0</v>
      </c>
      <c r="D139" s="54">
        <f t="shared" ca="1" si="65"/>
        <v>-2.0656524087580112E-3</v>
      </c>
      <c r="E139" s="95">
        <f t="shared" ca="1" si="70"/>
        <v>24.731186511407479</v>
      </c>
      <c r="F139" s="56">
        <f t="shared" ca="1" si="69"/>
        <v>9.4113681822350354E+32</v>
      </c>
      <c r="G139" s="56">
        <f t="shared" ca="1" si="66"/>
        <v>9.4113681822350354E+32</v>
      </c>
      <c r="H139" s="57" t="str">
        <f t="shared" ca="1" si="68"/>
        <v/>
      </c>
      <c r="I139" s="55"/>
      <c r="J139" s="55"/>
    </row>
    <row r="140" spans="1:10">
      <c r="A140" s="53">
        <f t="shared" si="67"/>
        <v>126</v>
      </c>
      <c r="B140" s="54">
        <f t="shared" ca="1" si="63"/>
        <v>3.6395077486974241</v>
      </c>
      <c r="C140" s="55">
        <f t="shared" ca="1" si="64"/>
        <v>0</v>
      </c>
      <c r="D140" s="54">
        <f t="shared" ca="1" si="65"/>
        <v>2.4272975540402249E-3</v>
      </c>
      <c r="E140" s="95">
        <f t="shared" ca="1" si="70"/>
        <v>32.460263433036047</v>
      </c>
      <c r="F140" s="56">
        <f t="shared" ca="1" si="69"/>
        <v>9.4113681822350354E+32</v>
      </c>
      <c r="G140" s="56">
        <f t="shared" ca="1" si="66"/>
        <v>9.4113681822350354E+32</v>
      </c>
      <c r="H140" s="57" t="str">
        <f t="shared" ca="1" si="68"/>
        <v/>
      </c>
      <c r="I140" s="55"/>
      <c r="J140" s="55"/>
    </row>
    <row r="141" spans="1:10">
      <c r="A141" s="53">
        <f t="shared" si="67"/>
        <v>127</v>
      </c>
      <c r="B141" s="54">
        <f t="shared" ca="1" si="63"/>
        <v>2.6001041070125219</v>
      </c>
      <c r="C141" s="55">
        <f t="shared" ca="1" si="64"/>
        <v>0</v>
      </c>
      <c r="D141" s="54">
        <f t="shared" ca="1" si="65"/>
        <v>2.8144379290307399E-3</v>
      </c>
      <c r="E141" s="95">
        <f t="shared" ca="1" si="70"/>
        <v>31.420859791351145</v>
      </c>
      <c r="F141" s="56">
        <f t="shared" ca="1" si="69"/>
        <v>9.4113681822350354E+32</v>
      </c>
      <c r="G141" s="56">
        <f t="shared" ca="1" si="66"/>
        <v>9.4113681822350354E+32</v>
      </c>
      <c r="H141" s="57" t="str">
        <f t="shared" ca="1" si="68"/>
        <v/>
      </c>
      <c r="I141" s="55"/>
      <c r="J141" s="55"/>
    </row>
    <row r="142" spans="1:10">
      <c r="A142" s="53">
        <f t="shared" si="67"/>
        <v>128</v>
      </c>
      <c r="B142" s="54">
        <f t="shared" ca="1" si="63"/>
        <v>10.0072176241852</v>
      </c>
      <c r="C142" s="55">
        <f t="shared" ca="1" si="64"/>
        <v>0</v>
      </c>
      <c r="D142" s="54">
        <f t="shared" ca="1" si="65"/>
        <v>6.2034842676223839E-3</v>
      </c>
      <c r="E142" s="95">
        <f t="shared" ca="1" si="70"/>
        <v>38.827973308523823</v>
      </c>
      <c r="F142" s="56">
        <f t="shared" ca="1" si="69"/>
        <v>9.4113681822350354E+32</v>
      </c>
      <c r="G142" s="56">
        <f t="shared" ca="1" si="66"/>
        <v>9.4113681822350354E+32</v>
      </c>
      <c r="H142" s="57" t="str">
        <f t="shared" ca="1" si="68"/>
        <v/>
      </c>
      <c r="I142" s="55"/>
      <c r="J142" s="55"/>
    </row>
    <row r="143" spans="1:10">
      <c r="A143" s="53">
        <f t="shared" si="67"/>
        <v>129</v>
      </c>
      <c r="B143" s="54">
        <f t="shared" ref="B143:B206" ca="1" si="71">sigma*NORMSINV(RAND())</f>
        <v>5.5839255280891882</v>
      </c>
      <c r="C143" s="55">
        <f t="shared" ref="C143:C206" ca="1" si="72">IF(RAND()&lt;jumpProb,1,0)</f>
        <v>0</v>
      </c>
      <c r="D143" s="54">
        <f t="shared" ref="D143:D206" ca="1" si="73">jumpMean+jumpStdDev*NORMSINV(RAND())</f>
        <v>-1.1618530361217627E-2</v>
      </c>
      <c r="E143" s="95">
        <f t="shared" ref="E143:E206" ca="1" si="74">alpha+B143+C143*D143</f>
        <v>34.404681212427811</v>
      </c>
      <c r="F143" s="56">
        <f t="shared" ca="1" si="69"/>
        <v>9.4113681822350354E+32</v>
      </c>
      <c r="G143" s="56">
        <f t="shared" ref="G143:G206" ca="1" si="75">F143</f>
        <v>9.4113681822350354E+32</v>
      </c>
      <c r="H143" s="57" t="str">
        <f t="shared" ca="1" si="68"/>
        <v/>
      </c>
      <c r="I143" s="55"/>
      <c r="J143" s="55"/>
    </row>
    <row r="144" spans="1:10">
      <c r="A144" s="53">
        <f t="shared" ref="A144:A207" si="76">A143+1</f>
        <v>130</v>
      </c>
      <c r="B144" s="54">
        <f t="shared" ca="1" si="71"/>
        <v>-6.6606981311373579</v>
      </c>
      <c r="C144" s="55">
        <f t="shared" ca="1" si="72"/>
        <v>0</v>
      </c>
      <c r="D144" s="54">
        <f t="shared" ca="1" si="73"/>
        <v>-5.9848088902716224E-3</v>
      </c>
      <c r="E144" s="95">
        <f t="shared" ca="1" si="74"/>
        <v>22.160057553201263</v>
      </c>
      <c r="F144" s="56">
        <f t="shared" ca="1" si="69"/>
        <v>9.4113681822350354E+32</v>
      </c>
      <c r="G144" s="56">
        <f t="shared" ca="1" si="75"/>
        <v>9.4113681822350354E+32</v>
      </c>
      <c r="H144" s="57" t="str">
        <f t="shared" ref="H144:H207" ca="1" si="77">IF(C144=1,G144,"")</f>
        <v/>
      </c>
      <c r="I144" s="55"/>
      <c r="J144" s="55"/>
    </row>
    <row r="145" spans="1:10">
      <c r="A145" s="53">
        <f t="shared" si="76"/>
        <v>131</v>
      </c>
      <c r="B145" s="54">
        <f t="shared" ca="1" si="71"/>
        <v>-3.3232164541895668</v>
      </c>
      <c r="C145" s="55">
        <f t="shared" ca="1" si="72"/>
        <v>0</v>
      </c>
      <c r="D145" s="54">
        <f t="shared" ca="1" si="73"/>
        <v>5.1871357176739939E-3</v>
      </c>
      <c r="E145" s="95">
        <f t="shared" ca="1" si="74"/>
        <v>25.497539230149055</v>
      </c>
      <c r="F145" s="56">
        <f t="shared" ref="F145:F208" ca="1" si="78">F144+E145</f>
        <v>9.4113681822350354E+32</v>
      </c>
      <c r="G145" s="56">
        <f t="shared" ca="1" si="75"/>
        <v>9.4113681822350354E+32</v>
      </c>
      <c r="H145" s="57" t="str">
        <f t="shared" ca="1" si="77"/>
        <v/>
      </c>
      <c r="I145" s="55"/>
      <c r="J145" s="55"/>
    </row>
    <row r="146" spans="1:10">
      <c r="A146" s="53">
        <f t="shared" si="76"/>
        <v>132</v>
      </c>
      <c r="B146" s="54">
        <f t="shared" ca="1" si="71"/>
        <v>-1.5100945160239658E-2</v>
      </c>
      <c r="C146" s="55">
        <f t="shared" ca="1" si="72"/>
        <v>0</v>
      </c>
      <c r="D146" s="54">
        <f t="shared" ca="1" si="73"/>
        <v>-3.5856921012701938E-3</v>
      </c>
      <c r="E146" s="95">
        <f t="shared" ca="1" si="74"/>
        <v>28.805654739178383</v>
      </c>
      <c r="F146" s="56">
        <f t="shared" ca="1" si="78"/>
        <v>9.4113681822350354E+32</v>
      </c>
      <c r="G146" s="56">
        <f t="shared" ca="1" si="75"/>
        <v>9.4113681822350354E+32</v>
      </c>
      <c r="H146" s="57" t="str">
        <f t="shared" ca="1" si="77"/>
        <v/>
      </c>
      <c r="I146" s="55"/>
      <c r="J146" s="55"/>
    </row>
    <row r="147" spans="1:10">
      <c r="A147" s="53">
        <f t="shared" si="76"/>
        <v>133</v>
      </c>
      <c r="B147" s="54">
        <f t="shared" ca="1" si="71"/>
        <v>1.6526993816226483</v>
      </c>
      <c r="C147" s="55">
        <f t="shared" ca="1" si="72"/>
        <v>0</v>
      </c>
      <c r="D147" s="54">
        <f t="shared" ca="1" si="73"/>
        <v>-3.0659589319151758E-3</v>
      </c>
      <c r="E147" s="95">
        <f t="shared" ca="1" si="74"/>
        <v>30.473455065961268</v>
      </c>
      <c r="F147" s="56">
        <f t="shared" ca="1" si="78"/>
        <v>9.4113681822350354E+32</v>
      </c>
      <c r="G147" s="56">
        <f t="shared" ca="1" si="75"/>
        <v>9.4113681822350354E+32</v>
      </c>
      <c r="H147" s="57" t="str">
        <f t="shared" ca="1" si="77"/>
        <v/>
      </c>
      <c r="I147" s="55"/>
      <c r="J147" s="55"/>
    </row>
    <row r="148" spans="1:10">
      <c r="A148" s="53">
        <f t="shared" si="76"/>
        <v>134</v>
      </c>
      <c r="B148" s="54">
        <f t="shared" ca="1" si="71"/>
        <v>-18.836635507661665</v>
      </c>
      <c r="C148" s="55">
        <f t="shared" ca="1" si="72"/>
        <v>0</v>
      </c>
      <c r="D148" s="54">
        <f t="shared" ca="1" si="73"/>
        <v>-1.4148984797467125E-2</v>
      </c>
      <c r="E148" s="95">
        <f t="shared" ca="1" si="74"/>
        <v>9.9841201766769565</v>
      </c>
      <c r="F148" s="56">
        <f t="shared" ca="1" si="78"/>
        <v>9.4113681822350354E+32</v>
      </c>
      <c r="G148" s="56">
        <f t="shared" ca="1" si="75"/>
        <v>9.4113681822350354E+32</v>
      </c>
      <c r="H148" s="57" t="str">
        <f t="shared" ca="1" si="77"/>
        <v/>
      </c>
      <c r="I148" s="55"/>
      <c r="J148" s="55"/>
    </row>
    <row r="149" spans="1:10">
      <c r="A149" s="53">
        <f t="shared" si="76"/>
        <v>135</v>
      </c>
      <c r="B149" s="54">
        <f t="shared" ca="1" si="71"/>
        <v>14.318014250580147</v>
      </c>
      <c r="C149" s="55">
        <f t="shared" ca="1" si="72"/>
        <v>1</v>
      </c>
      <c r="D149" s="54">
        <f t="shared" ca="1" si="73"/>
        <v>-7.7006629108951662E-3</v>
      </c>
      <c r="E149" s="95">
        <f t="shared" ca="1" si="74"/>
        <v>43.131069272007878</v>
      </c>
      <c r="F149" s="56">
        <f t="shared" ca="1" si="78"/>
        <v>9.4113681822350354E+32</v>
      </c>
      <c r="G149" s="56">
        <f t="shared" ca="1" si="75"/>
        <v>9.4113681822350354E+32</v>
      </c>
      <c r="H149" s="57">
        <f t="shared" ca="1" si="77"/>
        <v>9.4113681822350354E+32</v>
      </c>
      <c r="I149" s="55"/>
      <c r="J149" s="55"/>
    </row>
    <row r="150" spans="1:10">
      <c r="A150" s="53">
        <f t="shared" si="76"/>
        <v>136</v>
      </c>
      <c r="B150" s="54">
        <f t="shared" ca="1" si="71"/>
        <v>-9.0518706391167054</v>
      </c>
      <c r="C150" s="55">
        <f t="shared" ca="1" si="72"/>
        <v>0</v>
      </c>
      <c r="D150" s="54">
        <f t="shared" ca="1" si="73"/>
        <v>7.6900730032960366E-3</v>
      </c>
      <c r="E150" s="95">
        <f t="shared" ca="1" si="74"/>
        <v>19.768885045221914</v>
      </c>
      <c r="F150" s="56">
        <f t="shared" ca="1" si="78"/>
        <v>9.4113681822350354E+32</v>
      </c>
      <c r="G150" s="56">
        <f t="shared" ca="1" si="75"/>
        <v>9.4113681822350354E+32</v>
      </c>
      <c r="H150" s="57" t="str">
        <f t="shared" ca="1" si="77"/>
        <v/>
      </c>
      <c r="I150" s="55"/>
      <c r="J150" s="55"/>
    </row>
    <row r="151" spans="1:10">
      <c r="A151" s="53">
        <f t="shared" si="76"/>
        <v>137</v>
      </c>
      <c r="B151" s="54">
        <f t="shared" ca="1" si="71"/>
        <v>13.346482022930564</v>
      </c>
      <c r="C151" s="55">
        <f t="shared" ca="1" si="72"/>
        <v>0</v>
      </c>
      <c r="D151" s="54">
        <f t="shared" ca="1" si="73"/>
        <v>1.7054972905191559E-2</v>
      </c>
      <c r="E151" s="95">
        <f t="shared" ca="1" si="74"/>
        <v>42.167237707269187</v>
      </c>
      <c r="F151" s="56">
        <f t="shared" ca="1" si="78"/>
        <v>9.4113681822350354E+32</v>
      </c>
      <c r="G151" s="56">
        <f t="shared" ca="1" si="75"/>
        <v>9.4113681822350354E+32</v>
      </c>
      <c r="H151" s="57" t="str">
        <f t="shared" ca="1" si="77"/>
        <v/>
      </c>
      <c r="I151" s="55"/>
      <c r="J151" s="55"/>
    </row>
    <row r="152" spans="1:10">
      <c r="A152" s="53">
        <f t="shared" si="76"/>
        <v>138</v>
      </c>
      <c r="B152" s="54">
        <f t="shared" ca="1" si="71"/>
        <v>1.6628659000933321</v>
      </c>
      <c r="C152" s="55">
        <f t="shared" ca="1" si="72"/>
        <v>0</v>
      </c>
      <c r="D152" s="54">
        <f t="shared" ca="1" si="73"/>
        <v>4.5189756270661696E-3</v>
      </c>
      <c r="E152" s="95">
        <f t="shared" ca="1" si="74"/>
        <v>30.483621584431955</v>
      </c>
      <c r="F152" s="56">
        <f t="shared" ca="1" si="78"/>
        <v>9.4113681822350354E+32</v>
      </c>
      <c r="G152" s="56">
        <f t="shared" ca="1" si="75"/>
        <v>9.4113681822350354E+32</v>
      </c>
      <c r="H152" s="57" t="str">
        <f t="shared" ca="1" si="77"/>
        <v/>
      </c>
      <c r="I152" s="55"/>
      <c r="J152" s="55"/>
    </row>
    <row r="153" spans="1:10">
      <c r="A153" s="53">
        <f t="shared" si="76"/>
        <v>139</v>
      </c>
      <c r="B153" s="54">
        <f t="shared" ca="1" si="71"/>
        <v>2.67191457396983</v>
      </c>
      <c r="C153" s="55">
        <f t="shared" ca="1" si="72"/>
        <v>0</v>
      </c>
      <c r="D153" s="54">
        <f t="shared" ca="1" si="73"/>
        <v>1.4841166339916256E-2</v>
      </c>
      <c r="E153" s="95">
        <f t="shared" ca="1" si="74"/>
        <v>31.492670258308451</v>
      </c>
      <c r="F153" s="56">
        <f t="shared" ca="1" si="78"/>
        <v>9.4113681822350354E+32</v>
      </c>
      <c r="G153" s="56">
        <f t="shared" ca="1" si="75"/>
        <v>9.4113681822350354E+32</v>
      </c>
      <c r="H153" s="57" t="str">
        <f t="shared" ca="1" si="77"/>
        <v/>
      </c>
      <c r="I153" s="55"/>
      <c r="J153" s="55"/>
    </row>
    <row r="154" spans="1:10">
      <c r="A154" s="53">
        <f t="shared" si="76"/>
        <v>140</v>
      </c>
      <c r="B154" s="54">
        <f t="shared" ca="1" si="71"/>
        <v>-2.629202445596615</v>
      </c>
      <c r="C154" s="55">
        <f t="shared" ca="1" si="72"/>
        <v>0</v>
      </c>
      <c r="D154" s="54">
        <f t="shared" ca="1" si="73"/>
        <v>2.7437239079932461E-3</v>
      </c>
      <c r="E154" s="95">
        <f t="shared" ca="1" si="74"/>
        <v>26.191553238742006</v>
      </c>
      <c r="F154" s="56">
        <f t="shared" ca="1" si="78"/>
        <v>9.4113681822350354E+32</v>
      </c>
      <c r="G154" s="56">
        <f t="shared" ca="1" si="75"/>
        <v>9.4113681822350354E+32</v>
      </c>
      <c r="H154" s="57" t="str">
        <f t="shared" ca="1" si="77"/>
        <v/>
      </c>
      <c r="I154" s="55"/>
      <c r="J154" s="55"/>
    </row>
    <row r="155" spans="1:10">
      <c r="A155" s="53">
        <f t="shared" si="76"/>
        <v>141</v>
      </c>
      <c r="B155" s="54">
        <f t="shared" ca="1" si="71"/>
        <v>-10.310569462794824</v>
      </c>
      <c r="C155" s="55">
        <f t="shared" ca="1" si="72"/>
        <v>0</v>
      </c>
      <c r="D155" s="54">
        <f t="shared" ca="1" si="73"/>
        <v>-1.0993617536752449E-2</v>
      </c>
      <c r="E155" s="95">
        <f t="shared" ca="1" si="74"/>
        <v>18.510186221543798</v>
      </c>
      <c r="F155" s="56">
        <f t="shared" ca="1" si="78"/>
        <v>9.4113681822350354E+32</v>
      </c>
      <c r="G155" s="56">
        <f t="shared" ca="1" si="75"/>
        <v>9.4113681822350354E+32</v>
      </c>
      <c r="H155" s="57" t="str">
        <f t="shared" ca="1" si="77"/>
        <v/>
      </c>
      <c r="I155" s="55"/>
      <c r="J155" s="55"/>
    </row>
    <row r="156" spans="1:10">
      <c r="A156" s="53">
        <f t="shared" si="76"/>
        <v>142</v>
      </c>
      <c r="B156" s="54">
        <f t="shared" ca="1" si="71"/>
        <v>17.339914872850329</v>
      </c>
      <c r="C156" s="55">
        <f t="shared" ca="1" si="72"/>
        <v>0</v>
      </c>
      <c r="D156" s="54">
        <f t="shared" ca="1" si="73"/>
        <v>-2.0494719503893958E-3</v>
      </c>
      <c r="E156" s="95">
        <f t="shared" ca="1" si="74"/>
        <v>46.160670557188951</v>
      </c>
      <c r="F156" s="56">
        <f t="shared" ca="1" si="78"/>
        <v>9.4113681822350354E+32</v>
      </c>
      <c r="G156" s="56">
        <f t="shared" ca="1" si="75"/>
        <v>9.4113681822350354E+32</v>
      </c>
      <c r="H156" s="57" t="str">
        <f t="shared" ca="1" si="77"/>
        <v/>
      </c>
      <c r="I156" s="55"/>
      <c r="J156" s="55"/>
    </row>
    <row r="157" spans="1:10">
      <c r="A157" s="53">
        <f t="shared" si="76"/>
        <v>143</v>
      </c>
      <c r="B157" s="54">
        <f t="shared" ca="1" si="71"/>
        <v>-4.1135792275155563</v>
      </c>
      <c r="C157" s="55">
        <f t="shared" ca="1" si="72"/>
        <v>0</v>
      </c>
      <c r="D157" s="54">
        <f t="shared" ca="1" si="73"/>
        <v>6.9253689632105073E-3</v>
      </c>
      <c r="E157" s="95">
        <f t="shared" ca="1" si="74"/>
        <v>24.707176456823063</v>
      </c>
      <c r="F157" s="56">
        <f t="shared" ca="1" si="78"/>
        <v>9.4113681822350354E+32</v>
      </c>
      <c r="G157" s="56">
        <f t="shared" ca="1" si="75"/>
        <v>9.4113681822350354E+32</v>
      </c>
      <c r="H157" s="57" t="str">
        <f t="shared" ca="1" si="77"/>
        <v/>
      </c>
      <c r="I157" s="55"/>
      <c r="J157" s="55"/>
    </row>
    <row r="158" spans="1:10">
      <c r="A158" s="53">
        <f t="shared" si="76"/>
        <v>144</v>
      </c>
      <c r="B158" s="54">
        <f t="shared" ca="1" si="71"/>
        <v>5.2291087676108914</v>
      </c>
      <c r="C158" s="55">
        <f t="shared" ca="1" si="72"/>
        <v>0</v>
      </c>
      <c r="D158" s="54">
        <f t="shared" ca="1" si="73"/>
        <v>3.8366974076386642E-3</v>
      </c>
      <c r="E158" s="95">
        <f t="shared" ca="1" si="74"/>
        <v>34.04986445194951</v>
      </c>
      <c r="F158" s="56">
        <f t="shared" ca="1" si="78"/>
        <v>9.4113681822350354E+32</v>
      </c>
      <c r="G158" s="56">
        <f t="shared" ca="1" si="75"/>
        <v>9.4113681822350354E+32</v>
      </c>
      <c r="H158" s="57" t="str">
        <f t="shared" ca="1" si="77"/>
        <v/>
      </c>
      <c r="I158" s="55"/>
      <c r="J158" s="55"/>
    </row>
    <row r="159" spans="1:10">
      <c r="A159" s="53">
        <f t="shared" si="76"/>
        <v>145</v>
      </c>
      <c r="B159" s="54">
        <f t="shared" ca="1" si="71"/>
        <v>-9.3747401606326282</v>
      </c>
      <c r="C159" s="55">
        <f t="shared" ca="1" si="72"/>
        <v>0</v>
      </c>
      <c r="D159" s="54">
        <f t="shared" ca="1" si="73"/>
        <v>-7.4865526666536833E-3</v>
      </c>
      <c r="E159" s="95">
        <f t="shared" ca="1" si="74"/>
        <v>19.446015523705995</v>
      </c>
      <c r="F159" s="56">
        <f t="shared" ca="1" si="78"/>
        <v>9.4113681822350354E+32</v>
      </c>
      <c r="G159" s="56">
        <f t="shared" ca="1" si="75"/>
        <v>9.4113681822350354E+32</v>
      </c>
      <c r="H159" s="57" t="str">
        <f t="shared" ca="1" si="77"/>
        <v/>
      </c>
      <c r="I159" s="55"/>
      <c r="J159" s="55"/>
    </row>
    <row r="160" spans="1:10">
      <c r="A160" s="53">
        <f t="shared" si="76"/>
        <v>146</v>
      </c>
      <c r="B160" s="54">
        <f t="shared" ca="1" si="71"/>
        <v>1.7812218946869725</v>
      </c>
      <c r="C160" s="55">
        <f t="shared" ca="1" si="72"/>
        <v>0</v>
      </c>
      <c r="D160" s="54">
        <f t="shared" ca="1" si="73"/>
        <v>1.5038697296714987E-3</v>
      </c>
      <c r="E160" s="95">
        <f t="shared" ca="1" si="74"/>
        <v>30.601977579025593</v>
      </c>
      <c r="F160" s="56">
        <f t="shared" ca="1" si="78"/>
        <v>9.4113681822350354E+32</v>
      </c>
      <c r="G160" s="56">
        <f t="shared" ca="1" si="75"/>
        <v>9.4113681822350354E+32</v>
      </c>
      <c r="H160" s="57" t="str">
        <f t="shared" ca="1" si="77"/>
        <v/>
      </c>
      <c r="I160" s="55"/>
      <c r="J160" s="55"/>
    </row>
    <row r="161" spans="1:10">
      <c r="A161" s="53">
        <f t="shared" si="76"/>
        <v>147</v>
      </c>
      <c r="B161" s="54">
        <f t="shared" ca="1" si="71"/>
        <v>11.11493510523195</v>
      </c>
      <c r="C161" s="55">
        <f t="shared" ca="1" si="72"/>
        <v>0</v>
      </c>
      <c r="D161" s="54">
        <f t="shared" ca="1" si="73"/>
        <v>1.5143859916339813E-3</v>
      </c>
      <c r="E161" s="95">
        <f t="shared" ca="1" si="74"/>
        <v>39.935690789570572</v>
      </c>
      <c r="F161" s="56">
        <f t="shared" ca="1" si="78"/>
        <v>9.4113681822350354E+32</v>
      </c>
      <c r="G161" s="56">
        <f t="shared" ca="1" si="75"/>
        <v>9.4113681822350354E+32</v>
      </c>
      <c r="H161" s="57" t="str">
        <f t="shared" ca="1" si="77"/>
        <v/>
      </c>
      <c r="I161" s="55"/>
      <c r="J161" s="55"/>
    </row>
    <row r="162" spans="1:10">
      <c r="A162" s="53">
        <f t="shared" si="76"/>
        <v>148</v>
      </c>
      <c r="B162" s="54">
        <f t="shared" ca="1" si="71"/>
        <v>-8.0718681931227785</v>
      </c>
      <c r="C162" s="55">
        <f t="shared" ca="1" si="72"/>
        <v>0</v>
      </c>
      <c r="D162" s="54">
        <f t="shared" ca="1" si="73"/>
        <v>2.4160850499132052E-3</v>
      </c>
      <c r="E162" s="95">
        <f t="shared" ca="1" si="74"/>
        <v>20.748887491215843</v>
      </c>
      <c r="F162" s="56">
        <f t="shared" ca="1" si="78"/>
        <v>9.4113681822350354E+32</v>
      </c>
      <c r="G162" s="56">
        <f t="shared" ca="1" si="75"/>
        <v>9.4113681822350354E+32</v>
      </c>
      <c r="H162" s="57" t="str">
        <f t="shared" ca="1" si="77"/>
        <v/>
      </c>
      <c r="I162" s="55"/>
      <c r="J162" s="55"/>
    </row>
    <row r="163" spans="1:10">
      <c r="A163" s="53">
        <f t="shared" si="76"/>
        <v>149</v>
      </c>
      <c r="B163" s="54">
        <f t="shared" ca="1" si="71"/>
        <v>7.7621987145902489</v>
      </c>
      <c r="C163" s="55">
        <f t="shared" ca="1" si="72"/>
        <v>0</v>
      </c>
      <c r="D163" s="54">
        <f t="shared" ca="1" si="73"/>
        <v>-1.2899343781231396E-2</v>
      </c>
      <c r="E163" s="95">
        <f t="shared" ca="1" si="74"/>
        <v>36.582954398928869</v>
      </c>
      <c r="F163" s="56">
        <f t="shared" ca="1" si="78"/>
        <v>9.4113681822350354E+32</v>
      </c>
      <c r="G163" s="56">
        <f t="shared" ca="1" si="75"/>
        <v>9.4113681822350354E+32</v>
      </c>
      <c r="H163" s="57" t="str">
        <f t="shared" ca="1" si="77"/>
        <v/>
      </c>
      <c r="I163" s="55"/>
      <c r="J163" s="55"/>
    </row>
    <row r="164" spans="1:10">
      <c r="A164" s="53">
        <f t="shared" si="76"/>
        <v>150</v>
      </c>
      <c r="B164" s="54">
        <f t="shared" ca="1" si="71"/>
        <v>-24.238393600507013</v>
      </c>
      <c r="C164" s="55">
        <f t="shared" ca="1" si="72"/>
        <v>0</v>
      </c>
      <c r="D164" s="54">
        <f t="shared" ca="1" si="73"/>
        <v>-6.2637345457173593E-3</v>
      </c>
      <c r="E164" s="95">
        <f t="shared" ca="1" si="74"/>
        <v>4.5823620838316081</v>
      </c>
      <c r="F164" s="56">
        <f t="shared" ca="1" si="78"/>
        <v>9.4113681822350354E+32</v>
      </c>
      <c r="G164" s="56">
        <f t="shared" ca="1" si="75"/>
        <v>9.4113681822350354E+32</v>
      </c>
      <c r="H164" s="57" t="str">
        <f t="shared" ca="1" si="77"/>
        <v/>
      </c>
      <c r="I164" s="55"/>
      <c r="J164" s="55"/>
    </row>
    <row r="165" spans="1:10">
      <c r="A165" s="53">
        <f t="shared" si="76"/>
        <v>151</v>
      </c>
      <c r="B165" s="54">
        <f t="shared" ca="1" si="71"/>
        <v>1.7949674812981062</v>
      </c>
      <c r="C165" s="55">
        <f t="shared" ca="1" si="72"/>
        <v>0</v>
      </c>
      <c r="D165" s="54">
        <f t="shared" ca="1" si="73"/>
        <v>-1.3859315627622448E-3</v>
      </c>
      <c r="E165" s="95">
        <f t="shared" ca="1" si="74"/>
        <v>30.615723165636727</v>
      </c>
      <c r="F165" s="56">
        <f t="shared" ca="1" si="78"/>
        <v>9.4113681822350354E+32</v>
      </c>
      <c r="G165" s="56">
        <f t="shared" ca="1" si="75"/>
        <v>9.4113681822350354E+32</v>
      </c>
      <c r="H165" s="57" t="str">
        <f t="shared" ca="1" si="77"/>
        <v/>
      </c>
      <c r="I165" s="55"/>
      <c r="J165" s="55"/>
    </row>
    <row r="166" spans="1:10">
      <c r="A166" s="53">
        <f t="shared" si="76"/>
        <v>152</v>
      </c>
      <c r="B166" s="54">
        <f t="shared" ca="1" si="71"/>
        <v>-4.9511818699694672</v>
      </c>
      <c r="C166" s="55">
        <f t="shared" ca="1" si="72"/>
        <v>0</v>
      </c>
      <c r="D166" s="54">
        <f t="shared" ca="1" si="73"/>
        <v>1.09858752199129E-2</v>
      </c>
      <c r="E166" s="95">
        <f t="shared" ca="1" si="74"/>
        <v>23.869573814369154</v>
      </c>
      <c r="F166" s="56">
        <f t="shared" ca="1" si="78"/>
        <v>9.4113681822350354E+32</v>
      </c>
      <c r="G166" s="56">
        <f t="shared" ca="1" si="75"/>
        <v>9.4113681822350354E+32</v>
      </c>
      <c r="H166" s="57" t="str">
        <f t="shared" ca="1" si="77"/>
        <v/>
      </c>
      <c r="I166" s="55"/>
      <c r="J166" s="55"/>
    </row>
    <row r="167" spans="1:10">
      <c r="A167" s="53">
        <f t="shared" si="76"/>
        <v>153</v>
      </c>
      <c r="B167" s="54">
        <f t="shared" ca="1" si="71"/>
        <v>20.783986364063693</v>
      </c>
      <c r="C167" s="55">
        <f t="shared" ca="1" si="72"/>
        <v>0</v>
      </c>
      <c r="D167" s="54">
        <f t="shared" ca="1" si="73"/>
        <v>1.0409709050297483E-2</v>
      </c>
      <c r="E167" s="95">
        <f t="shared" ca="1" si="74"/>
        <v>49.604742048402315</v>
      </c>
      <c r="F167" s="56">
        <f t="shared" ca="1" si="78"/>
        <v>9.4113681822350354E+32</v>
      </c>
      <c r="G167" s="56">
        <f t="shared" ca="1" si="75"/>
        <v>9.4113681822350354E+32</v>
      </c>
      <c r="H167" s="57" t="str">
        <f t="shared" ca="1" si="77"/>
        <v/>
      </c>
      <c r="I167" s="55"/>
      <c r="J167" s="55"/>
    </row>
    <row r="168" spans="1:10">
      <c r="A168" s="53">
        <f t="shared" si="76"/>
        <v>154</v>
      </c>
      <c r="B168" s="54">
        <f t="shared" ca="1" si="71"/>
        <v>8.0850252136316225</v>
      </c>
      <c r="C168" s="55">
        <f t="shared" ca="1" si="72"/>
        <v>0</v>
      </c>
      <c r="D168" s="54">
        <f t="shared" ca="1" si="73"/>
        <v>-5.2599249293720576E-3</v>
      </c>
      <c r="E168" s="95">
        <f t="shared" ca="1" si="74"/>
        <v>36.905780897970246</v>
      </c>
      <c r="F168" s="56">
        <f t="shared" ca="1" si="78"/>
        <v>9.4113681822350354E+32</v>
      </c>
      <c r="G168" s="56">
        <f t="shared" ca="1" si="75"/>
        <v>9.4113681822350354E+32</v>
      </c>
      <c r="H168" s="57" t="str">
        <f t="shared" ca="1" si="77"/>
        <v/>
      </c>
      <c r="I168" s="55"/>
      <c r="J168" s="55"/>
    </row>
    <row r="169" spans="1:10">
      <c r="A169" s="53">
        <f t="shared" si="76"/>
        <v>155</v>
      </c>
      <c r="B169" s="54">
        <f t="shared" ca="1" si="71"/>
        <v>-4.634123766662527</v>
      </c>
      <c r="C169" s="55">
        <f t="shared" ca="1" si="72"/>
        <v>0</v>
      </c>
      <c r="D169" s="54">
        <f t="shared" ca="1" si="73"/>
        <v>1.6708940841744558E-3</v>
      </c>
      <c r="E169" s="95">
        <f t="shared" ca="1" si="74"/>
        <v>24.186631917676095</v>
      </c>
      <c r="F169" s="56">
        <f t="shared" ca="1" si="78"/>
        <v>9.4113681822350354E+32</v>
      </c>
      <c r="G169" s="56">
        <f t="shared" ca="1" si="75"/>
        <v>9.4113681822350354E+32</v>
      </c>
      <c r="H169" s="57" t="str">
        <f t="shared" ca="1" si="77"/>
        <v/>
      </c>
      <c r="I169" s="55"/>
      <c r="J169" s="55"/>
    </row>
    <row r="170" spans="1:10">
      <c r="A170" s="53">
        <f t="shared" si="76"/>
        <v>156</v>
      </c>
      <c r="B170" s="54">
        <f t="shared" ca="1" si="71"/>
        <v>-2.6047388747460238</v>
      </c>
      <c r="C170" s="55">
        <f t="shared" ca="1" si="72"/>
        <v>0</v>
      </c>
      <c r="D170" s="54">
        <f t="shared" ca="1" si="73"/>
        <v>-1.0060772941461025E-2</v>
      </c>
      <c r="E170" s="95">
        <f t="shared" ca="1" si="74"/>
        <v>26.216016809592599</v>
      </c>
      <c r="F170" s="56">
        <f t="shared" ca="1" si="78"/>
        <v>9.4113681822350354E+32</v>
      </c>
      <c r="G170" s="56">
        <f t="shared" ca="1" si="75"/>
        <v>9.4113681822350354E+32</v>
      </c>
      <c r="H170" s="57" t="str">
        <f t="shared" ca="1" si="77"/>
        <v/>
      </c>
      <c r="I170" s="55"/>
      <c r="J170" s="55"/>
    </row>
    <row r="171" spans="1:10">
      <c r="A171" s="53">
        <f t="shared" si="76"/>
        <v>157</v>
      </c>
      <c r="B171" s="54">
        <f t="shared" ca="1" si="71"/>
        <v>6.5560139089161025</v>
      </c>
      <c r="C171" s="55">
        <f t="shared" ca="1" si="72"/>
        <v>0</v>
      </c>
      <c r="D171" s="54">
        <f t="shared" ca="1" si="73"/>
        <v>1.4552684179497052E-2</v>
      </c>
      <c r="E171" s="95">
        <f t="shared" ca="1" si="74"/>
        <v>35.376769593254721</v>
      </c>
      <c r="F171" s="56">
        <f t="shared" ca="1" si="78"/>
        <v>9.4113681822350354E+32</v>
      </c>
      <c r="G171" s="56">
        <f t="shared" ca="1" si="75"/>
        <v>9.4113681822350354E+32</v>
      </c>
      <c r="H171" s="57" t="str">
        <f t="shared" ca="1" si="77"/>
        <v/>
      </c>
      <c r="I171" s="55"/>
      <c r="J171" s="55"/>
    </row>
    <row r="172" spans="1:10">
      <c r="A172" s="53">
        <f t="shared" si="76"/>
        <v>158</v>
      </c>
      <c r="B172" s="54">
        <f t="shared" ca="1" si="71"/>
        <v>6.8436015058607982</v>
      </c>
      <c r="C172" s="55">
        <f t="shared" ca="1" si="72"/>
        <v>0</v>
      </c>
      <c r="D172" s="54">
        <f t="shared" ca="1" si="73"/>
        <v>-1.3539235794227207E-3</v>
      </c>
      <c r="E172" s="95">
        <f t="shared" ca="1" si="74"/>
        <v>35.664357190199418</v>
      </c>
      <c r="F172" s="56">
        <f t="shared" ca="1" si="78"/>
        <v>9.4113681822350354E+32</v>
      </c>
      <c r="G172" s="56">
        <f t="shared" ca="1" si="75"/>
        <v>9.4113681822350354E+32</v>
      </c>
      <c r="H172" s="57" t="str">
        <f t="shared" ca="1" si="77"/>
        <v/>
      </c>
      <c r="I172" s="55"/>
      <c r="J172" s="55"/>
    </row>
    <row r="173" spans="1:10">
      <c r="A173" s="53">
        <f t="shared" si="76"/>
        <v>159</v>
      </c>
      <c r="B173" s="54">
        <f t="shared" ca="1" si="71"/>
        <v>14.104599478123561</v>
      </c>
      <c r="C173" s="55">
        <f t="shared" ca="1" si="72"/>
        <v>1</v>
      </c>
      <c r="D173" s="54">
        <f t="shared" ca="1" si="73"/>
        <v>8.9524585226118912E-3</v>
      </c>
      <c r="E173" s="95">
        <f t="shared" ca="1" si="74"/>
        <v>42.934307620984796</v>
      </c>
      <c r="F173" s="56">
        <f t="shared" ca="1" si="78"/>
        <v>9.4113681822350354E+32</v>
      </c>
      <c r="G173" s="56">
        <f t="shared" ca="1" si="75"/>
        <v>9.4113681822350354E+32</v>
      </c>
      <c r="H173" s="57">
        <f t="shared" ca="1" si="77"/>
        <v>9.4113681822350354E+32</v>
      </c>
      <c r="I173" s="55"/>
      <c r="J173" s="55"/>
    </row>
    <row r="174" spans="1:10">
      <c r="A174" s="53">
        <f t="shared" si="76"/>
        <v>160</v>
      </c>
      <c r="B174" s="54">
        <f t="shared" ca="1" si="71"/>
        <v>-6.2750863891396236</v>
      </c>
      <c r="C174" s="55">
        <f t="shared" ca="1" si="72"/>
        <v>0</v>
      </c>
      <c r="D174" s="54">
        <f t="shared" ca="1" si="73"/>
        <v>4.9533848111963158E-3</v>
      </c>
      <c r="E174" s="95">
        <f t="shared" ca="1" si="74"/>
        <v>22.545669295198998</v>
      </c>
      <c r="F174" s="56">
        <f t="shared" ca="1" si="78"/>
        <v>9.4113681822350354E+32</v>
      </c>
      <c r="G174" s="56">
        <f t="shared" ca="1" si="75"/>
        <v>9.4113681822350354E+32</v>
      </c>
      <c r="H174" s="57" t="str">
        <f t="shared" ca="1" si="77"/>
        <v/>
      </c>
      <c r="I174" s="55"/>
      <c r="J174" s="55"/>
    </row>
    <row r="175" spans="1:10">
      <c r="A175" s="53">
        <f t="shared" si="76"/>
        <v>161</v>
      </c>
      <c r="B175" s="54">
        <f t="shared" ca="1" si="71"/>
        <v>-21.011475966566163</v>
      </c>
      <c r="C175" s="55">
        <f t="shared" ca="1" si="72"/>
        <v>0</v>
      </c>
      <c r="D175" s="54">
        <f t="shared" ca="1" si="73"/>
        <v>-1.8052312309480775E-2</v>
      </c>
      <c r="E175" s="95">
        <f t="shared" ca="1" si="74"/>
        <v>7.8092797177724584</v>
      </c>
      <c r="F175" s="56">
        <f t="shared" ca="1" si="78"/>
        <v>9.4113681822350354E+32</v>
      </c>
      <c r="G175" s="56">
        <f t="shared" ca="1" si="75"/>
        <v>9.4113681822350354E+32</v>
      </c>
      <c r="H175" s="57" t="str">
        <f t="shared" ca="1" si="77"/>
        <v/>
      </c>
      <c r="I175" s="55"/>
      <c r="J175" s="55"/>
    </row>
    <row r="176" spans="1:10">
      <c r="A176" s="53">
        <f t="shared" si="76"/>
        <v>162</v>
      </c>
      <c r="B176" s="54">
        <f t="shared" ca="1" si="71"/>
        <v>0.6362039001609272</v>
      </c>
      <c r="C176" s="55">
        <f t="shared" ca="1" si="72"/>
        <v>0</v>
      </c>
      <c r="D176" s="54">
        <f t="shared" ca="1" si="73"/>
        <v>4.9648735595266783E-3</v>
      </c>
      <c r="E176" s="54">
        <f t="shared" ca="1" si="74"/>
        <v>29.45695958449955</v>
      </c>
      <c r="F176" s="56">
        <f t="shared" ca="1" si="78"/>
        <v>9.4113681822350354E+32</v>
      </c>
      <c r="G176" s="56">
        <f t="shared" ca="1" si="75"/>
        <v>9.4113681822350354E+32</v>
      </c>
      <c r="H176" s="57" t="str">
        <f t="shared" ca="1" si="77"/>
        <v/>
      </c>
      <c r="I176" s="55"/>
      <c r="J176" s="55"/>
    </row>
    <row r="177" spans="1:10">
      <c r="A177" s="53">
        <f t="shared" si="76"/>
        <v>163</v>
      </c>
      <c r="B177" s="54">
        <f t="shared" ca="1" si="71"/>
        <v>-6.9968333972157968</v>
      </c>
      <c r="C177" s="55">
        <f t="shared" ca="1" si="72"/>
        <v>0</v>
      </c>
      <c r="D177" s="54">
        <f t="shared" ca="1" si="73"/>
        <v>2.5138270750246551E-3</v>
      </c>
      <c r="E177" s="54">
        <f t="shared" ca="1" si="74"/>
        <v>21.823922287122826</v>
      </c>
      <c r="F177" s="56">
        <f t="shared" ca="1" si="78"/>
        <v>9.4113681822350354E+32</v>
      </c>
      <c r="G177" s="56">
        <f t="shared" ca="1" si="75"/>
        <v>9.4113681822350354E+32</v>
      </c>
      <c r="H177" s="57" t="str">
        <f t="shared" ca="1" si="77"/>
        <v/>
      </c>
      <c r="I177" s="55"/>
      <c r="J177" s="55"/>
    </row>
    <row r="178" spans="1:10">
      <c r="A178" s="53">
        <f t="shared" si="76"/>
        <v>164</v>
      </c>
      <c r="B178" s="54">
        <f t="shared" ca="1" si="71"/>
        <v>1.2710835108908747</v>
      </c>
      <c r="C178" s="55">
        <f t="shared" ca="1" si="72"/>
        <v>0</v>
      </c>
      <c r="D178" s="54">
        <f t="shared" ca="1" si="73"/>
        <v>-2.2955272886775485E-2</v>
      </c>
      <c r="E178" s="54">
        <f t="shared" ca="1" si="74"/>
        <v>30.091839195229497</v>
      </c>
      <c r="F178" s="56">
        <f t="shared" ca="1" si="78"/>
        <v>9.4113681822350354E+32</v>
      </c>
      <c r="G178" s="56">
        <f t="shared" ca="1" si="75"/>
        <v>9.4113681822350354E+32</v>
      </c>
      <c r="H178" s="57" t="str">
        <f t="shared" ca="1" si="77"/>
        <v/>
      </c>
      <c r="I178" s="55"/>
      <c r="J178" s="55"/>
    </row>
    <row r="179" spans="1:10">
      <c r="A179" s="53">
        <f t="shared" si="76"/>
        <v>165</v>
      </c>
      <c r="B179" s="54">
        <f t="shared" ca="1" si="71"/>
        <v>-0.66468572125924275</v>
      </c>
      <c r="C179" s="55">
        <f t="shared" ca="1" si="72"/>
        <v>0</v>
      </c>
      <c r="D179" s="54">
        <f t="shared" ca="1" si="73"/>
        <v>-1.4556026292880109E-3</v>
      </c>
      <c r="E179" s="54">
        <f t="shared" ca="1" si="74"/>
        <v>28.156069963079378</v>
      </c>
      <c r="F179" s="56">
        <f t="shared" ca="1" si="78"/>
        <v>9.4113681822350354E+32</v>
      </c>
      <c r="G179" s="56">
        <f t="shared" ca="1" si="75"/>
        <v>9.4113681822350354E+32</v>
      </c>
      <c r="H179" s="57" t="str">
        <f t="shared" ca="1" si="77"/>
        <v/>
      </c>
      <c r="I179" s="55"/>
      <c r="J179" s="55"/>
    </row>
    <row r="180" spans="1:10">
      <c r="A180" s="53">
        <f t="shared" si="76"/>
        <v>166</v>
      </c>
      <c r="B180" s="54">
        <f t="shared" ca="1" si="71"/>
        <v>2.5456570090887976</v>
      </c>
      <c r="C180" s="55">
        <f t="shared" ca="1" si="72"/>
        <v>0</v>
      </c>
      <c r="D180" s="54">
        <f t="shared" ca="1" si="73"/>
        <v>-1.2703866337732145E-2</v>
      </c>
      <c r="E180" s="54">
        <f t="shared" ca="1" si="74"/>
        <v>31.366412693427421</v>
      </c>
      <c r="F180" s="56">
        <f t="shared" ca="1" si="78"/>
        <v>9.4113681822350354E+32</v>
      </c>
      <c r="G180" s="56">
        <f t="shared" ca="1" si="75"/>
        <v>9.4113681822350354E+32</v>
      </c>
      <c r="H180" s="57" t="str">
        <f t="shared" ca="1" si="77"/>
        <v/>
      </c>
      <c r="I180" s="55"/>
      <c r="J180" s="55"/>
    </row>
    <row r="181" spans="1:10">
      <c r="A181" s="53">
        <f t="shared" si="76"/>
        <v>167</v>
      </c>
      <c r="B181" s="54">
        <f t="shared" ca="1" si="71"/>
        <v>2.0472096791384549</v>
      </c>
      <c r="C181" s="55">
        <f t="shared" ca="1" si="72"/>
        <v>0</v>
      </c>
      <c r="D181" s="54">
        <f t="shared" ca="1" si="73"/>
        <v>-3.6179195896053709E-3</v>
      </c>
      <c r="E181" s="54">
        <f t="shared" ca="1" si="74"/>
        <v>30.867965363477076</v>
      </c>
      <c r="F181" s="56">
        <f t="shared" ca="1" si="78"/>
        <v>9.4113681822350354E+32</v>
      </c>
      <c r="G181" s="56">
        <f t="shared" ca="1" si="75"/>
        <v>9.4113681822350354E+32</v>
      </c>
      <c r="H181" s="57" t="str">
        <f t="shared" ca="1" si="77"/>
        <v/>
      </c>
      <c r="I181" s="55"/>
      <c r="J181" s="55"/>
    </row>
    <row r="182" spans="1:10">
      <c r="A182" s="53">
        <f t="shared" si="76"/>
        <v>168</v>
      </c>
      <c r="B182" s="54">
        <f t="shared" ca="1" si="71"/>
        <v>6.3312978111392786</v>
      </c>
      <c r="C182" s="55">
        <f t="shared" ca="1" si="72"/>
        <v>0</v>
      </c>
      <c r="D182" s="54">
        <f t="shared" ca="1" si="73"/>
        <v>-1.2028623166902399E-2</v>
      </c>
      <c r="E182" s="54">
        <f t="shared" ca="1" si="74"/>
        <v>35.152053495477901</v>
      </c>
      <c r="F182" s="56">
        <f t="shared" ca="1" si="78"/>
        <v>9.4113681822350354E+32</v>
      </c>
      <c r="G182" s="56">
        <f t="shared" ca="1" si="75"/>
        <v>9.4113681822350354E+32</v>
      </c>
      <c r="H182" s="57" t="str">
        <f t="shared" ca="1" si="77"/>
        <v/>
      </c>
      <c r="I182" s="55"/>
      <c r="J182" s="55"/>
    </row>
    <row r="183" spans="1:10">
      <c r="A183" s="53">
        <f t="shared" si="76"/>
        <v>169</v>
      </c>
      <c r="B183" s="54">
        <f t="shared" ca="1" si="71"/>
        <v>12.137661878405945</v>
      </c>
      <c r="C183" s="55">
        <f t="shared" ca="1" si="72"/>
        <v>0</v>
      </c>
      <c r="D183" s="54">
        <f t="shared" ca="1" si="73"/>
        <v>4.9743136827783757E-3</v>
      </c>
      <c r="E183" s="54">
        <f t="shared" ca="1" si="74"/>
        <v>40.958417562744565</v>
      </c>
      <c r="F183" s="56">
        <f t="shared" ca="1" si="78"/>
        <v>9.4113681822350354E+32</v>
      </c>
      <c r="G183" s="56">
        <f t="shared" ca="1" si="75"/>
        <v>9.4113681822350354E+32</v>
      </c>
      <c r="H183" s="57" t="str">
        <f t="shared" ca="1" si="77"/>
        <v/>
      </c>
      <c r="I183" s="55"/>
      <c r="J183" s="55"/>
    </row>
    <row r="184" spans="1:10">
      <c r="A184" s="53">
        <f t="shared" si="76"/>
        <v>170</v>
      </c>
      <c r="B184" s="54">
        <f t="shared" ca="1" si="71"/>
        <v>-17.900475510427039</v>
      </c>
      <c r="C184" s="55">
        <f t="shared" ca="1" si="72"/>
        <v>0</v>
      </c>
      <c r="D184" s="54">
        <f t="shared" ca="1" si="73"/>
        <v>-1.727183773160023E-2</v>
      </c>
      <c r="E184" s="54">
        <f t="shared" ca="1" si="74"/>
        <v>10.920280173911582</v>
      </c>
      <c r="F184" s="56">
        <f t="shared" ca="1" si="78"/>
        <v>9.4113681822350354E+32</v>
      </c>
      <c r="G184" s="56">
        <f t="shared" ca="1" si="75"/>
        <v>9.4113681822350354E+32</v>
      </c>
      <c r="H184" s="57" t="str">
        <f t="shared" ca="1" si="77"/>
        <v/>
      </c>
      <c r="I184" s="55"/>
      <c r="J184" s="55"/>
    </row>
    <row r="185" spans="1:10">
      <c r="A185" s="53">
        <f t="shared" si="76"/>
        <v>171</v>
      </c>
      <c r="B185" s="54">
        <f t="shared" ca="1" si="71"/>
        <v>-10.865299015588898</v>
      </c>
      <c r="C185" s="55">
        <f t="shared" ca="1" si="72"/>
        <v>0</v>
      </c>
      <c r="D185" s="54">
        <f t="shared" ca="1" si="73"/>
        <v>9.7884730681357234E-3</v>
      </c>
      <c r="E185" s="54">
        <f t="shared" ca="1" si="74"/>
        <v>17.955456668749726</v>
      </c>
      <c r="F185" s="56">
        <f t="shared" ca="1" si="78"/>
        <v>9.4113681822350354E+32</v>
      </c>
      <c r="G185" s="56">
        <f t="shared" ca="1" si="75"/>
        <v>6.6203742904080193E+29</v>
      </c>
      <c r="H185" s="57" t="str">
        <f t="shared" ca="1" si="77"/>
        <v/>
      </c>
      <c r="I185" s="55"/>
      <c r="J185" s="55"/>
    </row>
    <row r="186" spans="1:10">
      <c r="A186" s="53">
        <f t="shared" si="76"/>
        <v>172</v>
      </c>
      <c r="B186" s="54">
        <f t="shared" ca="1" si="71"/>
        <v>16.785162521523471</v>
      </c>
      <c r="C186" s="55">
        <f t="shared" ca="1" si="72"/>
        <v>0</v>
      </c>
      <c r="D186" s="54">
        <f t="shared" ca="1" si="73"/>
        <v>-1.1431760374956346E-2</v>
      </c>
      <c r="E186" s="54">
        <f t="shared" ca="1" si="74"/>
        <v>45.605918205862096</v>
      </c>
      <c r="F186" s="56">
        <f t="shared" ca="1" si="78"/>
        <v>6.6203742904080193E+29</v>
      </c>
      <c r="G186" s="56">
        <f t="shared" ca="1" si="75"/>
        <v>6.6203742904080193E+29</v>
      </c>
      <c r="H186" s="57" t="str">
        <f t="shared" ca="1" si="77"/>
        <v/>
      </c>
      <c r="I186" s="55"/>
      <c r="J186" s="55"/>
    </row>
    <row r="187" spans="1:10">
      <c r="A187" s="53">
        <f t="shared" si="76"/>
        <v>173</v>
      </c>
      <c r="B187" s="54">
        <f t="shared" ca="1" si="71"/>
        <v>4.267989287512604</v>
      </c>
      <c r="C187" s="55">
        <f t="shared" ca="1" si="72"/>
        <v>0</v>
      </c>
      <c r="D187" s="54">
        <f t="shared" ca="1" si="73"/>
        <v>-6.205263069411329E-3</v>
      </c>
      <c r="E187" s="54">
        <f t="shared" ca="1" si="74"/>
        <v>33.088744971851227</v>
      </c>
      <c r="F187" s="56">
        <f t="shared" ca="1" si="78"/>
        <v>6.6203742904080193E+29</v>
      </c>
      <c r="G187" s="56">
        <f t="shared" ca="1" si="75"/>
        <v>6.6203742904080193E+29</v>
      </c>
      <c r="H187" s="57" t="str">
        <f t="shared" ca="1" si="77"/>
        <v/>
      </c>
      <c r="I187" s="55"/>
      <c r="J187" s="55"/>
    </row>
    <row r="188" spans="1:10">
      <c r="A188" s="53">
        <f t="shared" si="76"/>
        <v>174</v>
      </c>
      <c r="B188" s="54">
        <f t="shared" ca="1" si="71"/>
        <v>13.69464208899238</v>
      </c>
      <c r="C188" s="55">
        <f t="shared" ca="1" si="72"/>
        <v>0</v>
      </c>
      <c r="D188" s="54">
        <f t="shared" ca="1" si="73"/>
        <v>1.0629108121273831E-2</v>
      </c>
      <c r="E188" s="54">
        <f t="shared" ca="1" si="74"/>
        <v>42.515397773331003</v>
      </c>
      <c r="F188" s="56">
        <f t="shared" ca="1" si="78"/>
        <v>6.6203742904080193E+29</v>
      </c>
      <c r="G188" s="56">
        <f t="shared" ca="1" si="75"/>
        <v>6.6203742904080193E+29</v>
      </c>
      <c r="H188" s="57" t="str">
        <f t="shared" ca="1" si="77"/>
        <v/>
      </c>
      <c r="I188" s="55"/>
      <c r="J188" s="55"/>
    </row>
    <row r="189" spans="1:10">
      <c r="A189" s="53">
        <f t="shared" si="76"/>
        <v>175</v>
      </c>
      <c r="B189" s="54">
        <f t="shared" ca="1" si="71"/>
        <v>-10.049355702751459</v>
      </c>
      <c r="C189" s="55">
        <f t="shared" ca="1" si="72"/>
        <v>0</v>
      </c>
      <c r="D189" s="54">
        <f t="shared" ca="1" si="73"/>
        <v>-7.5046901049209682E-3</v>
      </c>
      <c r="E189" s="54">
        <f t="shared" ca="1" si="74"/>
        <v>18.771399981587162</v>
      </c>
      <c r="F189" s="56">
        <f t="shared" ca="1" si="78"/>
        <v>6.6203742904080193E+29</v>
      </c>
      <c r="G189" s="56">
        <f t="shared" ca="1" si="75"/>
        <v>6.6203742904080193E+29</v>
      </c>
      <c r="H189" s="57" t="str">
        <f t="shared" ca="1" si="77"/>
        <v/>
      </c>
      <c r="I189" s="55"/>
      <c r="J189" s="55"/>
    </row>
    <row r="190" spans="1:10">
      <c r="A190" s="53">
        <f t="shared" si="76"/>
        <v>176</v>
      </c>
      <c r="B190" s="54">
        <f t="shared" ca="1" si="71"/>
        <v>-2.2715621385436306</v>
      </c>
      <c r="C190" s="55">
        <f t="shared" ca="1" si="72"/>
        <v>1</v>
      </c>
      <c r="D190" s="54">
        <f t="shared" ca="1" si="73"/>
        <v>3.9473657703653978E-3</v>
      </c>
      <c r="E190" s="54">
        <f t="shared" ca="1" si="74"/>
        <v>26.553140911565357</v>
      </c>
      <c r="F190" s="56">
        <f t="shared" ca="1" si="78"/>
        <v>6.6203742904080193E+29</v>
      </c>
      <c r="G190" s="56">
        <f t="shared" ca="1" si="75"/>
        <v>6.6203742904080193E+29</v>
      </c>
      <c r="H190" s="57" t="str">
        <f t="shared" ca="1" si="77"/>
        <v/>
      </c>
      <c r="I190" s="55"/>
      <c r="J190" s="55"/>
    </row>
    <row r="191" spans="1:10">
      <c r="A191" s="53">
        <f t="shared" si="76"/>
        <v>177</v>
      </c>
      <c r="B191" s="54">
        <f t="shared" ca="1" si="71"/>
        <v>-1.3457824803017333</v>
      </c>
      <c r="C191" s="55">
        <f t="shared" ca="1" si="72"/>
        <v>0</v>
      </c>
      <c r="D191" s="54">
        <f t="shared" ca="1" si="73"/>
        <v>1.5674766751370205E-2</v>
      </c>
      <c r="E191" s="54">
        <f t="shared" ca="1" si="74"/>
        <v>27.474973204036889</v>
      </c>
      <c r="F191" s="56">
        <f t="shared" ca="1" si="78"/>
        <v>6.6203742904080193E+29</v>
      </c>
      <c r="G191" s="56">
        <f t="shared" ca="1" si="75"/>
        <v>6.6203742904080193E+29</v>
      </c>
      <c r="H191" s="57" t="str">
        <f t="shared" ca="1" si="77"/>
        <v/>
      </c>
      <c r="I191" s="55"/>
      <c r="J191" s="55"/>
    </row>
    <row r="192" spans="1:10">
      <c r="A192" s="53">
        <f t="shared" si="76"/>
        <v>178</v>
      </c>
      <c r="B192" s="54">
        <f t="shared" ca="1" si="71"/>
        <v>0.27202888791846985</v>
      </c>
      <c r="C192" s="55">
        <f t="shared" ca="1" si="72"/>
        <v>0</v>
      </c>
      <c r="D192" s="54">
        <f t="shared" ca="1" si="73"/>
        <v>-5.6300169010173005E-3</v>
      </c>
      <c r="E192" s="54">
        <f t="shared" ca="1" si="74"/>
        <v>29.092784572257091</v>
      </c>
      <c r="F192" s="56">
        <f t="shared" ca="1" si="78"/>
        <v>6.6203742904080193E+29</v>
      </c>
      <c r="G192" s="56">
        <f t="shared" ca="1" si="75"/>
        <v>6.6203742904080193E+29</v>
      </c>
      <c r="H192" s="57" t="str">
        <f t="shared" ca="1" si="77"/>
        <v/>
      </c>
      <c r="I192" s="55"/>
      <c r="J192" s="55"/>
    </row>
    <row r="193" spans="1:10">
      <c r="A193" s="53">
        <f t="shared" si="76"/>
        <v>179</v>
      </c>
      <c r="B193" s="54">
        <f t="shared" ca="1" si="71"/>
        <v>-2.9706851519214497</v>
      </c>
      <c r="C193" s="55">
        <f t="shared" ca="1" si="72"/>
        <v>0</v>
      </c>
      <c r="D193" s="54">
        <f t="shared" ca="1" si="73"/>
        <v>2.948752981181343E-3</v>
      </c>
      <c r="E193" s="54">
        <f t="shared" ca="1" si="74"/>
        <v>25.85007053241717</v>
      </c>
      <c r="F193" s="56">
        <f t="shared" ca="1" si="78"/>
        <v>6.6203742904080193E+29</v>
      </c>
      <c r="G193" s="56">
        <f t="shared" ca="1" si="75"/>
        <v>6.6203742904080193E+29</v>
      </c>
      <c r="H193" s="57" t="str">
        <f t="shared" ca="1" si="77"/>
        <v/>
      </c>
      <c r="I193" s="55"/>
      <c r="J193" s="55"/>
    </row>
    <row r="194" spans="1:10">
      <c r="A194" s="53">
        <f t="shared" si="76"/>
        <v>180</v>
      </c>
      <c r="B194" s="54">
        <f t="shared" ca="1" si="71"/>
        <v>23.286081397571369</v>
      </c>
      <c r="C194" s="55">
        <f t="shared" ca="1" si="72"/>
        <v>0</v>
      </c>
      <c r="D194" s="54">
        <f t="shared" ca="1" si="73"/>
        <v>1.6514366668570903E-4</v>
      </c>
      <c r="E194" s="54">
        <f t="shared" ca="1" si="74"/>
        <v>52.106837081909987</v>
      </c>
      <c r="F194" s="56">
        <f t="shared" ca="1" si="78"/>
        <v>6.6203742904080193E+29</v>
      </c>
      <c r="G194" s="56">
        <f t="shared" ca="1" si="75"/>
        <v>6.6203742904080193E+29</v>
      </c>
      <c r="H194" s="57" t="str">
        <f t="shared" ca="1" si="77"/>
        <v/>
      </c>
      <c r="I194" s="55"/>
      <c r="J194" s="55"/>
    </row>
    <row r="195" spans="1:10">
      <c r="A195" s="53">
        <f t="shared" si="76"/>
        <v>181</v>
      </c>
      <c r="B195" s="54">
        <f t="shared" ca="1" si="71"/>
        <v>-18.495576163923747</v>
      </c>
      <c r="C195" s="55">
        <f t="shared" ca="1" si="72"/>
        <v>0</v>
      </c>
      <c r="D195" s="54">
        <f t="shared" ca="1" si="73"/>
        <v>3.023410784497632E-3</v>
      </c>
      <c r="E195" s="54">
        <f t="shared" ca="1" si="74"/>
        <v>10.325179520414874</v>
      </c>
      <c r="F195" s="56">
        <f t="shared" ca="1" si="78"/>
        <v>6.6203742904080193E+29</v>
      </c>
      <c r="G195" s="56">
        <f t="shared" ca="1" si="75"/>
        <v>6.6203742904080193E+29</v>
      </c>
      <c r="H195" s="57" t="str">
        <f t="shared" ca="1" si="77"/>
        <v/>
      </c>
      <c r="I195" s="55"/>
      <c r="J195" s="55"/>
    </row>
    <row r="196" spans="1:10">
      <c r="A196" s="53">
        <f t="shared" si="76"/>
        <v>182</v>
      </c>
      <c r="B196" s="54">
        <f t="shared" ca="1" si="71"/>
        <v>-16.326970990769588</v>
      </c>
      <c r="C196" s="55">
        <f t="shared" ca="1" si="72"/>
        <v>0</v>
      </c>
      <c r="D196" s="54">
        <f t="shared" ca="1" si="73"/>
        <v>-1.3503265549016819E-2</v>
      </c>
      <c r="E196" s="54">
        <f t="shared" ca="1" si="74"/>
        <v>12.493784693569033</v>
      </c>
      <c r="F196" s="56">
        <f t="shared" ca="1" si="78"/>
        <v>6.6203742904080193E+29</v>
      </c>
      <c r="G196" s="56">
        <f t="shared" ca="1" si="75"/>
        <v>6.6203742904080193E+29</v>
      </c>
      <c r="H196" s="57" t="str">
        <f t="shared" ca="1" si="77"/>
        <v/>
      </c>
      <c r="I196" s="55"/>
      <c r="J196" s="55"/>
    </row>
    <row r="197" spans="1:10">
      <c r="A197" s="53">
        <f t="shared" si="76"/>
        <v>183</v>
      </c>
      <c r="B197" s="54">
        <f t="shared" ca="1" si="71"/>
        <v>-10.322725195494293</v>
      </c>
      <c r="C197" s="55">
        <f t="shared" ca="1" si="72"/>
        <v>0</v>
      </c>
      <c r="D197" s="54">
        <f t="shared" ca="1" si="73"/>
        <v>1.3101071233045647E-3</v>
      </c>
      <c r="E197" s="54">
        <f t="shared" ca="1" si="74"/>
        <v>18.498030488844329</v>
      </c>
      <c r="F197" s="56">
        <f t="shared" ca="1" si="78"/>
        <v>6.6203742904080193E+29</v>
      </c>
      <c r="G197" s="56">
        <f t="shared" ca="1" si="75"/>
        <v>6.6203742904080193E+29</v>
      </c>
      <c r="H197" s="57" t="str">
        <f t="shared" ca="1" si="77"/>
        <v/>
      </c>
      <c r="I197" s="55"/>
      <c r="J197" s="55"/>
    </row>
    <row r="198" spans="1:10">
      <c r="A198" s="53">
        <f t="shared" si="76"/>
        <v>184</v>
      </c>
      <c r="B198" s="54">
        <f t="shared" ca="1" si="71"/>
        <v>7.8701495841883169</v>
      </c>
      <c r="C198" s="55">
        <f t="shared" ca="1" si="72"/>
        <v>0</v>
      </c>
      <c r="D198" s="54">
        <f t="shared" ca="1" si="73"/>
        <v>4.9408415594038085E-3</v>
      </c>
      <c r="E198" s="54">
        <f t="shared" ca="1" si="74"/>
        <v>36.69090526852694</v>
      </c>
      <c r="F198" s="56">
        <f t="shared" ca="1" si="78"/>
        <v>6.6203742904080193E+29</v>
      </c>
      <c r="G198" s="56">
        <f t="shared" ca="1" si="75"/>
        <v>6.6203742904080193E+29</v>
      </c>
      <c r="H198" s="57" t="str">
        <f t="shared" ca="1" si="77"/>
        <v/>
      </c>
      <c r="I198" s="55"/>
      <c r="J198" s="55"/>
    </row>
    <row r="199" spans="1:10">
      <c r="A199" s="53">
        <f t="shared" si="76"/>
        <v>185</v>
      </c>
      <c r="B199" s="54">
        <f t="shared" ca="1" si="71"/>
        <v>1.3007745627761589</v>
      </c>
      <c r="C199" s="55">
        <f t="shared" ca="1" si="72"/>
        <v>0</v>
      </c>
      <c r="D199" s="54">
        <f t="shared" ca="1" si="73"/>
        <v>-1.5066462038341092E-2</v>
      </c>
      <c r="E199" s="54">
        <f t="shared" ca="1" si="74"/>
        <v>30.12153024711478</v>
      </c>
      <c r="F199" s="56">
        <f t="shared" ca="1" si="78"/>
        <v>6.6203742904080193E+29</v>
      </c>
      <c r="G199" s="56">
        <f t="shared" ca="1" si="75"/>
        <v>6.6203742904080193E+29</v>
      </c>
      <c r="H199" s="57">
        <f t="shared" ca="1" si="77"/>
        <v>6.6203742904080193E+29</v>
      </c>
      <c r="I199" s="55"/>
      <c r="J199" s="55"/>
    </row>
    <row r="200" spans="1:10">
      <c r="A200" s="53">
        <f t="shared" si="76"/>
        <v>186</v>
      </c>
      <c r="B200" s="54">
        <f t="shared" ca="1" si="71"/>
        <v>5.1303287317833561</v>
      </c>
      <c r="C200" s="55">
        <f t="shared" ca="1" si="72"/>
        <v>0</v>
      </c>
      <c r="D200" s="54">
        <f t="shared" ca="1" si="73"/>
        <v>3.0591410288298405E-3</v>
      </c>
      <c r="E200" s="54">
        <f t="shared" ca="1" si="74"/>
        <v>33.951084416121979</v>
      </c>
      <c r="F200" s="56">
        <f t="shared" ca="1" si="78"/>
        <v>6.6203742904080193E+29</v>
      </c>
      <c r="G200" s="56">
        <f t="shared" ca="1" si="75"/>
        <v>6.6203742904080193E+29</v>
      </c>
      <c r="H200" s="57" t="str">
        <f t="shared" ca="1" si="77"/>
        <v/>
      </c>
      <c r="I200" s="55"/>
      <c r="J200" s="55"/>
    </row>
    <row r="201" spans="1:10">
      <c r="A201" s="53">
        <f t="shared" si="76"/>
        <v>187</v>
      </c>
      <c r="B201" s="54">
        <f t="shared" ca="1" si="71"/>
        <v>-6.015826428647423</v>
      </c>
      <c r="C201" s="55">
        <f t="shared" ca="1" si="72"/>
        <v>0</v>
      </c>
      <c r="D201" s="54">
        <f t="shared" ca="1" si="73"/>
        <v>4.974260702575211E-3</v>
      </c>
      <c r="E201" s="54">
        <f t="shared" ca="1" si="74"/>
        <v>22.804929255691199</v>
      </c>
      <c r="F201" s="56">
        <f t="shared" ca="1" si="78"/>
        <v>6.6203742904080193E+29</v>
      </c>
      <c r="G201" s="56">
        <f t="shared" ca="1" si="75"/>
        <v>6.6203742904080193E+29</v>
      </c>
      <c r="H201" s="57" t="str">
        <f t="shared" ca="1" si="77"/>
        <v/>
      </c>
      <c r="I201" s="55"/>
      <c r="J201" s="55"/>
    </row>
    <row r="202" spans="1:10">
      <c r="A202" s="53">
        <f t="shared" si="76"/>
        <v>188</v>
      </c>
      <c r="B202" s="54">
        <f t="shared" ca="1" si="71"/>
        <v>-2.6331768909764737</v>
      </c>
      <c r="C202" s="55">
        <f t="shared" ca="1" si="72"/>
        <v>0</v>
      </c>
      <c r="D202" s="54">
        <f t="shared" ca="1" si="73"/>
        <v>4.9107174422741888E-3</v>
      </c>
      <c r="E202" s="54">
        <f t="shared" ca="1" si="74"/>
        <v>26.18757879336215</v>
      </c>
      <c r="F202" s="56">
        <f t="shared" ca="1" si="78"/>
        <v>6.6203742904080193E+29</v>
      </c>
      <c r="G202" s="56">
        <f t="shared" ca="1" si="75"/>
        <v>6.6203742904080193E+29</v>
      </c>
      <c r="H202" s="57" t="str">
        <f t="shared" ca="1" si="77"/>
        <v/>
      </c>
      <c r="I202" s="55"/>
      <c r="J202" s="55"/>
    </row>
    <row r="203" spans="1:10">
      <c r="A203" s="53">
        <f t="shared" si="76"/>
        <v>189</v>
      </c>
      <c r="B203" s="54">
        <f t="shared" ca="1" si="71"/>
        <v>6.8531863443492451</v>
      </c>
      <c r="C203" s="55">
        <f t="shared" ca="1" si="72"/>
        <v>0</v>
      </c>
      <c r="D203" s="54">
        <f t="shared" ca="1" si="73"/>
        <v>-2.2528964389924274E-3</v>
      </c>
      <c r="E203" s="54">
        <f t="shared" ca="1" si="74"/>
        <v>35.673942028687868</v>
      </c>
      <c r="F203" s="56">
        <f t="shared" ca="1" si="78"/>
        <v>6.6203742904080193E+29</v>
      </c>
      <c r="G203" s="56">
        <f t="shared" ca="1" si="75"/>
        <v>6.6203742904080193E+29</v>
      </c>
      <c r="H203" s="57" t="str">
        <f t="shared" ca="1" si="77"/>
        <v/>
      </c>
      <c r="I203" s="55"/>
      <c r="J203" s="55"/>
    </row>
    <row r="204" spans="1:10">
      <c r="A204" s="53">
        <f t="shared" si="76"/>
        <v>190</v>
      </c>
      <c r="B204" s="54">
        <f t="shared" ca="1" si="71"/>
        <v>2.9126869818015453</v>
      </c>
      <c r="C204" s="55">
        <f t="shared" ca="1" si="72"/>
        <v>0</v>
      </c>
      <c r="D204" s="54">
        <f t="shared" ca="1" si="73"/>
        <v>2.0370693915133957E-2</v>
      </c>
      <c r="E204" s="54">
        <f t="shared" ca="1" si="74"/>
        <v>31.733442666140167</v>
      </c>
      <c r="F204" s="56">
        <f t="shared" ca="1" si="78"/>
        <v>6.6203742904080193E+29</v>
      </c>
      <c r="G204" s="56">
        <f t="shared" ca="1" si="75"/>
        <v>6.6203742904080193E+29</v>
      </c>
      <c r="H204" s="57" t="str">
        <f t="shared" ca="1" si="77"/>
        <v/>
      </c>
      <c r="I204" s="55"/>
      <c r="J204" s="55"/>
    </row>
    <row r="205" spans="1:10">
      <c r="A205" s="53">
        <f t="shared" si="76"/>
        <v>191</v>
      </c>
      <c r="B205" s="54">
        <f t="shared" ca="1" si="71"/>
        <v>-1.2506871409750939</v>
      </c>
      <c r="C205" s="55">
        <f t="shared" ca="1" si="72"/>
        <v>0</v>
      </c>
      <c r="D205" s="54">
        <f t="shared" ca="1" si="73"/>
        <v>-1.1903203336461616E-3</v>
      </c>
      <c r="E205" s="54">
        <f t="shared" ca="1" si="74"/>
        <v>27.570068543363526</v>
      </c>
      <c r="F205" s="56">
        <f t="shared" ca="1" si="78"/>
        <v>6.6203742904080193E+29</v>
      </c>
      <c r="G205" s="56">
        <f t="shared" ca="1" si="75"/>
        <v>6.6203742904080193E+29</v>
      </c>
      <c r="H205" s="57" t="str">
        <f t="shared" ca="1" si="77"/>
        <v/>
      </c>
      <c r="I205" s="55"/>
      <c r="J205" s="55"/>
    </row>
    <row r="206" spans="1:10">
      <c r="A206" s="53">
        <f t="shared" si="76"/>
        <v>192</v>
      </c>
      <c r="B206" s="54">
        <f t="shared" ca="1" si="71"/>
        <v>-17.082025091746765</v>
      </c>
      <c r="C206" s="55">
        <f t="shared" ca="1" si="72"/>
        <v>0</v>
      </c>
      <c r="D206" s="54">
        <f t="shared" ca="1" si="73"/>
        <v>5.016615779095639E-3</v>
      </c>
      <c r="E206" s="54">
        <f t="shared" ca="1" si="74"/>
        <v>11.738730592591857</v>
      </c>
      <c r="F206" s="56">
        <f t="shared" ca="1" si="78"/>
        <v>6.6203742904080193E+29</v>
      </c>
      <c r="G206" s="56">
        <f t="shared" ca="1" si="75"/>
        <v>6.6203742904080193E+29</v>
      </c>
      <c r="H206" s="57" t="str">
        <f t="shared" ca="1" si="77"/>
        <v/>
      </c>
      <c r="I206" s="55"/>
      <c r="J206" s="55"/>
    </row>
    <row r="207" spans="1:10">
      <c r="A207" s="53">
        <f t="shared" si="76"/>
        <v>193</v>
      </c>
      <c r="B207" s="54">
        <f t="shared" ref="B207:B251" ca="1" si="79">sigma*NORMSINV(RAND())</f>
        <v>5.7508885363134947</v>
      </c>
      <c r="C207" s="55">
        <f t="shared" ref="C207:C251" ca="1" si="80">IF(RAND()&lt;jumpProb,1,0)</f>
        <v>0</v>
      </c>
      <c r="D207" s="54">
        <f t="shared" ref="D207:D251" ca="1" si="81">jumpMean+jumpStdDev*NORMSINV(RAND())</f>
        <v>1.2455720678467831E-2</v>
      </c>
      <c r="E207" s="54">
        <f t="shared" ref="E207:E251" ca="1" si="82">alpha+B207+C207*D207</f>
        <v>34.571644220652118</v>
      </c>
      <c r="F207" s="56">
        <f t="shared" ca="1" si="78"/>
        <v>6.6203742904080193E+29</v>
      </c>
      <c r="G207" s="56">
        <f t="shared" ref="G207:G251" ca="1" si="83">F207</f>
        <v>6.6203742904080193E+29</v>
      </c>
      <c r="H207" s="57" t="str">
        <f t="shared" ca="1" si="77"/>
        <v/>
      </c>
      <c r="I207" s="55"/>
      <c r="J207" s="55"/>
    </row>
    <row r="208" spans="1:10">
      <c r="A208" s="53">
        <f t="shared" ref="A208:A251" si="84">A207+1</f>
        <v>194</v>
      </c>
      <c r="B208" s="54">
        <f t="shared" ca="1" si="79"/>
        <v>-9.3715755973045116</v>
      </c>
      <c r="C208" s="55">
        <f t="shared" ca="1" si="80"/>
        <v>0</v>
      </c>
      <c r="D208" s="54">
        <f t="shared" ca="1" si="81"/>
        <v>1.6887726843432715E-2</v>
      </c>
      <c r="E208" s="54">
        <f t="shared" ca="1" si="82"/>
        <v>19.449180087034108</v>
      </c>
      <c r="F208" s="56">
        <f t="shared" ca="1" si="78"/>
        <v>6.6203742904080193E+29</v>
      </c>
      <c r="G208" s="56">
        <f t="shared" ca="1" si="83"/>
        <v>6.6203742904080193E+29</v>
      </c>
      <c r="H208" s="57" t="str">
        <f t="shared" ref="H208:H251" ca="1" si="85">IF(C208=1,G208,"")</f>
        <v/>
      </c>
      <c r="I208" s="55"/>
      <c r="J208" s="55"/>
    </row>
    <row r="209" spans="1:10">
      <c r="A209" s="53">
        <f t="shared" si="84"/>
        <v>195</v>
      </c>
      <c r="B209" s="54">
        <f t="shared" ca="1" si="79"/>
        <v>-0.12605702680192807</v>
      </c>
      <c r="C209" s="55">
        <f t="shared" ca="1" si="80"/>
        <v>0</v>
      </c>
      <c r="D209" s="54">
        <f t="shared" ca="1" si="81"/>
        <v>-1.1182708677904021E-2</v>
      </c>
      <c r="E209" s="54">
        <f t="shared" ca="1" si="82"/>
        <v>28.694698657536694</v>
      </c>
      <c r="F209" s="56">
        <f t="shared" ref="F209:F251" ca="1" si="86">F208+E209</f>
        <v>6.6203742904080193E+29</v>
      </c>
      <c r="G209" s="56">
        <f t="shared" ca="1" si="83"/>
        <v>6.6203742904080193E+29</v>
      </c>
      <c r="H209" s="57" t="str">
        <f t="shared" ca="1" si="85"/>
        <v/>
      </c>
      <c r="I209" s="55"/>
      <c r="J209" s="55"/>
    </row>
    <row r="210" spans="1:10">
      <c r="A210" s="53">
        <f t="shared" si="84"/>
        <v>196</v>
      </c>
      <c r="B210" s="54">
        <f t="shared" ca="1" si="79"/>
        <v>3.832454000707012</v>
      </c>
      <c r="C210" s="55">
        <f t="shared" ca="1" si="80"/>
        <v>0</v>
      </c>
      <c r="D210" s="54">
        <f t="shared" ca="1" si="81"/>
        <v>-4.345318840478417E-4</v>
      </c>
      <c r="E210" s="54">
        <f t="shared" ca="1" si="82"/>
        <v>32.653209685045631</v>
      </c>
      <c r="F210" s="56">
        <f t="shared" ca="1" si="86"/>
        <v>6.6203742904080193E+29</v>
      </c>
      <c r="G210" s="56">
        <f t="shared" ca="1" si="83"/>
        <v>6.6203742904080193E+29</v>
      </c>
      <c r="H210" s="57" t="str">
        <f t="shared" ca="1" si="85"/>
        <v/>
      </c>
      <c r="I210" s="55"/>
      <c r="J210" s="55"/>
    </row>
    <row r="211" spans="1:10">
      <c r="A211" s="53">
        <f t="shared" si="84"/>
        <v>197</v>
      </c>
      <c r="B211" s="54">
        <f t="shared" ca="1" si="79"/>
        <v>-11.30234781024412</v>
      </c>
      <c r="C211" s="55">
        <f t="shared" ca="1" si="80"/>
        <v>0</v>
      </c>
      <c r="D211" s="54">
        <f t="shared" ca="1" si="81"/>
        <v>-1.8416481842548734E-2</v>
      </c>
      <c r="E211" s="54">
        <f t="shared" ca="1" si="82"/>
        <v>17.5184078740945</v>
      </c>
      <c r="F211" s="56">
        <f t="shared" ca="1" si="86"/>
        <v>6.6203742904080193E+29</v>
      </c>
      <c r="G211" s="56">
        <f t="shared" ca="1" si="83"/>
        <v>6.6203742904080193E+29</v>
      </c>
      <c r="H211" s="57" t="str">
        <f t="shared" ca="1" si="85"/>
        <v/>
      </c>
      <c r="I211" s="55"/>
      <c r="J211" s="55"/>
    </row>
    <row r="212" spans="1:10">
      <c r="A212" s="53">
        <f t="shared" si="84"/>
        <v>198</v>
      </c>
      <c r="B212" s="54">
        <f t="shared" ca="1" si="79"/>
        <v>-1.6961921086925353</v>
      </c>
      <c r="C212" s="55">
        <f t="shared" ca="1" si="80"/>
        <v>0</v>
      </c>
      <c r="D212" s="54">
        <f t="shared" ca="1" si="81"/>
        <v>-8.6751080104044316E-3</v>
      </c>
      <c r="E212" s="54">
        <f t="shared" ca="1" si="82"/>
        <v>27.124563575646086</v>
      </c>
      <c r="F212" s="56">
        <f t="shared" ca="1" si="86"/>
        <v>6.6203742904080193E+29</v>
      </c>
      <c r="G212" s="56">
        <f t="shared" ca="1" si="83"/>
        <v>6.6203742904080193E+29</v>
      </c>
      <c r="H212" s="57" t="str">
        <f t="shared" ca="1" si="85"/>
        <v/>
      </c>
      <c r="I212" s="55"/>
      <c r="J212" s="55"/>
    </row>
    <row r="213" spans="1:10">
      <c r="A213" s="53">
        <f t="shared" si="84"/>
        <v>199</v>
      </c>
      <c r="B213" s="54">
        <f t="shared" ca="1" si="79"/>
        <v>-14.213930761449021</v>
      </c>
      <c r="C213" s="55">
        <f t="shared" ca="1" si="80"/>
        <v>0</v>
      </c>
      <c r="D213" s="54">
        <f t="shared" ca="1" si="81"/>
        <v>4.2314743490769156E-3</v>
      </c>
      <c r="E213" s="54">
        <f t="shared" ca="1" si="82"/>
        <v>14.606824922889601</v>
      </c>
      <c r="F213" s="56">
        <f t="shared" ca="1" si="86"/>
        <v>6.6203742904080193E+29</v>
      </c>
      <c r="G213" s="56">
        <f t="shared" ca="1" si="83"/>
        <v>6.6203742904080193E+29</v>
      </c>
      <c r="H213" s="57" t="str">
        <f t="shared" ca="1" si="85"/>
        <v/>
      </c>
      <c r="I213" s="55"/>
      <c r="J213" s="55"/>
    </row>
    <row r="214" spans="1:10">
      <c r="A214" s="53">
        <f t="shared" si="84"/>
        <v>200</v>
      </c>
      <c r="B214" s="54">
        <f t="shared" ca="1" si="79"/>
        <v>0.38095827850614955</v>
      </c>
      <c r="C214" s="55">
        <f t="shared" ca="1" si="80"/>
        <v>0</v>
      </c>
      <c r="D214" s="54">
        <f t="shared" ca="1" si="81"/>
        <v>-8.6623945836281149E-3</v>
      </c>
      <c r="E214" s="54">
        <f t="shared" ca="1" si="82"/>
        <v>29.201713962844771</v>
      </c>
      <c r="F214" s="56">
        <f t="shared" ca="1" si="86"/>
        <v>6.6203742904080193E+29</v>
      </c>
      <c r="G214" s="56">
        <f t="shared" ca="1" si="83"/>
        <v>6.6203742904080193E+29</v>
      </c>
      <c r="H214" s="57" t="str">
        <f t="shared" ca="1" si="85"/>
        <v/>
      </c>
      <c r="I214" s="55"/>
      <c r="J214" s="55"/>
    </row>
    <row r="215" spans="1:10">
      <c r="A215" s="53">
        <f t="shared" si="84"/>
        <v>201</v>
      </c>
      <c r="B215" s="54">
        <f t="shared" ca="1" si="79"/>
        <v>-4.9970055276515168</v>
      </c>
      <c r="C215" s="55">
        <f t="shared" ca="1" si="80"/>
        <v>0</v>
      </c>
      <c r="D215" s="54">
        <f t="shared" ca="1" si="81"/>
        <v>-1.7315520411287894E-2</v>
      </c>
      <c r="E215" s="54">
        <f t="shared" ca="1" si="82"/>
        <v>23.823750156687105</v>
      </c>
      <c r="F215" s="56">
        <f t="shared" ca="1" si="86"/>
        <v>6.6203742904080193E+29</v>
      </c>
      <c r="G215" s="56">
        <f t="shared" ca="1" si="83"/>
        <v>6.6203742904080193E+29</v>
      </c>
      <c r="H215" s="57" t="str">
        <f t="shared" ca="1" si="85"/>
        <v/>
      </c>
      <c r="I215" s="55"/>
      <c r="J215" s="55"/>
    </row>
    <row r="216" spans="1:10">
      <c r="A216" s="53">
        <f t="shared" si="84"/>
        <v>202</v>
      </c>
      <c r="B216" s="54">
        <f t="shared" ca="1" si="79"/>
        <v>-14.546375481221618</v>
      </c>
      <c r="C216" s="55">
        <f t="shared" ca="1" si="80"/>
        <v>0</v>
      </c>
      <c r="D216" s="54">
        <f t="shared" ca="1" si="81"/>
        <v>-5.4794849773815279E-3</v>
      </c>
      <c r="E216" s="54">
        <f t="shared" ca="1" si="82"/>
        <v>14.274380203117003</v>
      </c>
      <c r="F216" s="56">
        <f t="shared" ca="1" si="86"/>
        <v>6.6203742904080193E+29</v>
      </c>
      <c r="G216" s="56">
        <f t="shared" ca="1" si="83"/>
        <v>6.6203742904080193E+29</v>
      </c>
      <c r="H216" s="57" t="str">
        <f t="shared" ca="1" si="85"/>
        <v/>
      </c>
      <c r="I216" s="55"/>
      <c r="J216" s="55"/>
    </row>
    <row r="217" spans="1:10">
      <c r="A217" s="53">
        <f t="shared" si="84"/>
        <v>203</v>
      </c>
      <c r="B217" s="54">
        <f t="shared" ca="1" si="79"/>
        <v>2.9216669386356076</v>
      </c>
      <c r="C217" s="55">
        <f t="shared" ca="1" si="80"/>
        <v>0</v>
      </c>
      <c r="D217" s="54">
        <f t="shared" ca="1" si="81"/>
        <v>-3.4225885634454334E-3</v>
      </c>
      <c r="E217" s="54">
        <f t="shared" ca="1" si="82"/>
        <v>31.742422622974228</v>
      </c>
      <c r="F217" s="56">
        <f t="shared" ca="1" si="86"/>
        <v>6.6203742904080193E+29</v>
      </c>
      <c r="G217" s="56">
        <f t="shared" ca="1" si="83"/>
        <v>6.6203742904080193E+29</v>
      </c>
      <c r="H217" s="57" t="str">
        <f t="shared" ca="1" si="85"/>
        <v/>
      </c>
      <c r="I217" s="55"/>
      <c r="J217" s="55"/>
    </row>
    <row r="218" spans="1:10">
      <c r="A218" s="53">
        <f t="shared" si="84"/>
        <v>204</v>
      </c>
      <c r="B218" s="54">
        <f t="shared" ca="1" si="79"/>
        <v>0.91541438141889542</v>
      </c>
      <c r="C218" s="55">
        <f t="shared" ca="1" si="80"/>
        <v>0</v>
      </c>
      <c r="D218" s="54">
        <f t="shared" ca="1" si="81"/>
        <v>2.1961137308960304E-2</v>
      </c>
      <c r="E218" s="54">
        <f t="shared" ca="1" si="82"/>
        <v>29.736170065757516</v>
      </c>
      <c r="F218" s="56">
        <f t="shared" ca="1" si="86"/>
        <v>6.6203742904080193E+29</v>
      </c>
      <c r="G218" s="56">
        <f t="shared" ca="1" si="83"/>
        <v>6.6203742904080193E+29</v>
      </c>
      <c r="H218" s="57" t="str">
        <f t="shared" ca="1" si="85"/>
        <v/>
      </c>
      <c r="I218" s="55"/>
      <c r="J218" s="55"/>
    </row>
    <row r="219" spans="1:10">
      <c r="A219" s="53">
        <f t="shared" si="84"/>
        <v>205</v>
      </c>
      <c r="B219" s="54">
        <f t="shared" ca="1" si="79"/>
        <v>7.9530594818764921</v>
      </c>
      <c r="C219" s="55">
        <f t="shared" ca="1" si="80"/>
        <v>0</v>
      </c>
      <c r="D219" s="54">
        <f t="shared" ca="1" si="81"/>
        <v>-1.804169463216299E-5</v>
      </c>
      <c r="E219" s="54">
        <f t="shared" ca="1" si="82"/>
        <v>36.773815166215115</v>
      </c>
      <c r="F219" s="56">
        <f t="shared" ca="1" si="86"/>
        <v>6.6203742904080193E+29</v>
      </c>
      <c r="G219" s="56">
        <f t="shared" ca="1" si="83"/>
        <v>6.6203742904080193E+29</v>
      </c>
      <c r="H219" s="57" t="str">
        <f t="shared" ca="1" si="85"/>
        <v/>
      </c>
      <c r="I219" s="55"/>
      <c r="J219" s="55"/>
    </row>
    <row r="220" spans="1:10">
      <c r="A220" s="53">
        <f t="shared" si="84"/>
        <v>206</v>
      </c>
      <c r="B220" s="54">
        <f t="shared" ca="1" si="79"/>
        <v>-13.95342464290489</v>
      </c>
      <c r="C220" s="55">
        <f t="shared" ca="1" si="80"/>
        <v>0</v>
      </c>
      <c r="D220" s="54">
        <f t="shared" ca="1" si="81"/>
        <v>1.1286669900565784E-2</v>
      </c>
      <c r="E220" s="54">
        <f t="shared" ca="1" si="82"/>
        <v>14.867331041433731</v>
      </c>
      <c r="F220" s="56">
        <f t="shared" ca="1" si="86"/>
        <v>6.6203742904080193E+29</v>
      </c>
      <c r="G220" s="56">
        <f t="shared" ca="1" si="83"/>
        <v>6.6203742904080193E+29</v>
      </c>
      <c r="H220" s="57" t="str">
        <f t="shared" ca="1" si="85"/>
        <v/>
      </c>
      <c r="I220" s="55"/>
      <c r="J220" s="55"/>
    </row>
    <row r="221" spans="1:10">
      <c r="A221" s="53">
        <f t="shared" si="84"/>
        <v>207</v>
      </c>
      <c r="B221" s="54">
        <f t="shared" ca="1" si="79"/>
        <v>12.173470698909673</v>
      </c>
      <c r="C221" s="55">
        <f t="shared" ca="1" si="80"/>
        <v>0</v>
      </c>
      <c r="D221" s="54">
        <f t="shared" ca="1" si="81"/>
        <v>-1.7288630875039125E-3</v>
      </c>
      <c r="E221" s="54">
        <f t="shared" ca="1" si="82"/>
        <v>40.994226383248296</v>
      </c>
      <c r="F221" s="56">
        <f t="shared" ca="1" si="86"/>
        <v>6.6203742904080193E+29</v>
      </c>
      <c r="G221" s="56">
        <f t="shared" ca="1" si="83"/>
        <v>6.6203742904080193E+29</v>
      </c>
      <c r="H221" s="57" t="str">
        <f t="shared" ca="1" si="85"/>
        <v/>
      </c>
      <c r="I221" s="55"/>
      <c r="J221" s="55"/>
    </row>
    <row r="222" spans="1:10">
      <c r="A222" s="53">
        <f t="shared" si="84"/>
        <v>208</v>
      </c>
      <c r="B222" s="54">
        <f t="shared" ca="1" si="79"/>
        <v>-2.7568037026869336</v>
      </c>
      <c r="C222" s="55">
        <f t="shared" ca="1" si="80"/>
        <v>0</v>
      </c>
      <c r="D222" s="54">
        <f t="shared" ca="1" si="81"/>
        <v>2.8587184041816284E-3</v>
      </c>
      <c r="E222" s="54">
        <f t="shared" ca="1" si="82"/>
        <v>26.063951981651687</v>
      </c>
      <c r="F222" s="56">
        <f t="shared" ca="1" si="86"/>
        <v>6.6203742904080193E+29</v>
      </c>
      <c r="G222" s="56">
        <f t="shared" ca="1" si="83"/>
        <v>6.6203742904080193E+29</v>
      </c>
      <c r="H222" s="57" t="str">
        <f t="shared" ca="1" si="85"/>
        <v/>
      </c>
      <c r="I222" s="55"/>
      <c r="J222" s="55"/>
    </row>
    <row r="223" spans="1:10">
      <c r="A223" s="53">
        <f t="shared" si="84"/>
        <v>209</v>
      </c>
      <c r="B223" s="54">
        <f t="shared" ca="1" si="79"/>
        <v>9.5763477770287757</v>
      </c>
      <c r="C223" s="55">
        <f t="shared" ca="1" si="80"/>
        <v>0</v>
      </c>
      <c r="D223" s="54">
        <f t="shared" ca="1" si="81"/>
        <v>-1.0249839272806791E-2</v>
      </c>
      <c r="E223" s="54">
        <f t="shared" ca="1" si="82"/>
        <v>38.397103461367394</v>
      </c>
      <c r="F223" s="56">
        <f t="shared" ca="1" si="86"/>
        <v>6.6203742904080193E+29</v>
      </c>
      <c r="G223" s="56">
        <f t="shared" ca="1" si="83"/>
        <v>6.6203742904080193E+29</v>
      </c>
      <c r="H223" s="57">
        <f t="shared" ca="1" si="85"/>
        <v>6.6203742904080193E+29</v>
      </c>
      <c r="I223" s="55"/>
      <c r="J223" s="55"/>
    </row>
    <row r="224" spans="1:10">
      <c r="A224" s="53">
        <f t="shared" si="84"/>
        <v>210</v>
      </c>
      <c r="B224" s="54">
        <f t="shared" ca="1" si="79"/>
        <v>13.066316967928918</v>
      </c>
      <c r="C224" s="55">
        <f t="shared" ca="1" si="80"/>
        <v>0</v>
      </c>
      <c r="D224" s="54">
        <f t="shared" ca="1" si="81"/>
        <v>-1.7293280901054075E-3</v>
      </c>
      <c r="E224" s="54">
        <f t="shared" ca="1" si="82"/>
        <v>41.887072652267541</v>
      </c>
      <c r="F224" s="56">
        <f t="shared" ca="1" si="86"/>
        <v>6.6203742904080193E+29</v>
      </c>
      <c r="G224" s="56">
        <f t="shared" ca="1" si="83"/>
        <v>6.6203742904080193E+29</v>
      </c>
      <c r="H224" s="57" t="str">
        <f t="shared" ca="1" si="85"/>
        <v/>
      </c>
      <c r="I224" s="55"/>
      <c r="J224" s="55"/>
    </row>
    <row r="225" spans="1:10">
      <c r="A225" s="53">
        <f t="shared" si="84"/>
        <v>211</v>
      </c>
      <c r="B225" s="54">
        <f t="shared" ca="1" si="79"/>
        <v>5.707991998105709</v>
      </c>
      <c r="C225" s="55">
        <f t="shared" ca="1" si="80"/>
        <v>0</v>
      </c>
      <c r="D225" s="54">
        <f t="shared" ca="1" si="81"/>
        <v>-2.3006221375831189E-2</v>
      </c>
      <c r="E225" s="54">
        <f t="shared" ca="1" si="82"/>
        <v>34.528747682444333</v>
      </c>
      <c r="F225" s="56">
        <f t="shared" ca="1" si="86"/>
        <v>6.6203742904080193E+29</v>
      </c>
      <c r="G225" s="56">
        <f t="shared" ca="1" si="83"/>
        <v>6.6203742904080193E+29</v>
      </c>
      <c r="H225" s="57" t="str">
        <f t="shared" ca="1" si="85"/>
        <v/>
      </c>
      <c r="I225" s="55"/>
      <c r="J225" s="55"/>
    </row>
    <row r="226" spans="1:10">
      <c r="A226" s="53">
        <f t="shared" si="84"/>
        <v>212</v>
      </c>
      <c r="B226" s="54">
        <f t="shared" ca="1" si="79"/>
        <v>-4.3195954655729132</v>
      </c>
      <c r="C226" s="55">
        <f t="shared" ca="1" si="80"/>
        <v>0</v>
      </c>
      <c r="D226" s="54">
        <f t="shared" ca="1" si="81"/>
        <v>-9.2681516251640044E-3</v>
      </c>
      <c r="E226" s="54">
        <f t="shared" ca="1" si="82"/>
        <v>24.501160218765708</v>
      </c>
      <c r="F226" s="56">
        <f t="shared" ca="1" si="86"/>
        <v>6.6203742904080193E+29</v>
      </c>
      <c r="G226" s="56">
        <f t="shared" ca="1" si="83"/>
        <v>6.6203742904080193E+29</v>
      </c>
      <c r="H226" s="57" t="str">
        <f t="shared" ca="1" si="85"/>
        <v/>
      </c>
      <c r="I226" s="55"/>
      <c r="J226" s="55"/>
    </row>
    <row r="227" spans="1:10">
      <c r="A227" s="53">
        <f t="shared" si="84"/>
        <v>213</v>
      </c>
      <c r="B227" s="54">
        <f t="shared" ca="1" si="79"/>
        <v>-1.265208522839637</v>
      </c>
      <c r="C227" s="55">
        <f t="shared" ca="1" si="80"/>
        <v>0</v>
      </c>
      <c r="D227" s="54">
        <f t="shared" ca="1" si="81"/>
        <v>1.5583952432538645E-2</v>
      </c>
      <c r="E227" s="54">
        <f t="shared" ca="1" si="82"/>
        <v>27.555547161498986</v>
      </c>
      <c r="F227" s="56">
        <f t="shared" ca="1" si="86"/>
        <v>6.6203742904080193E+29</v>
      </c>
      <c r="G227" s="56">
        <f t="shared" ca="1" si="83"/>
        <v>6.6203742904080193E+29</v>
      </c>
      <c r="H227" s="57" t="str">
        <f t="shared" ca="1" si="85"/>
        <v/>
      </c>
      <c r="I227" s="55"/>
      <c r="J227" s="55"/>
    </row>
    <row r="228" spans="1:10">
      <c r="A228" s="53">
        <f t="shared" si="84"/>
        <v>214</v>
      </c>
      <c r="B228" s="54">
        <f t="shared" ca="1" si="79"/>
        <v>-20.691859604100571</v>
      </c>
      <c r="C228" s="55">
        <f t="shared" ca="1" si="80"/>
        <v>0</v>
      </c>
      <c r="D228" s="54">
        <f t="shared" ca="1" si="81"/>
        <v>1.4584433341519328E-2</v>
      </c>
      <c r="E228" s="54">
        <f t="shared" ca="1" si="82"/>
        <v>8.1288960802380501</v>
      </c>
      <c r="F228" s="56">
        <f t="shared" ca="1" si="86"/>
        <v>6.6203742904080193E+29</v>
      </c>
      <c r="G228" s="56">
        <f t="shared" ca="1" si="83"/>
        <v>6.6203742904080193E+29</v>
      </c>
      <c r="H228" s="57" t="str">
        <f t="shared" ca="1" si="85"/>
        <v/>
      </c>
      <c r="I228" s="55"/>
      <c r="J228" s="55"/>
    </row>
    <row r="229" spans="1:10">
      <c r="A229" s="53">
        <f t="shared" si="84"/>
        <v>215</v>
      </c>
      <c r="B229" s="54">
        <f t="shared" ca="1" si="79"/>
        <v>6.510808711945403</v>
      </c>
      <c r="C229" s="55">
        <f t="shared" ca="1" si="80"/>
        <v>0</v>
      </c>
      <c r="D229" s="54">
        <f t="shared" ca="1" si="81"/>
        <v>5.20820031863122E-3</v>
      </c>
      <c r="E229" s="54">
        <f t="shared" ca="1" si="82"/>
        <v>35.331564396284023</v>
      </c>
      <c r="F229" s="56">
        <f t="shared" ca="1" si="86"/>
        <v>6.6203742904080193E+29</v>
      </c>
      <c r="G229" s="56">
        <f t="shared" ca="1" si="83"/>
        <v>6.6203742904080193E+29</v>
      </c>
      <c r="H229" s="57" t="str">
        <f t="shared" ca="1" si="85"/>
        <v/>
      </c>
      <c r="I229" s="55"/>
      <c r="J229" s="55"/>
    </row>
    <row r="230" spans="1:10">
      <c r="A230" s="53">
        <f t="shared" si="84"/>
        <v>216</v>
      </c>
      <c r="B230" s="54">
        <f t="shared" ca="1" si="79"/>
        <v>1.6357181427758247</v>
      </c>
      <c r="C230" s="55">
        <f t="shared" ca="1" si="80"/>
        <v>0</v>
      </c>
      <c r="D230" s="54">
        <f t="shared" ca="1" si="81"/>
        <v>1.3347163394770179E-2</v>
      </c>
      <c r="E230" s="54">
        <f t="shared" ca="1" si="82"/>
        <v>30.456473827114447</v>
      </c>
      <c r="F230" s="56">
        <f t="shared" ca="1" si="86"/>
        <v>6.6203742904080193E+29</v>
      </c>
      <c r="G230" s="56">
        <f t="shared" ca="1" si="83"/>
        <v>6.6203742904080193E+29</v>
      </c>
      <c r="H230" s="57" t="str">
        <f t="shared" ca="1" si="85"/>
        <v/>
      </c>
      <c r="I230" s="55"/>
      <c r="J230" s="55"/>
    </row>
    <row r="231" spans="1:10">
      <c r="A231" s="53">
        <f t="shared" si="84"/>
        <v>217</v>
      </c>
      <c r="B231" s="54">
        <f t="shared" ca="1" si="79"/>
        <v>2.2477462637237768</v>
      </c>
      <c r="C231" s="55">
        <f t="shared" ca="1" si="80"/>
        <v>0</v>
      </c>
      <c r="D231" s="54">
        <f t="shared" ca="1" si="81"/>
        <v>-4.8600190449767499E-3</v>
      </c>
      <c r="E231" s="54">
        <f t="shared" ca="1" si="82"/>
        <v>31.068501948062398</v>
      </c>
      <c r="F231" s="56">
        <f t="shared" ca="1" si="86"/>
        <v>6.6203742904080193E+29</v>
      </c>
      <c r="G231" s="56">
        <f t="shared" ca="1" si="83"/>
        <v>6.6203742904080193E+29</v>
      </c>
      <c r="H231" s="57" t="str">
        <f t="shared" ca="1" si="85"/>
        <v/>
      </c>
      <c r="I231" s="55"/>
      <c r="J231" s="55"/>
    </row>
    <row r="232" spans="1:10">
      <c r="A232" s="53">
        <f t="shared" si="84"/>
        <v>218</v>
      </c>
      <c r="B232" s="54">
        <f t="shared" ca="1" si="79"/>
        <v>-1.4260226212715064</v>
      </c>
      <c r="C232" s="55">
        <f t="shared" ca="1" si="80"/>
        <v>0</v>
      </c>
      <c r="D232" s="54">
        <f t="shared" ca="1" si="81"/>
        <v>1.5095494404670307E-2</v>
      </c>
      <c r="E232" s="54">
        <f t="shared" ca="1" si="82"/>
        <v>27.394733063067115</v>
      </c>
      <c r="F232" s="56">
        <f t="shared" ca="1" si="86"/>
        <v>6.6203742904080193E+29</v>
      </c>
      <c r="G232" s="56">
        <f t="shared" ca="1" si="83"/>
        <v>6.6203742904080193E+29</v>
      </c>
      <c r="H232" s="57" t="str">
        <f t="shared" ca="1" si="85"/>
        <v/>
      </c>
      <c r="I232" s="55"/>
      <c r="J232" s="55"/>
    </row>
    <row r="233" spans="1:10">
      <c r="A233" s="53">
        <f t="shared" si="84"/>
        <v>219</v>
      </c>
      <c r="B233" s="54">
        <f t="shared" ca="1" si="79"/>
        <v>1.6602138521150462</v>
      </c>
      <c r="C233" s="55">
        <f t="shared" ca="1" si="80"/>
        <v>0</v>
      </c>
      <c r="D233" s="54">
        <f t="shared" ca="1" si="81"/>
        <v>-1.84062867042343E-2</v>
      </c>
      <c r="E233" s="54">
        <f t="shared" ca="1" si="82"/>
        <v>30.480969536453667</v>
      </c>
      <c r="F233" s="56">
        <f t="shared" ca="1" si="86"/>
        <v>6.6203742904080193E+29</v>
      </c>
      <c r="G233" s="56">
        <f t="shared" ca="1" si="83"/>
        <v>6.6203742904080193E+29</v>
      </c>
      <c r="H233" s="57" t="str">
        <f t="shared" ca="1" si="85"/>
        <v/>
      </c>
      <c r="I233" s="55"/>
      <c r="J233" s="55"/>
    </row>
    <row r="234" spans="1:10">
      <c r="A234" s="53">
        <f t="shared" si="84"/>
        <v>220</v>
      </c>
      <c r="B234" s="54">
        <f t="shared" ca="1" si="79"/>
        <v>11.387742165625212</v>
      </c>
      <c r="C234" s="55">
        <f t="shared" ca="1" si="80"/>
        <v>0</v>
      </c>
      <c r="D234" s="54">
        <f t="shared" ca="1" si="81"/>
        <v>9.5204670378345214E-3</v>
      </c>
      <c r="E234" s="54">
        <f t="shared" ca="1" si="82"/>
        <v>40.208497849963834</v>
      </c>
      <c r="F234" s="56">
        <f t="shared" ca="1" si="86"/>
        <v>6.6203742904080193E+29</v>
      </c>
      <c r="G234" s="56">
        <f t="shared" ca="1" si="83"/>
        <v>6.6203742904080193E+29</v>
      </c>
      <c r="H234" s="57" t="str">
        <f t="shared" ca="1" si="85"/>
        <v/>
      </c>
      <c r="I234" s="55"/>
      <c r="J234" s="55"/>
    </row>
    <row r="235" spans="1:10">
      <c r="A235" s="53">
        <f t="shared" si="84"/>
        <v>221</v>
      </c>
      <c r="B235" s="54">
        <f t="shared" ca="1" si="79"/>
        <v>12.036890558471608</v>
      </c>
      <c r="C235" s="55">
        <f t="shared" ca="1" si="80"/>
        <v>0</v>
      </c>
      <c r="D235" s="54">
        <f t="shared" ca="1" si="81"/>
        <v>-4.4631967234219283E-3</v>
      </c>
      <c r="E235" s="54">
        <f t="shared" ca="1" si="82"/>
        <v>40.857646242810233</v>
      </c>
      <c r="F235" s="56">
        <f t="shared" ca="1" si="86"/>
        <v>6.6203742904080193E+29</v>
      </c>
      <c r="G235" s="56">
        <f t="shared" ca="1" si="83"/>
        <v>6.6203742904080193E+29</v>
      </c>
      <c r="H235" s="57" t="str">
        <f t="shared" ca="1" si="85"/>
        <v/>
      </c>
      <c r="I235" s="55"/>
      <c r="J235" s="55"/>
    </row>
    <row r="236" spans="1:10">
      <c r="A236" s="53">
        <f t="shared" si="84"/>
        <v>222</v>
      </c>
      <c r="B236" s="54">
        <f t="shared" ca="1" si="79"/>
        <v>-4.5391459066582858</v>
      </c>
      <c r="C236" s="55">
        <f t="shared" ca="1" si="80"/>
        <v>0</v>
      </c>
      <c r="D236" s="54">
        <f t="shared" ca="1" si="81"/>
        <v>-1.2730488688611881E-4</v>
      </c>
      <c r="E236" s="54">
        <f t="shared" ca="1" si="82"/>
        <v>24.281609777680337</v>
      </c>
      <c r="F236" s="56">
        <f t="shared" ca="1" si="86"/>
        <v>6.6203742904080193E+29</v>
      </c>
      <c r="G236" s="56">
        <f t="shared" ca="1" si="83"/>
        <v>6.6203742904080193E+29</v>
      </c>
      <c r="H236" s="57" t="str">
        <f t="shared" ca="1" si="85"/>
        <v/>
      </c>
      <c r="I236" s="55"/>
      <c r="J236" s="55"/>
    </row>
    <row r="237" spans="1:10">
      <c r="A237" s="53">
        <f t="shared" si="84"/>
        <v>223</v>
      </c>
      <c r="B237" s="54">
        <f t="shared" ca="1" si="79"/>
        <v>1.5463449291846436</v>
      </c>
      <c r="C237" s="55">
        <f t="shared" ca="1" si="80"/>
        <v>0</v>
      </c>
      <c r="D237" s="54">
        <f t="shared" ca="1" si="81"/>
        <v>7.6468958348268768E-3</v>
      </c>
      <c r="E237" s="54">
        <f t="shared" ca="1" si="82"/>
        <v>30.367100613523267</v>
      </c>
      <c r="F237" s="56">
        <f t="shared" ca="1" si="86"/>
        <v>6.6203742904080193E+29</v>
      </c>
      <c r="G237" s="56">
        <f t="shared" ca="1" si="83"/>
        <v>6.6203742904080193E+29</v>
      </c>
      <c r="H237" s="57" t="str">
        <f t="shared" ca="1" si="85"/>
        <v/>
      </c>
      <c r="I237" s="55"/>
      <c r="J237" s="55"/>
    </row>
    <row r="238" spans="1:10">
      <c r="A238" s="53">
        <f t="shared" si="84"/>
        <v>224</v>
      </c>
      <c r="B238" s="54">
        <f t="shared" ca="1" si="79"/>
        <v>-9.9398027225895902</v>
      </c>
      <c r="C238" s="55">
        <f t="shared" ca="1" si="80"/>
        <v>0</v>
      </c>
      <c r="D238" s="54">
        <f t="shared" ca="1" si="81"/>
        <v>-1.6568935471108926E-3</v>
      </c>
      <c r="E238" s="54">
        <f t="shared" ca="1" si="82"/>
        <v>18.880952961749031</v>
      </c>
      <c r="F238" s="56">
        <f t="shared" ca="1" si="86"/>
        <v>6.6203742904080193E+29</v>
      </c>
      <c r="G238" s="56">
        <f t="shared" ca="1" si="83"/>
        <v>6.6203742904080193E+29</v>
      </c>
      <c r="H238" s="57" t="str">
        <f t="shared" ca="1" si="85"/>
        <v/>
      </c>
      <c r="I238" s="55"/>
      <c r="J238" s="55"/>
    </row>
    <row r="239" spans="1:10">
      <c r="A239" s="53">
        <f t="shared" si="84"/>
        <v>225</v>
      </c>
      <c r="B239" s="54">
        <f t="shared" ca="1" si="79"/>
        <v>-0.75245554882339771</v>
      </c>
      <c r="C239" s="55">
        <f t="shared" ca="1" si="80"/>
        <v>0</v>
      </c>
      <c r="D239" s="54">
        <f t="shared" ca="1" si="81"/>
        <v>-6.425301281645977E-3</v>
      </c>
      <c r="E239" s="54">
        <f t="shared" ca="1" si="82"/>
        <v>28.068300135515223</v>
      </c>
      <c r="F239" s="56">
        <f t="shared" ca="1" si="86"/>
        <v>6.6203742904080193E+29</v>
      </c>
      <c r="G239" s="56">
        <f t="shared" ca="1" si="83"/>
        <v>6.6203742904080193E+29</v>
      </c>
      <c r="H239" s="57" t="str">
        <f t="shared" ca="1" si="85"/>
        <v/>
      </c>
      <c r="I239" s="55"/>
      <c r="J239" s="55"/>
    </row>
    <row r="240" spans="1:10">
      <c r="A240" s="53">
        <f t="shared" si="84"/>
        <v>226</v>
      </c>
      <c r="B240" s="54">
        <f t="shared" ca="1" si="79"/>
        <v>1.4262515092203509</v>
      </c>
      <c r="C240" s="55">
        <f t="shared" ca="1" si="80"/>
        <v>0</v>
      </c>
      <c r="D240" s="54">
        <f t="shared" ca="1" si="81"/>
        <v>7.7208407433835367E-3</v>
      </c>
      <c r="E240" s="54">
        <f t="shared" ca="1" si="82"/>
        <v>30.247007193558971</v>
      </c>
      <c r="F240" s="56">
        <f t="shared" ca="1" si="86"/>
        <v>6.6203742904080193E+29</v>
      </c>
      <c r="G240" s="56">
        <f t="shared" ca="1" si="83"/>
        <v>6.6203742904080193E+29</v>
      </c>
      <c r="H240" s="57" t="str">
        <f t="shared" ca="1" si="85"/>
        <v/>
      </c>
      <c r="I240" s="55"/>
      <c r="J240" s="55"/>
    </row>
    <row r="241" spans="1:10">
      <c r="A241" s="53">
        <f t="shared" si="84"/>
        <v>227</v>
      </c>
      <c r="B241" s="54">
        <f t="shared" ca="1" si="79"/>
        <v>1.7509996695981991</v>
      </c>
      <c r="C241" s="55">
        <f t="shared" ca="1" si="80"/>
        <v>0</v>
      </c>
      <c r="D241" s="54">
        <f t="shared" ca="1" si="81"/>
        <v>-7.8091390770791171E-3</v>
      </c>
      <c r="E241" s="54">
        <f t="shared" ca="1" si="82"/>
        <v>30.571755353936819</v>
      </c>
      <c r="F241" s="56">
        <f t="shared" ca="1" si="86"/>
        <v>6.6203742904080193E+29</v>
      </c>
      <c r="G241" s="56">
        <f t="shared" ca="1" si="83"/>
        <v>6.6203742904080193E+29</v>
      </c>
      <c r="H241" s="57" t="str">
        <f t="shared" ca="1" si="85"/>
        <v/>
      </c>
      <c r="I241" s="55"/>
      <c r="J241" s="55"/>
    </row>
    <row r="242" spans="1:10">
      <c r="A242" s="53">
        <f t="shared" si="84"/>
        <v>228</v>
      </c>
      <c r="B242" s="54">
        <f t="shared" ca="1" si="79"/>
        <v>5.0708568761798984</v>
      </c>
      <c r="C242" s="55">
        <f t="shared" ca="1" si="80"/>
        <v>0</v>
      </c>
      <c r="D242" s="54">
        <f t="shared" ca="1" si="81"/>
        <v>1.6671121958595898E-2</v>
      </c>
      <c r="E242" s="54">
        <f t="shared" ca="1" si="82"/>
        <v>33.891612560518517</v>
      </c>
      <c r="F242" s="56">
        <f t="shared" ca="1" si="86"/>
        <v>6.6203742904080193E+29</v>
      </c>
      <c r="G242" s="56">
        <f t="shared" ca="1" si="83"/>
        <v>6.6203742904080193E+29</v>
      </c>
      <c r="H242" s="57" t="str">
        <f t="shared" ca="1" si="85"/>
        <v/>
      </c>
      <c r="I242" s="55"/>
      <c r="J242" s="55"/>
    </row>
    <row r="243" spans="1:10">
      <c r="A243" s="53">
        <f t="shared" si="84"/>
        <v>229</v>
      </c>
      <c r="B243" s="54">
        <f t="shared" ca="1" si="79"/>
        <v>4.7700915318945976</v>
      </c>
      <c r="C243" s="55">
        <f t="shared" ca="1" si="80"/>
        <v>0</v>
      </c>
      <c r="D243" s="54">
        <f t="shared" ca="1" si="81"/>
        <v>1.248005812161861E-2</v>
      </c>
      <c r="E243" s="54">
        <f t="shared" ca="1" si="82"/>
        <v>33.590847216233222</v>
      </c>
      <c r="F243" s="56">
        <f t="shared" ca="1" si="86"/>
        <v>6.6203742904080193E+29</v>
      </c>
      <c r="G243" s="56">
        <f t="shared" ca="1" si="83"/>
        <v>6.6203742904080193E+29</v>
      </c>
      <c r="H243" s="57" t="str">
        <f t="shared" ca="1" si="85"/>
        <v/>
      </c>
      <c r="I243" s="55"/>
      <c r="J243" s="55"/>
    </row>
    <row r="244" spans="1:10">
      <c r="A244" s="53">
        <f t="shared" si="84"/>
        <v>230</v>
      </c>
      <c r="B244" s="54">
        <f t="shared" ca="1" si="79"/>
        <v>-10.135039280277121</v>
      </c>
      <c r="C244" s="55">
        <f t="shared" ca="1" si="80"/>
        <v>0</v>
      </c>
      <c r="D244" s="54">
        <f t="shared" ca="1" si="81"/>
        <v>-1.2534251359395587E-3</v>
      </c>
      <c r="E244" s="54">
        <f t="shared" ca="1" si="82"/>
        <v>18.685716404061502</v>
      </c>
      <c r="F244" s="56">
        <f t="shared" ca="1" si="86"/>
        <v>6.6203742904080193E+29</v>
      </c>
      <c r="G244" s="56">
        <f t="shared" ca="1" si="83"/>
        <v>6.6203742904080193E+29</v>
      </c>
      <c r="H244" s="57" t="str">
        <f t="shared" ca="1" si="85"/>
        <v/>
      </c>
      <c r="I244" s="55"/>
      <c r="J244" s="55"/>
    </row>
    <row r="245" spans="1:10">
      <c r="A245" s="53">
        <f t="shared" si="84"/>
        <v>231</v>
      </c>
      <c r="B245" s="54">
        <f t="shared" ca="1" si="79"/>
        <v>-9.9337291222862305</v>
      </c>
      <c r="C245" s="55">
        <f t="shared" ca="1" si="80"/>
        <v>0</v>
      </c>
      <c r="D245" s="54">
        <f t="shared" ca="1" si="81"/>
        <v>2.1614358417264439E-3</v>
      </c>
      <c r="E245" s="54">
        <f t="shared" ca="1" si="82"/>
        <v>18.887026562052391</v>
      </c>
      <c r="F245" s="56">
        <f t="shared" ca="1" si="86"/>
        <v>6.6203742904080193E+29</v>
      </c>
      <c r="G245" s="56">
        <f t="shared" ca="1" si="83"/>
        <v>6.6203742904080193E+29</v>
      </c>
      <c r="H245" s="57" t="str">
        <f t="shared" ca="1" si="85"/>
        <v/>
      </c>
      <c r="I245" s="55"/>
      <c r="J245" s="55"/>
    </row>
    <row r="246" spans="1:10">
      <c r="A246" s="53">
        <f t="shared" si="84"/>
        <v>232</v>
      </c>
      <c r="B246" s="54">
        <f t="shared" ca="1" si="79"/>
        <v>-3.1369775515512912</v>
      </c>
      <c r="C246" s="55">
        <f t="shared" ca="1" si="80"/>
        <v>0</v>
      </c>
      <c r="D246" s="54">
        <f t="shared" ca="1" si="81"/>
        <v>2.1212877252260883E-3</v>
      </c>
      <c r="E246" s="54">
        <f t="shared" ca="1" si="82"/>
        <v>25.683778132787332</v>
      </c>
      <c r="F246" s="56">
        <f t="shared" ca="1" si="86"/>
        <v>6.6203742904080193E+29</v>
      </c>
      <c r="G246" s="56">
        <f t="shared" ca="1" si="83"/>
        <v>6.6203742904080193E+29</v>
      </c>
      <c r="H246" s="57" t="str">
        <f t="shared" ca="1" si="85"/>
        <v/>
      </c>
      <c r="I246" s="55"/>
      <c r="J246" s="55"/>
    </row>
    <row r="247" spans="1:10">
      <c r="A247" s="53">
        <f t="shared" si="84"/>
        <v>233</v>
      </c>
      <c r="B247" s="54">
        <f t="shared" ca="1" si="79"/>
        <v>15.312605189321465</v>
      </c>
      <c r="C247" s="55">
        <f t="shared" ca="1" si="80"/>
        <v>0</v>
      </c>
      <c r="D247" s="54">
        <f t="shared" ca="1" si="81"/>
        <v>2.5390052527730828E-2</v>
      </c>
      <c r="E247" s="54">
        <f t="shared" ca="1" si="82"/>
        <v>44.133360873660088</v>
      </c>
      <c r="F247" s="56">
        <f t="shared" ca="1" si="86"/>
        <v>6.6203742904080193E+29</v>
      </c>
      <c r="G247" s="56">
        <f t="shared" ca="1" si="83"/>
        <v>6.6203742904080193E+29</v>
      </c>
      <c r="H247" s="57" t="str">
        <f t="shared" ca="1" si="85"/>
        <v/>
      </c>
      <c r="I247" s="55"/>
      <c r="J247" s="55"/>
    </row>
    <row r="248" spans="1:10">
      <c r="A248" s="53">
        <f t="shared" si="84"/>
        <v>234</v>
      </c>
      <c r="B248" s="54">
        <f t="shared" ca="1" si="79"/>
        <v>1.2725835774649421</v>
      </c>
      <c r="C248" s="55">
        <f t="shared" ca="1" si="80"/>
        <v>0</v>
      </c>
      <c r="D248" s="54">
        <f t="shared" ca="1" si="81"/>
        <v>-2.8120163727644913E-4</v>
      </c>
      <c r="E248" s="54">
        <f t="shared" ca="1" si="82"/>
        <v>30.093339261803564</v>
      </c>
      <c r="F248" s="56">
        <f t="shared" ca="1" si="86"/>
        <v>6.6203742904080193E+29</v>
      </c>
      <c r="G248" s="56">
        <f t="shared" ca="1" si="83"/>
        <v>6.6203742904080193E+29</v>
      </c>
      <c r="H248" s="57" t="str">
        <f t="shared" ca="1" si="85"/>
        <v/>
      </c>
      <c r="I248" s="55"/>
      <c r="J248" s="55"/>
    </row>
    <row r="249" spans="1:10">
      <c r="A249" s="53">
        <f t="shared" si="84"/>
        <v>235</v>
      </c>
      <c r="B249" s="54">
        <f t="shared" ca="1" si="79"/>
        <v>-16.50587670685881</v>
      </c>
      <c r="C249" s="55">
        <f t="shared" ca="1" si="80"/>
        <v>0</v>
      </c>
      <c r="D249" s="54">
        <f t="shared" ca="1" si="81"/>
        <v>-5.4065672224894688E-3</v>
      </c>
      <c r="E249" s="54">
        <f t="shared" ca="1" si="82"/>
        <v>12.314878977479811</v>
      </c>
      <c r="F249" s="56">
        <f t="shared" ca="1" si="86"/>
        <v>6.6203742904080193E+29</v>
      </c>
      <c r="G249" s="56">
        <f t="shared" ca="1" si="83"/>
        <v>6.6203742904080193E+29</v>
      </c>
      <c r="H249" s="57" t="str">
        <f t="shared" ca="1" si="85"/>
        <v/>
      </c>
      <c r="I249" s="55"/>
      <c r="J249" s="55"/>
    </row>
    <row r="250" spans="1:10">
      <c r="A250" s="53">
        <f t="shared" si="84"/>
        <v>236</v>
      </c>
      <c r="B250" s="54">
        <f t="shared" ca="1" si="79"/>
        <v>0.76709036451659429</v>
      </c>
      <c r="C250" s="55">
        <f t="shared" ca="1" si="80"/>
        <v>0</v>
      </c>
      <c r="D250" s="54">
        <f t="shared" ca="1" si="81"/>
        <v>-1.0421468952583415E-2</v>
      </c>
      <c r="E250" s="54">
        <f t="shared" ca="1" si="82"/>
        <v>29.587846048855216</v>
      </c>
      <c r="F250" s="56">
        <f t="shared" ca="1" si="86"/>
        <v>6.6203742904080193E+29</v>
      </c>
      <c r="G250" s="56">
        <f t="shared" ca="1" si="83"/>
        <v>6.6203742904080193E+29</v>
      </c>
      <c r="H250" s="57" t="str">
        <f t="shared" ca="1" si="85"/>
        <v/>
      </c>
      <c r="I250" s="55"/>
      <c r="J250" s="55"/>
    </row>
    <row r="251" spans="1:10">
      <c r="A251" s="53">
        <f t="shared" si="84"/>
        <v>237</v>
      </c>
      <c r="B251" s="54">
        <f t="shared" ca="1" si="79"/>
        <v>-10.168320075276471</v>
      </c>
      <c r="C251" s="55">
        <f t="shared" ca="1" si="80"/>
        <v>0</v>
      </c>
      <c r="D251" s="54">
        <f t="shared" ca="1" si="81"/>
        <v>-1.7657625204470749E-2</v>
      </c>
      <c r="E251" s="54">
        <f t="shared" ca="1" si="82"/>
        <v>18.652435609062152</v>
      </c>
      <c r="F251" s="56">
        <f t="shared" ca="1" si="86"/>
        <v>6.6203742904080193E+29</v>
      </c>
      <c r="G251" s="56">
        <f t="shared" ca="1" si="83"/>
        <v>6.6203742904080193E+29</v>
      </c>
      <c r="H251" s="57" t="str">
        <f t="shared" ca="1" si="85"/>
        <v/>
      </c>
      <c r="I251" s="55"/>
      <c r="J251" s="55"/>
    </row>
    <row r="252" spans="1:10">
      <c r="A252" s="58"/>
      <c r="B252" s="54"/>
      <c r="C252" s="55"/>
      <c r="D252" s="54"/>
      <c r="E252" s="54"/>
      <c r="F252" s="56"/>
      <c r="G252" s="56"/>
      <c r="H252" s="55"/>
      <c r="I252" s="55"/>
      <c r="J252" s="55"/>
    </row>
    <row r="253" spans="1:10">
      <c r="A253" s="58"/>
      <c r="B253" s="54"/>
      <c r="C253" s="55"/>
      <c r="D253" s="54"/>
      <c r="E253" s="54"/>
      <c r="F253" s="56"/>
      <c r="G253" s="56"/>
      <c r="H253" s="55"/>
      <c r="I253" s="55"/>
      <c r="J253" s="55"/>
    </row>
    <row r="254" spans="1:10">
      <c r="A254" s="58"/>
      <c r="B254" s="54"/>
      <c r="C254" s="55"/>
      <c r="D254" s="54"/>
      <c r="E254" s="54"/>
      <c r="F254" s="56"/>
      <c r="G254" s="56"/>
      <c r="H254" s="55"/>
      <c r="I254" s="55"/>
      <c r="J254" s="55"/>
    </row>
    <row r="255" spans="1:10">
      <c r="A255" s="58"/>
      <c r="B255" s="54"/>
      <c r="C255" s="55"/>
      <c r="D255" s="54"/>
      <c r="E255" s="54"/>
      <c r="F255" s="56"/>
      <c r="G255" s="56"/>
      <c r="H255" s="55"/>
      <c r="I255" s="55"/>
      <c r="J255" s="55"/>
    </row>
    <row r="256" spans="1:10">
      <c r="A256" s="58"/>
      <c r="B256" s="54"/>
      <c r="C256" s="55"/>
      <c r="D256" s="54"/>
      <c r="E256" s="54"/>
      <c r="F256" s="56"/>
      <c r="G256" s="56"/>
      <c r="H256" s="55"/>
      <c r="I256" s="55"/>
      <c r="J256" s="55"/>
    </row>
    <row r="257" spans="1:10">
      <c r="A257" s="58"/>
      <c r="B257" s="54"/>
      <c r="C257" s="55"/>
      <c r="D257" s="54"/>
      <c r="E257" s="54"/>
      <c r="F257" s="56"/>
      <c r="G257" s="56"/>
      <c r="H257" s="55"/>
      <c r="I257" s="55"/>
      <c r="J257" s="55"/>
    </row>
    <row r="258" spans="1:10">
      <c r="A258" s="58"/>
      <c r="B258" s="54"/>
      <c r="C258" s="55"/>
      <c r="D258" s="54"/>
      <c r="E258" s="54"/>
      <c r="F258" s="56"/>
      <c r="G258" s="56"/>
      <c r="H258" s="55"/>
      <c r="I258" s="55"/>
      <c r="J258" s="55"/>
    </row>
    <row r="259" spans="1:10">
      <c r="A259" s="58"/>
      <c r="B259" s="54"/>
      <c r="C259" s="55"/>
      <c r="D259" s="54"/>
      <c r="E259" s="54"/>
      <c r="F259" s="56"/>
      <c r="G259" s="56"/>
      <c r="H259" s="55"/>
      <c r="I259" s="55"/>
      <c r="J259" s="55"/>
    </row>
    <row r="260" spans="1:10">
      <c r="A260" s="58"/>
      <c r="B260" s="54"/>
      <c r="C260" s="55"/>
      <c r="D260" s="54"/>
      <c r="E260" s="54"/>
      <c r="F260" s="56"/>
      <c r="G260" s="56"/>
      <c r="H260" s="55"/>
      <c r="I260" s="55"/>
      <c r="J260" s="55"/>
    </row>
    <row r="261" spans="1:10">
      <c r="A261" s="58"/>
      <c r="B261" s="54"/>
      <c r="C261" s="55"/>
      <c r="D261" s="54"/>
      <c r="E261" s="54"/>
      <c r="F261" s="56"/>
      <c r="G261" s="56"/>
      <c r="H261" s="55"/>
      <c r="I261" s="55"/>
      <c r="J261" s="55"/>
    </row>
    <row r="262" spans="1:10">
      <c r="A262" s="58"/>
      <c r="B262" s="54"/>
      <c r="C262" s="55"/>
      <c r="D262" s="54"/>
      <c r="E262" s="54"/>
      <c r="F262" s="56"/>
      <c r="G262" s="56"/>
      <c r="H262" s="55"/>
      <c r="I262" s="55"/>
      <c r="J262" s="55"/>
    </row>
    <row r="263" spans="1:10">
      <c r="A263" s="58"/>
      <c r="B263" s="54"/>
      <c r="C263" s="55"/>
      <c r="D263" s="54"/>
      <c r="E263" s="54"/>
      <c r="F263" s="56"/>
      <c r="G263" s="56"/>
      <c r="H263" s="55"/>
      <c r="I263" s="55"/>
      <c r="J263" s="55"/>
    </row>
    <row r="264" spans="1:10">
      <c r="A264" s="58"/>
      <c r="B264" s="54"/>
      <c r="C264" s="55"/>
      <c r="D264" s="54"/>
      <c r="E264" s="54"/>
      <c r="F264" s="56"/>
      <c r="G264" s="56"/>
      <c r="H264" s="55"/>
      <c r="I264" s="55"/>
      <c r="J264" s="55"/>
    </row>
    <row r="265" spans="1:10">
      <c r="A265" s="58"/>
      <c r="B265" s="54"/>
      <c r="C265" s="55"/>
      <c r="D265" s="54"/>
      <c r="E265" s="54"/>
      <c r="F265" s="56"/>
      <c r="G265" s="56"/>
      <c r="H265" s="55"/>
      <c r="I265" s="55"/>
      <c r="J265" s="55"/>
    </row>
    <row r="266" spans="1:10">
      <c r="A266" s="58"/>
      <c r="B266" s="54"/>
      <c r="C266" s="55"/>
      <c r="D266" s="54"/>
      <c r="E266" s="54"/>
      <c r="F266" s="56"/>
      <c r="G266" s="56"/>
      <c r="H266" s="55"/>
      <c r="I266" s="55"/>
      <c r="J266" s="55"/>
    </row>
    <row r="267" spans="1:10">
      <c r="A267" s="58"/>
      <c r="B267" s="54"/>
      <c r="C267" s="55"/>
      <c r="D267" s="54"/>
      <c r="E267" s="54"/>
      <c r="F267" s="56"/>
      <c r="G267" s="56"/>
      <c r="H267" s="55"/>
      <c r="I267" s="55"/>
      <c r="J267" s="55"/>
    </row>
    <row r="268" spans="1:10">
      <c r="A268" s="58"/>
      <c r="B268" s="54"/>
      <c r="C268" s="55"/>
      <c r="D268" s="54"/>
      <c r="E268" s="54"/>
      <c r="F268" s="56"/>
      <c r="G268" s="56"/>
      <c r="H268" s="55"/>
      <c r="I268" s="55"/>
      <c r="J268" s="55"/>
    </row>
    <row r="269" spans="1:10">
      <c r="A269" s="58"/>
      <c r="B269" s="54"/>
      <c r="C269" s="55"/>
      <c r="D269" s="54"/>
      <c r="E269" s="54"/>
      <c r="F269" s="56"/>
      <c r="G269" s="56"/>
      <c r="H269" s="55"/>
      <c r="I269" s="55"/>
      <c r="J269" s="55"/>
    </row>
    <row r="270" spans="1:10">
      <c r="A270" s="58"/>
      <c r="B270" s="54"/>
      <c r="C270" s="55"/>
      <c r="D270" s="54"/>
      <c r="E270" s="54"/>
      <c r="F270" s="56"/>
      <c r="G270" s="56"/>
      <c r="H270" s="55"/>
      <c r="I270" s="55"/>
      <c r="J270" s="55"/>
    </row>
    <row r="271" spans="1:10">
      <c r="A271" s="58"/>
      <c r="B271" s="54"/>
      <c r="C271" s="55"/>
      <c r="D271" s="54"/>
      <c r="E271" s="54"/>
      <c r="F271" s="56"/>
      <c r="G271" s="56"/>
      <c r="H271" s="55"/>
      <c r="I271" s="55"/>
      <c r="J271" s="55"/>
    </row>
    <row r="272" spans="1:10">
      <c r="A272" s="58"/>
      <c r="B272" s="54"/>
      <c r="C272" s="55"/>
      <c r="D272" s="54"/>
      <c r="E272" s="54"/>
      <c r="F272" s="56"/>
      <c r="G272" s="56"/>
      <c r="H272" s="55"/>
      <c r="I272" s="55"/>
      <c r="J272" s="55"/>
    </row>
    <row r="273" spans="1:10">
      <c r="A273" s="58"/>
      <c r="B273" s="54"/>
      <c r="C273" s="55"/>
      <c r="D273" s="54"/>
      <c r="E273" s="54"/>
      <c r="F273" s="56"/>
      <c r="G273" s="56"/>
      <c r="H273" s="55"/>
      <c r="I273" s="55"/>
      <c r="J273" s="55"/>
    </row>
    <row r="274" spans="1:10">
      <c r="A274" s="58"/>
      <c r="B274" s="54"/>
      <c r="C274" s="55"/>
      <c r="D274" s="54"/>
      <c r="E274" s="54"/>
      <c r="F274" s="56"/>
      <c r="G274" s="56"/>
      <c r="H274" s="55"/>
      <c r="I274" s="55"/>
      <c r="J274" s="55"/>
    </row>
    <row r="275" spans="1:10">
      <c r="A275" s="58"/>
      <c r="B275" s="54"/>
      <c r="C275" s="55"/>
      <c r="D275" s="54"/>
      <c r="E275" s="54"/>
      <c r="F275" s="56"/>
      <c r="G275" s="56"/>
      <c r="H275" s="55"/>
      <c r="I275" s="55"/>
      <c r="J275" s="55"/>
    </row>
    <row r="276" spans="1:10">
      <c r="A276" s="58"/>
      <c r="B276" s="54"/>
      <c r="C276" s="55"/>
      <c r="D276" s="54"/>
      <c r="E276" s="54"/>
      <c r="F276" s="56"/>
      <c r="G276" s="56"/>
      <c r="H276" s="55"/>
      <c r="I276" s="55"/>
      <c r="J276" s="55"/>
    </row>
    <row r="277" spans="1:10">
      <c r="A277" s="58"/>
      <c r="B277" s="54"/>
      <c r="C277" s="55"/>
      <c r="D277" s="54"/>
      <c r="E277" s="54"/>
      <c r="F277" s="56"/>
      <c r="G277" s="56"/>
      <c r="H277" s="55"/>
      <c r="I277" s="55"/>
      <c r="J277" s="55"/>
    </row>
    <row r="278" spans="1:10">
      <c r="A278" s="58"/>
      <c r="B278" s="54"/>
      <c r="C278" s="55"/>
      <c r="D278" s="54"/>
      <c r="E278" s="54"/>
      <c r="F278" s="56"/>
      <c r="G278" s="56"/>
      <c r="H278" s="55"/>
      <c r="I278" s="55"/>
      <c r="J278" s="55"/>
    </row>
    <row r="279" spans="1:10">
      <c r="I279" s="55"/>
      <c r="J279" s="55"/>
    </row>
    <row r="280" spans="1:10">
      <c r="A280" s="58"/>
      <c r="B280" s="54"/>
      <c r="C280" s="55"/>
      <c r="D280" s="54"/>
      <c r="E280" s="54"/>
      <c r="F280" s="56"/>
      <c r="G280" s="56"/>
      <c r="H280" s="55"/>
      <c r="I280" s="55"/>
      <c r="J280" s="55"/>
    </row>
    <row r="281" spans="1:10">
      <c r="A281" s="58"/>
      <c r="B281" s="54"/>
      <c r="C281" s="55"/>
      <c r="D281" s="54"/>
      <c r="E281" s="54"/>
      <c r="F281" s="56"/>
      <c r="G281" s="56"/>
      <c r="H281" s="55"/>
      <c r="I281" s="55"/>
      <c r="J281" s="55"/>
    </row>
    <row r="282" spans="1:10">
      <c r="A282" s="58"/>
      <c r="B282" s="54"/>
      <c r="C282" s="55"/>
      <c r="D282" s="54"/>
      <c r="E282" s="54"/>
      <c r="F282" s="56"/>
      <c r="G282" s="56"/>
      <c r="H282" s="55"/>
      <c r="I282" s="55"/>
      <c r="J282" s="55"/>
    </row>
    <row r="283" spans="1:10">
      <c r="A283" s="58"/>
      <c r="B283" s="54"/>
      <c r="C283" s="55"/>
      <c r="D283" s="54"/>
      <c r="E283" s="54"/>
      <c r="F283" s="56"/>
      <c r="G283" s="56"/>
      <c r="H283" s="55"/>
      <c r="I283" s="55"/>
      <c r="J283" s="55"/>
    </row>
    <row r="284" spans="1:10">
      <c r="A284" s="58"/>
      <c r="B284" s="54"/>
      <c r="C284" s="55"/>
      <c r="D284" s="54"/>
      <c r="E284" s="54"/>
      <c r="F284" s="56"/>
      <c r="G284" s="56"/>
      <c r="H284" s="55"/>
      <c r="I284" s="55"/>
      <c r="J284" s="55"/>
    </row>
    <row r="285" spans="1:10">
      <c r="A285" s="58"/>
      <c r="B285" s="54"/>
      <c r="C285" s="55"/>
      <c r="D285" s="54"/>
      <c r="E285" s="54"/>
      <c r="F285" s="56"/>
      <c r="G285" s="56"/>
      <c r="H285" s="55"/>
      <c r="I285" s="55"/>
      <c r="J285" s="55"/>
    </row>
    <row r="286" spans="1:10">
      <c r="A286" s="58"/>
      <c r="B286" s="54"/>
      <c r="C286" s="55"/>
      <c r="D286" s="54"/>
      <c r="E286" s="54"/>
      <c r="F286" s="56"/>
      <c r="G286" s="56"/>
      <c r="H286" s="55"/>
      <c r="I286" s="55"/>
      <c r="J286" s="55"/>
    </row>
    <row r="287" spans="1:10">
      <c r="A287" s="58"/>
      <c r="B287" s="54"/>
      <c r="C287" s="55"/>
      <c r="D287" s="54"/>
      <c r="E287" s="54"/>
      <c r="F287" s="56"/>
      <c r="G287" s="56"/>
      <c r="H287" s="55"/>
      <c r="I287" s="55"/>
      <c r="J287" s="55"/>
    </row>
    <row r="288" spans="1:10">
      <c r="A288" s="58"/>
      <c r="B288" s="54"/>
      <c r="C288" s="55"/>
      <c r="D288" s="54"/>
      <c r="E288" s="54"/>
      <c r="F288" s="56"/>
      <c r="G288" s="56"/>
      <c r="H288" s="55"/>
      <c r="I288" s="55"/>
      <c r="J288" s="55"/>
    </row>
    <row r="289" spans="1:10">
      <c r="A289" s="58"/>
      <c r="B289" s="54"/>
      <c r="C289" s="55"/>
      <c r="D289" s="54"/>
      <c r="E289" s="54"/>
      <c r="F289" s="56"/>
      <c r="G289" s="56"/>
      <c r="H289" s="55"/>
      <c r="I289" s="55"/>
      <c r="J289" s="55"/>
    </row>
    <row r="290" spans="1:10">
      <c r="A290" s="58"/>
      <c r="B290" s="54"/>
      <c r="C290" s="55"/>
      <c r="D290" s="54"/>
      <c r="E290" s="54"/>
      <c r="F290" s="56"/>
      <c r="G290" s="56"/>
      <c r="H290" s="55"/>
      <c r="I290" s="55"/>
      <c r="J290" s="55"/>
    </row>
    <row r="291" spans="1:10">
      <c r="A291" s="58"/>
      <c r="B291" s="54"/>
      <c r="C291" s="55"/>
      <c r="D291" s="54"/>
      <c r="E291" s="54"/>
      <c r="F291" s="56"/>
      <c r="G291" s="56"/>
      <c r="H291" s="55"/>
      <c r="I291" s="55"/>
      <c r="J291" s="55"/>
    </row>
    <row r="292" spans="1:10">
      <c r="A292" s="58"/>
      <c r="B292" s="54"/>
      <c r="C292" s="55"/>
      <c r="D292" s="54"/>
      <c r="E292" s="54"/>
      <c r="F292" s="56"/>
      <c r="G292" s="56"/>
      <c r="H292" s="55"/>
      <c r="I292" s="55"/>
      <c r="J292" s="55"/>
    </row>
    <row r="293" spans="1:10">
      <c r="A293" s="58"/>
      <c r="B293" s="54"/>
      <c r="C293" s="55"/>
      <c r="D293" s="54"/>
      <c r="E293" s="54"/>
      <c r="F293" s="56"/>
      <c r="G293" s="56"/>
      <c r="H293" s="55"/>
      <c r="I293" s="55"/>
      <c r="J293" s="55"/>
    </row>
    <row r="294" spans="1:10">
      <c r="A294" s="58"/>
      <c r="B294" s="54"/>
      <c r="C294" s="55"/>
      <c r="D294" s="54"/>
      <c r="E294" s="54"/>
      <c r="F294" s="56"/>
      <c r="G294" s="56"/>
      <c r="H294" s="55"/>
      <c r="I294" s="55"/>
      <c r="J294" s="55"/>
    </row>
    <row r="295" spans="1:10">
      <c r="A295" s="58"/>
      <c r="B295" s="54"/>
      <c r="C295" s="55"/>
      <c r="D295" s="54"/>
      <c r="E295" s="54"/>
      <c r="F295" s="56"/>
      <c r="G295" s="56"/>
      <c r="H295" s="55"/>
      <c r="I295" s="55"/>
      <c r="J295" s="55"/>
    </row>
    <row r="296" spans="1:10">
      <c r="A296" s="58"/>
      <c r="B296" s="54"/>
      <c r="C296" s="55"/>
      <c r="D296" s="54"/>
      <c r="E296" s="54"/>
      <c r="F296" s="56"/>
      <c r="G296" s="56"/>
      <c r="H296" s="55"/>
      <c r="I296" s="55"/>
      <c r="J296" s="55"/>
    </row>
    <row r="297" spans="1:10">
      <c r="A297" s="58"/>
      <c r="B297" s="54"/>
      <c r="C297" s="55"/>
      <c r="D297" s="54"/>
      <c r="E297" s="54"/>
      <c r="F297" s="56"/>
      <c r="G297" s="56"/>
      <c r="H297" s="55"/>
      <c r="I297" s="55"/>
      <c r="J297" s="55"/>
    </row>
    <row r="298" spans="1:10">
      <c r="A298" s="58"/>
      <c r="B298" s="54"/>
      <c r="C298" s="55"/>
      <c r="D298" s="54"/>
      <c r="E298" s="54"/>
      <c r="F298" s="56"/>
      <c r="G298" s="56"/>
      <c r="H298" s="55"/>
      <c r="I298" s="55"/>
      <c r="J298" s="55"/>
    </row>
    <row r="299" spans="1:10">
      <c r="A299" s="58"/>
      <c r="B299" s="54"/>
      <c r="C299" s="55"/>
      <c r="D299" s="54"/>
      <c r="E299" s="54"/>
      <c r="F299" s="56"/>
      <c r="G299" s="56"/>
      <c r="H299" s="55"/>
      <c r="I299" s="55"/>
      <c r="J299" s="55"/>
    </row>
    <row r="300" spans="1:10">
      <c r="A300" s="58"/>
      <c r="B300" s="54"/>
      <c r="C300" s="55"/>
      <c r="D300" s="54"/>
      <c r="E300" s="54"/>
      <c r="F300" s="56"/>
      <c r="G300" s="56"/>
      <c r="H300" s="55"/>
      <c r="I300" s="55"/>
      <c r="J300" s="55"/>
    </row>
    <row r="301" spans="1:10">
      <c r="A301" s="58"/>
      <c r="B301" s="54"/>
      <c r="C301" s="55"/>
      <c r="D301" s="54"/>
      <c r="E301" s="54"/>
      <c r="F301" s="56"/>
      <c r="G301" s="56"/>
      <c r="H301" s="55"/>
      <c r="I301" s="55"/>
      <c r="J301" s="55"/>
    </row>
    <row r="302" spans="1:10">
      <c r="A302" s="58"/>
      <c r="B302" s="54"/>
      <c r="C302" s="55"/>
      <c r="D302" s="54"/>
      <c r="E302" s="54"/>
      <c r="F302" s="56"/>
      <c r="G302" s="56"/>
      <c r="H302" s="55"/>
      <c r="I302" s="55"/>
      <c r="J302" s="55"/>
    </row>
    <row r="303" spans="1:10">
      <c r="A303" s="58"/>
      <c r="B303" s="54"/>
      <c r="C303" s="55"/>
      <c r="D303" s="54"/>
      <c r="E303" s="54"/>
      <c r="F303" s="56"/>
      <c r="G303" s="56"/>
      <c r="H303" s="55"/>
      <c r="I303" s="55"/>
      <c r="J303" s="55"/>
    </row>
    <row r="304" spans="1:10">
      <c r="A304" s="58"/>
      <c r="B304" s="54"/>
      <c r="C304" s="55"/>
      <c r="D304" s="54"/>
      <c r="E304" s="54"/>
      <c r="F304" s="56"/>
      <c r="G304" s="56"/>
      <c r="H304" s="55"/>
      <c r="I304" s="55"/>
      <c r="J304" s="55"/>
    </row>
    <row r="305" spans="1:10">
      <c r="A305" s="58"/>
      <c r="B305" s="54"/>
      <c r="C305" s="55"/>
      <c r="D305" s="54"/>
      <c r="E305" s="54"/>
      <c r="F305" s="56"/>
      <c r="G305" s="56"/>
      <c r="H305" s="55"/>
      <c r="I305" s="55"/>
      <c r="J305" s="55"/>
    </row>
    <row r="306" spans="1:10">
      <c r="A306" s="58"/>
      <c r="B306" s="54"/>
      <c r="C306" s="55"/>
      <c r="D306" s="54"/>
      <c r="E306" s="54"/>
      <c r="F306" s="56"/>
      <c r="G306" s="56"/>
      <c r="H306" s="55"/>
      <c r="I306" s="55"/>
      <c r="J306" s="55"/>
    </row>
    <row r="307" spans="1:10">
      <c r="A307" s="58"/>
      <c r="B307" s="54"/>
      <c r="C307" s="55"/>
      <c r="D307" s="54"/>
      <c r="E307" s="54"/>
      <c r="F307" s="56"/>
      <c r="G307" s="56"/>
      <c r="H307" s="55"/>
      <c r="I307" s="55"/>
      <c r="J307" s="55"/>
    </row>
    <row r="308" spans="1:10">
      <c r="A308" s="58"/>
      <c r="B308" s="54"/>
      <c r="C308" s="55"/>
      <c r="D308" s="54"/>
      <c r="E308" s="54"/>
      <c r="F308" s="56"/>
      <c r="G308" s="56"/>
      <c r="H308" s="55"/>
      <c r="I308" s="55"/>
      <c r="J308" s="55"/>
    </row>
    <row r="309" spans="1:10">
      <c r="A309" s="58"/>
      <c r="B309" s="54"/>
      <c r="C309" s="55"/>
      <c r="D309" s="54"/>
      <c r="E309" s="54"/>
      <c r="F309" s="56"/>
      <c r="G309" s="56"/>
      <c r="H309" s="55"/>
      <c r="I309" s="55"/>
      <c r="J309" s="55"/>
    </row>
    <row r="310" spans="1:10">
      <c r="A310" s="58"/>
      <c r="B310" s="54"/>
      <c r="C310" s="55"/>
      <c r="D310" s="54"/>
      <c r="E310" s="54"/>
      <c r="F310" s="56"/>
      <c r="G310" s="56"/>
      <c r="H310" s="55"/>
      <c r="I310" s="55"/>
      <c r="J310" s="55"/>
    </row>
    <row r="311" spans="1:10">
      <c r="A311" s="58"/>
      <c r="B311" s="54"/>
      <c r="C311" s="55"/>
      <c r="D311" s="54"/>
      <c r="E311" s="54"/>
      <c r="F311" s="56"/>
      <c r="G311" s="56"/>
      <c r="H311" s="55"/>
      <c r="I311" s="55"/>
      <c r="J311" s="55"/>
    </row>
    <row r="312" spans="1:10">
      <c r="A312" s="58"/>
      <c r="B312" s="54"/>
      <c r="C312" s="55"/>
      <c r="D312" s="54"/>
      <c r="E312" s="54"/>
      <c r="F312" s="56"/>
      <c r="G312" s="56"/>
      <c r="H312" s="55"/>
      <c r="I312" s="55"/>
      <c r="J312" s="55"/>
    </row>
    <row r="313" spans="1:10">
      <c r="A313" s="58"/>
      <c r="B313" s="54"/>
      <c r="C313" s="55"/>
      <c r="D313" s="54"/>
      <c r="E313" s="54"/>
      <c r="F313" s="56"/>
      <c r="G313" s="56"/>
      <c r="H313" s="55"/>
      <c r="I313" s="55"/>
      <c r="J313" s="55"/>
    </row>
    <row r="314" spans="1:10">
      <c r="A314" s="58"/>
      <c r="B314" s="54"/>
      <c r="C314" s="55"/>
      <c r="D314" s="54"/>
      <c r="E314" s="54"/>
      <c r="F314" s="56"/>
      <c r="G314" s="56"/>
      <c r="H314" s="55"/>
      <c r="I314" s="55"/>
      <c r="J314" s="55"/>
    </row>
    <row r="315" spans="1:10">
      <c r="A315" s="58"/>
      <c r="B315" s="54"/>
      <c r="C315" s="55"/>
      <c r="D315" s="54"/>
      <c r="E315" s="54"/>
      <c r="F315" s="56"/>
      <c r="G315" s="56"/>
      <c r="H315" s="55"/>
      <c r="I315" s="55"/>
      <c r="J315" s="55"/>
    </row>
    <row r="316" spans="1:10">
      <c r="A316" s="58"/>
      <c r="B316" s="54"/>
      <c r="C316" s="55"/>
      <c r="D316" s="54"/>
      <c r="E316" s="54"/>
      <c r="F316" s="56"/>
      <c r="G316" s="56"/>
      <c r="H316" s="55"/>
      <c r="I316" s="55"/>
      <c r="J316" s="55"/>
    </row>
    <row r="317" spans="1:10">
      <c r="A317" s="58"/>
      <c r="B317" s="54"/>
      <c r="C317" s="55"/>
      <c r="D317" s="54"/>
      <c r="E317" s="54"/>
      <c r="F317" s="56"/>
      <c r="G317" s="56"/>
      <c r="H317" s="55"/>
      <c r="I317" s="55"/>
      <c r="J317" s="55"/>
    </row>
    <row r="318" spans="1:10">
      <c r="A318" s="58"/>
      <c r="B318" s="54"/>
      <c r="C318" s="55"/>
      <c r="D318" s="54"/>
      <c r="E318" s="54"/>
      <c r="F318" s="56"/>
      <c r="G318" s="56"/>
      <c r="H318" s="55"/>
      <c r="I318" s="55"/>
      <c r="J318" s="55"/>
    </row>
    <row r="319" spans="1:10">
      <c r="A319" s="58"/>
      <c r="B319" s="54"/>
      <c r="C319" s="55"/>
      <c r="D319" s="54"/>
      <c r="E319" s="54"/>
      <c r="F319" s="56"/>
      <c r="G319" s="56"/>
      <c r="H319" s="55"/>
      <c r="I319" s="55"/>
      <c r="J319" s="55"/>
    </row>
    <row r="320" spans="1:10">
      <c r="A320" s="58"/>
      <c r="B320" s="54"/>
      <c r="C320" s="55"/>
      <c r="D320" s="54"/>
      <c r="E320" s="54"/>
      <c r="F320" s="56"/>
      <c r="G320" s="56"/>
      <c r="H320" s="55"/>
      <c r="I320" s="55"/>
      <c r="J320" s="55"/>
    </row>
    <row r="321" spans="1:10">
      <c r="A321" s="58"/>
      <c r="B321" s="54"/>
      <c r="C321" s="55"/>
      <c r="D321" s="54"/>
      <c r="E321" s="54"/>
      <c r="F321" s="56"/>
      <c r="G321" s="56"/>
      <c r="H321" s="55"/>
      <c r="I321" s="55"/>
      <c r="J321" s="55"/>
    </row>
    <row r="322" spans="1:10">
      <c r="A322" s="58"/>
      <c r="B322" s="54"/>
      <c r="C322" s="55"/>
      <c r="D322" s="54"/>
      <c r="E322" s="54"/>
      <c r="F322" s="56"/>
      <c r="G322" s="56"/>
      <c r="H322" s="55"/>
      <c r="I322" s="55"/>
      <c r="J322" s="55"/>
    </row>
    <row r="323" spans="1:10">
      <c r="A323" s="58"/>
      <c r="B323" s="54"/>
      <c r="C323" s="55"/>
      <c r="D323" s="54"/>
      <c r="E323" s="54"/>
      <c r="F323" s="56"/>
      <c r="G323" s="56"/>
      <c r="H323" s="55"/>
      <c r="I323" s="55"/>
      <c r="J323" s="55"/>
    </row>
    <row r="324" spans="1:10">
      <c r="A324" s="58"/>
      <c r="B324" s="54"/>
      <c r="C324" s="55"/>
      <c r="D324" s="54"/>
      <c r="E324" s="54"/>
      <c r="F324" s="56"/>
      <c r="G324" s="56"/>
      <c r="H324" s="55"/>
      <c r="I324" s="55"/>
      <c r="J324" s="55"/>
    </row>
    <row r="325" spans="1:10">
      <c r="A325" s="58"/>
      <c r="B325" s="54"/>
      <c r="C325" s="55"/>
      <c r="D325" s="54"/>
      <c r="E325" s="54"/>
      <c r="F325" s="56"/>
      <c r="G325" s="56"/>
      <c r="H325" s="55"/>
      <c r="I325" s="55"/>
      <c r="J325" s="55"/>
    </row>
    <row r="326" spans="1:10">
      <c r="A326" s="58"/>
      <c r="B326" s="54"/>
      <c r="C326" s="55"/>
      <c r="D326" s="54"/>
      <c r="E326" s="54"/>
      <c r="F326" s="56"/>
      <c r="G326" s="56"/>
      <c r="H326" s="55"/>
      <c r="I326" s="55"/>
      <c r="J326" s="55"/>
    </row>
    <row r="327" spans="1:10">
      <c r="A327" s="58"/>
      <c r="B327" s="54"/>
      <c r="C327" s="55"/>
      <c r="D327" s="54"/>
      <c r="E327" s="54"/>
      <c r="F327" s="56"/>
      <c r="G327" s="56"/>
      <c r="H327" s="55"/>
      <c r="I327" s="55"/>
      <c r="J327" s="55"/>
    </row>
    <row r="328" spans="1:10">
      <c r="A328" s="58"/>
      <c r="B328" s="54"/>
      <c r="C328" s="55"/>
      <c r="D328" s="54"/>
      <c r="E328" s="54"/>
      <c r="F328" s="56"/>
      <c r="G328" s="56"/>
      <c r="H328" s="55"/>
      <c r="I328" s="55"/>
      <c r="J328" s="55"/>
    </row>
    <row r="329" spans="1:10">
      <c r="A329" s="58"/>
      <c r="B329" s="54"/>
      <c r="C329" s="55"/>
      <c r="D329" s="54"/>
      <c r="E329" s="54"/>
      <c r="F329" s="56"/>
      <c r="G329" s="56"/>
      <c r="H329" s="55"/>
      <c r="I329" s="55"/>
      <c r="J329" s="55"/>
    </row>
    <row r="330" spans="1:10">
      <c r="A330" s="58"/>
      <c r="B330" s="54"/>
      <c r="C330" s="55"/>
      <c r="D330" s="54"/>
      <c r="E330" s="54"/>
      <c r="F330" s="56"/>
      <c r="G330" s="56"/>
      <c r="H330" s="55"/>
      <c r="I330" s="55"/>
      <c r="J330" s="55"/>
    </row>
    <row r="331" spans="1:10">
      <c r="A331" s="58"/>
      <c r="B331" s="54"/>
      <c r="C331" s="55"/>
      <c r="D331" s="54"/>
      <c r="E331" s="54"/>
      <c r="F331" s="56"/>
      <c r="G331" s="56"/>
      <c r="H331" s="55"/>
      <c r="I331" s="55"/>
      <c r="J331" s="55"/>
    </row>
    <row r="332" spans="1:10">
      <c r="A332" s="58"/>
      <c r="B332" s="54"/>
      <c r="C332" s="55"/>
      <c r="D332" s="54"/>
      <c r="E332" s="54"/>
      <c r="F332" s="56"/>
      <c r="G332" s="56"/>
      <c r="H332" s="55"/>
      <c r="I332" s="55"/>
      <c r="J332" s="55"/>
    </row>
    <row r="333" spans="1:10">
      <c r="A333" s="58"/>
      <c r="B333" s="54"/>
      <c r="C333" s="55"/>
      <c r="D333" s="54"/>
      <c r="E333" s="54"/>
      <c r="F333" s="56"/>
      <c r="G333" s="56"/>
      <c r="H333" s="55"/>
      <c r="I333" s="55"/>
      <c r="J333" s="55"/>
    </row>
    <row r="334" spans="1:10">
      <c r="A334" s="58"/>
      <c r="B334" s="54"/>
      <c r="C334" s="55"/>
      <c r="D334" s="54"/>
      <c r="E334" s="54"/>
      <c r="F334" s="56"/>
      <c r="G334" s="56"/>
      <c r="H334" s="55"/>
      <c r="I334" s="55"/>
      <c r="J334" s="55"/>
    </row>
    <row r="335" spans="1:10">
      <c r="A335" s="58"/>
      <c r="B335" s="54"/>
      <c r="C335" s="55"/>
      <c r="D335" s="54"/>
      <c r="E335" s="54"/>
      <c r="F335" s="56"/>
      <c r="G335" s="56"/>
      <c r="H335" s="55"/>
      <c r="I335" s="55"/>
      <c r="J335" s="55"/>
    </row>
    <row r="336" spans="1:10">
      <c r="A336" s="58"/>
      <c r="B336" s="54"/>
      <c r="C336" s="55"/>
      <c r="D336" s="54"/>
      <c r="E336" s="54"/>
      <c r="F336" s="56"/>
      <c r="G336" s="56"/>
      <c r="H336" s="55"/>
      <c r="I336" s="55"/>
      <c r="J336" s="55"/>
    </row>
    <row r="337" spans="1:10">
      <c r="A337" s="58"/>
      <c r="B337" s="54"/>
      <c r="C337" s="55"/>
      <c r="D337" s="54"/>
      <c r="E337" s="54"/>
      <c r="F337" s="56"/>
      <c r="G337" s="56"/>
      <c r="H337" s="55"/>
      <c r="I337" s="55"/>
      <c r="J337" s="55"/>
    </row>
    <row r="338" spans="1:10">
      <c r="A338" s="58"/>
      <c r="B338" s="54"/>
      <c r="C338" s="55"/>
      <c r="D338" s="54"/>
      <c r="E338" s="54"/>
      <c r="F338" s="56"/>
      <c r="G338" s="56"/>
      <c r="H338" s="55"/>
      <c r="I338" s="55"/>
      <c r="J338" s="55"/>
    </row>
    <row r="339" spans="1:10">
      <c r="A339" s="58"/>
      <c r="B339" s="54"/>
      <c r="C339" s="55"/>
      <c r="D339" s="54"/>
      <c r="E339" s="54"/>
      <c r="F339" s="56"/>
      <c r="G339" s="56"/>
      <c r="H339" s="55"/>
      <c r="I339" s="55"/>
      <c r="J339" s="55"/>
    </row>
    <row r="340" spans="1:10">
      <c r="A340" s="58"/>
      <c r="B340" s="54"/>
      <c r="C340" s="55"/>
      <c r="D340" s="54"/>
      <c r="E340" s="54"/>
      <c r="F340" s="56"/>
      <c r="G340" s="56"/>
      <c r="H340" s="55"/>
      <c r="I340" s="55"/>
      <c r="J340" s="55"/>
    </row>
    <row r="341" spans="1:10">
      <c r="A341" s="58"/>
      <c r="B341" s="54"/>
      <c r="C341" s="55"/>
      <c r="D341" s="54"/>
      <c r="E341" s="54"/>
      <c r="F341" s="56"/>
      <c r="G341" s="56"/>
      <c r="H341" s="55"/>
      <c r="I341" s="55"/>
      <c r="J341" s="55"/>
    </row>
    <row r="342" spans="1:10">
      <c r="A342" s="58"/>
      <c r="B342" s="54"/>
      <c r="C342" s="55"/>
      <c r="D342" s="54"/>
      <c r="E342" s="54"/>
      <c r="F342" s="56"/>
      <c r="G342" s="56"/>
      <c r="H342" s="55"/>
      <c r="I342" s="55"/>
      <c r="J342" s="55"/>
    </row>
    <row r="343" spans="1:10">
      <c r="A343" s="58"/>
      <c r="B343" s="54"/>
      <c r="C343" s="55"/>
      <c r="D343" s="54"/>
      <c r="E343" s="54"/>
      <c r="F343" s="56"/>
      <c r="G343" s="56"/>
      <c r="H343" s="55"/>
      <c r="I343" s="55"/>
      <c r="J343" s="55"/>
    </row>
    <row r="344" spans="1:10">
      <c r="A344" s="58"/>
      <c r="B344" s="54"/>
      <c r="C344" s="55"/>
      <c r="D344" s="54"/>
      <c r="E344" s="54"/>
      <c r="F344" s="56"/>
      <c r="G344" s="56"/>
      <c r="H344" s="55"/>
      <c r="I344" s="55"/>
      <c r="J344" s="55"/>
    </row>
    <row r="345" spans="1:10">
      <c r="A345" s="58"/>
      <c r="B345" s="54"/>
      <c r="C345" s="55"/>
      <c r="D345" s="54"/>
      <c r="E345" s="54"/>
      <c r="F345" s="56"/>
      <c r="G345" s="56"/>
      <c r="H345" s="55"/>
      <c r="I345" s="55"/>
      <c r="J345" s="55"/>
    </row>
    <row r="346" spans="1:10">
      <c r="A346" s="58"/>
      <c r="B346" s="54"/>
      <c r="C346" s="55"/>
      <c r="D346" s="54"/>
      <c r="E346" s="54"/>
      <c r="F346" s="56"/>
      <c r="G346" s="56"/>
      <c r="H346" s="55"/>
      <c r="I346" s="55"/>
      <c r="J346" s="55"/>
    </row>
    <row r="347" spans="1:10">
      <c r="A347" s="58"/>
      <c r="B347" s="54"/>
      <c r="C347" s="55"/>
      <c r="D347" s="54"/>
      <c r="E347" s="54"/>
      <c r="F347" s="56"/>
      <c r="G347" s="56"/>
      <c r="H347" s="55"/>
      <c r="I347" s="55"/>
      <c r="J347" s="55"/>
    </row>
    <row r="348" spans="1:10">
      <c r="A348" s="58"/>
      <c r="B348" s="54"/>
      <c r="C348" s="55"/>
      <c r="D348" s="54"/>
      <c r="E348" s="54"/>
      <c r="F348" s="56"/>
      <c r="G348" s="56"/>
      <c r="H348" s="55"/>
      <c r="I348" s="55"/>
      <c r="J348" s="55"/>
    </row>
    <row r="349" spans="1:10">
      <c r="A349" s="58"/>
      <c r="B349" s="54"/>
      <c r="C349" s="55"/>
      <c r="D349" s="54"/>
      <c r="E349" s="54"/>
      <c r="F349" s="56"/>
      <c r="G349" s="56"/>
      <c r="H349" s="55"/>
      <c r="I349" s="55"/>
      <c r="J349" s="55"/>
    </row>
    <row r="350" spans="1:10">
      <c r="A350" s="58"/>
      <c r="B350" s="54"/>
      <c r="C350" s="55"/>
      <c r="D350" s="54"/>
      <c r="E350" s="54"/>
      <c r="F350" s="56"/>
      <c r="G350" s="56"/>
      <c r="H350" s="55"/>
      <c r="I350" s="55"/>
      <c r="J350" s="55"/>
    </row>
    <row r="351" spans="1:10">
      <c r="A351" s="58"/>
      <c r="B351" s="54"/>
      <c r="C351" s="55"/>
      <c r="D351" s="54"/>
      <c r="E351" s="54"/>
      <c r="F351" s="56"/>
      <c r="G351" s="56"/>
      <c r="H351" s="55"/>
      <c r="I351" s="55"/>
      <c r="J351" s="55"/>
    </row>
    <row r="352" spans="1:10">
      <c r="A352" s="58"/>
      <c r="B352" s="54"/>
      <c r="C352" s="55"/>
      <c r="D352" s="54"/>
      <c r="E352" s="54"/>
      <c r="F352" s="56"/>
      <c r="G352" s="56"/>
      <c r="H352" s="55"/>
      <c r="I352" s="55"/>
      <c r="J352" s="55"/>
    </row>
    <row r="353" spans="1:10">
      <c r="A353" s="58"/>
      <c r="B353" s="54"/>
      <c r="C353" s="55"/>
      <c r="D353" s="54"/>
      <c r="E353" s="54"/>
      <c r="F353" s="56"/>
      <c r="G353" s="56"/>
      <c r="H353" s="55"/>
      <c r="I353" s="55"/>
      <c r="J353" s="55"/>
    </row>
    <row r="354" spans="1:10">
      <c r="A354" s="58"/>
      <c r="B354" s="54"/>
      <c r="C354" s="55"/>
      <c r="D354" s="54"/>
      <c r="E354" s="54"/>
      <c r="F354" s="56"/>
      <c r="G354" s="56"/>
      <c r="H354" s="55"/>
      <c r="I354" s="55"/>
      <c r="J354" s="55"/>
    </row>
    <row r="355" spans="1:10">
      <c r="A355" s="58"/>
      <c r="B355" s="54"/>
      <c r="C355" s="55"/>
      <c r="D355" s="54"/>
      <c r="E355" s="54"/>
      <c r="F355" s="56"/>
      <c r="G355" s="56"/>
      <c r="H355" s="55"/>
      <c r="I355" s="55"/>
      <c r="J355" s="55"/>
    </row>
    <row r="356" spans="1:10">
      <c r="A356" s="58"/>
      <c r="B356" s="54"/>
      <c r="C356" s="55"/>
      <c r="D356" s="54"/>
      <c r="E356" s="54"/>
      <c r="F356" s="56"/>
      <c r="G356" s="56"/>
      <c r="H356" s="55"/>
      <c r="I356" s="55"/>
      <c r="J356" s="55"/>
    </row>
    <row r="357" spans="1:10">
      <c r="A357" s="58"/>
      <c r="B357" s="54"/>
      <c r="C357" s="55"/>
      <c r="D357" s="54"/>
      <c r="E357" s="54"/>
      <c r="F357" s="56"/>
      <c r="G357" s="56"/>
      <c r="H357" s="55"/>
      <c r="I357" s="55"/>
      <c r="J357" s="55"/>
    </row>
    <row r="358" spans="1:10">
      <c r="A358" s="58"/>
      <c r="B358" s="54"/>
      <c r="C358" s="55"/>
      <c r="D358" s="54"/>
      <c r="E358" s="54"/>
      <c r="F358" s="56"/>
      <c r="G358" s="56"/>
      <c r="H358" s="55"/>
      <c r="I358" s="55"/>
      <c r="J358" s="55"/>
    </row>
    <row r="359" spans="1:10">
      <c r="A359" s="58"/>
      <c r="B359" s="54"/>
      <c r="C359" s="55"/>
      <c r="D359" s="54"/>
      <c r="E359" s="54"/>
      <c r="F359" s="56"/>
      <c r="G359" s="56"/>
      <c r="H359" s="55"/>
      <c r="I359" s="55"/>
      <c r="J359" s="55"/>
    </row>
    <row r="360" spans="1:10">
      <c r="A360" s="58"/>
      <c r="B360" s="54"/>
      <c r="C360" s="55"/>
      <c r="D360" s="54"/>
      <c r="E360" s="54"/>
      <c r="F360" s="56"/>
      <c r="G360" s="56"/>
      <c r="H360" s="55"/>
      <c r="I360" s="55"/>
      <c r="J360" s="55"/>
    </row>
    <row r="361" spans="1:10">
      <c r="A361" s="58"/>
      <c r="B361" s="54"/>
      <c r="C361" s="55"/>
      <c r="D361" s="54"/>
      <c r="E361" s="54"/>
      <c r="F361" s="56"/>
      <c r="G361" s="56"/>
      <c r="H361" s="55"/>
      <c r="I361" s="55"/>
      <c r="J361" s="55"/>
    </row>
    <row r="362" spans="1:10">
      <c r="A362" s="58"/>
      <c r="B362" s="54"/>
      <c r="C362" s="55"/>
      <c r="D362" s="54"/>
      <c r="E362" s="54"/>
      <c r="F362" s="56"/>
      <c r="G362" s="56"/>
      <c r="H362" s="55"/>
      <c r="I362" s="55"/>
      <c r="J362" s="55"/>
    </row>
    <row r="363" spans="1:10">
      <c r="A363" s="58"/>
      <c r="B363" s="54"/>
      <c r="C363" s="55"/>
      <c r="D363" s="54"/>
      <c r="E363" s="54"/>
      <c r="F363" s="56"/>
      <c r="G363" s="56"/>
      <c r="H363" s="55"/>
      <c r="I363" s="55"/>
      <c r="J363" s="55"/>
    </row>
    <row r="364" spans="1:10">
      <c r="A364" s="58"/>
      <c r="B364" s="54"/>
      <c r="C364" s="55"/>
      <c r="D364" s="54"/>
      <c r="E364" s="54"/>
      <c r="F364" s="56"/>
      <c r="G364" s="56"/>
      <c r="H364" s="55"/>
      <c r="I364" s="55"/>
      <c r="J364" s="55"/>
    </row>
    <row r="365" spans="1:10">
      <c r="A365" s="58"/>
      <c r="B365" s="54"/>
      <c r="C365" s="55"/>
      <c r="D365" s="54"/>
      <c r="E365" s="54"/>
      <c r="F365" s="56"/>
      <c r="G365" s="56"/>
      <c r="H365" s="55"/>
      <c r="I365" s="55"/>
      <c r="J365" s="55"/>
    </row>
    <row r="366" spans="1:10">
      <c r="A366" s="58"/>
      <c r="B366" s="54"/>
      <c r="C366" s="55"/>
      <c r="D366" s="54"/>
      <c r="E366" s="54"/>
      <c r="F366" s="56"/>
      <c r="G366" s="56"/>
      <c r="H366" s="55"/>
      <c r="I366" s="55"/>
      <c r="J366" s="55"/>
    </row>
    <row r="367" spans="1:10">
      <c r="A367" s="58"/>
      <c r="B367" s="54"/>
      <c r="C367" s="55"/>
      <c r="D367" s="54"/>
      <c r="E367" s="54"/>
      <c r="F367" s="56"/>
      <c r="G367" s="56"/>
      <c r="H367" s="55"/>
      <c r="I367" s="55"/>
      <c r="J367" s="55"/>
    </row>
    <row r="368" spans="1:10">
      <c r="A368" s="58"/>
      <c r="B368" s="54"/>
      <c r="C368" s="55"/>
      <c r="D368" s="54"/>
      <c r="E368" s="54"/>
      <c r="F368" s="56"/>
      <c r="G368" s="56"/>
      <c r="H368" s="55"/>
      <c r="I368" s="55"/>
      <c r="J368" s="55"/>
    </row>
    <row r="369" spans="1:10">
      <c r="A369" s="58"/>
      <c r="B369" s="54"/>
      <c r="C369" s="55"/>
      <c r="D369" s="54"/>
      <c r="E369" s="54"/>
      <c r="F369" s="56"/>
      <c r="G369" s="56"/>
      <c r="H369" s="55"/>
      <c r="I369" s="55"/>
      <c r="J369" s="55"/>
    </row>
    <row r="370" spans="1:10">
      <c r="A370" s="58"/>
      <c r="B370" s="54"/>
      <c r="C370" s="55"/>
      <c r="D370" s="54"/>
      <c r="E370" s="54"/>
      <c r="F370" s="56"/>
      <c r="G370" s="56"/>
      <c r="H370" s="55"/>
      <c r="I370" s="55"/>
      <c r="J370" s="55"/>
    </row>
    <row r="371" spans="1:10">
      <c r="A371" s="58"/>
      <c r="B371" s="54"/>
      <c r="C371" s="55"/>
      <c r="D371" s="54"/>
      <c r="E371" s="54"/>
      <c r="F371" s="56"/>
      <c r="G371" s="56"/>
      <c r="H371" s="55"/>
      <c r="I371" s="55"/>
      <c r="J371" s="55"/>
    </row>
    <row r="372" spans="1:10">
      <c r="A372" s="58"/>
      <c r="B372" s="54"/>
      <c r="C372" s="55"/>
      <c r="D372" s="54"/>
      <c r="E372" s="54"/>
      <c r="F372" s="56"/>
      <c r="G372" s="56"/>
      <c r="H372" s="55"/>
      <c r="I372" s="55"/>
      <c r="J372" s="55"/>
    </row>
    <row r="373" spans="1:10">
      <c r="A373" s="58"/>
      <c r="B373" s="54"/>
      <c r="C373" s="55"/>
      <c r="D373" s="54"/>
      <c r="E373" s="54"/>
      <c r="F373" s="56"/>
      <c r="G373" s="56"/>
      <c r="H373" s="55"/>
      <c r="I373" s="55"/>
      <c r="J373" s="55"/>
    </row>
    <row r="374" spans="1:10">
      <c r="A374" s="58"/>
      <c r="B374" s="54"/>
      <c r="C374" s="55"/>
      <c r="D374" s="54"/>
      <c r="E374" s="54"/>
      <c r="F374" s="56"/>
      <c r="G374" s="56"/>
      <c r="H374" s="55"/>
      <c r="I374" s="55"/>
      <c r="J374" s="55"/>
    </row>
    <row r="375" spans="1:10">
      <c r="A375" s="58"/>
      <c r="B375" s="54"/>
      <c r="C375" s="55"/>
      <c r="D375" s="54"/>
      <c r="E375" s="54"/>
      <c r="F375" s="56"/>
      <c r="G375" s="56"/>
      <c r="H375" s="55"/>
      <c r="I375" s="55"/>
      <c r="J375" s="55"/>
    </row>
    <row r="376" spans="1:10">
      <c r="A376" s="58"/>
      <c r="B376" s="54"/>
      <c r="C376" s="55"/>
      <c r="D376" s="54"/>
      <c r="E376" s="54"/>
      <c r="F376" s="56"/>
      <c r="G376" s="56"/>
      <c r="H376" s="55"/>
      <c r="I376" s="55"/>
      <c r="J376" s="55"/>
    </row>
    <row r="377" spans="1:10">
      <c r="A377" s="58"/>
      <c r="B377" s="54"/>
      <c r="C377" s="55"/>
      <c r="D377" s="54"/>
      <c r="E377" s="54"/>
      <c r="F377" s="56"/>
      <c r="G377" s="56"/>
      <c r="H377" s="55"/>
      <c r="I377" s="55"/>
      <c r="J377" s="55"/>
    </row>
    <row r="378" spans="1:10">
      <c r="A378" s="58"/>
      <c r="B378" s="54"/>
      <c r="C378" s="55"/>
      <c r="D378" s="54"/>
      <c r="E378" s="54"/>
      <c r="F378" s="56"/>
      <c r="G378" s="56"/>
      <c r="H378" s="55"/>
      <c r="I378" s="55"/>
      <c r="J378" s="55"/>
    </row>
    <row r="379" spans="1:10">
      <c r="A379" s="58"/>
      <c r="B379" s="54"/>
      <c r="C379" s="55"/>
      <c r="D379" s="54"/>
      <c r="E379" s="54"/>
      <c r="F379" s="56"/>
      <c r="G379" s="56"/>
      <c r="H379" s="55"/>
      <c r="I379" s="55"/>
      <c r="J379" s="55"/>
    </row>
    <row r="380" spans="1:10">
      <c r="A380" s="58"/>
      <c r="B380" s="54"/>
      <c r="C380" s="55"/>
      <c r="D380" s="54"/>
      <c r="E380" s="54"/>
      <c r="F380" s="56"/>
      <c r="G380" s="56"/>
      <c r="H380" s="55"/>
      <c r="I380" s="55"/>
      <c r="J380" s="55"/>
    </row>
    <row r="381" spans="1:10">
      <c r="A381" s="58"/>
      <c r="B381" s="54"/>
      <c r="C381" s="55"/>
      <c r="D381" s="54"/>
      <c r="E381" s="54"/>
      <c r="F381" s="56"/>
      <c r="G381" s="56"/>
      <c r="H381" s="55"/>
      <c r="I381" s="55"/>
      <c r="J381" s="55"/>
    </row>
    <row r="382" spans="1:10">
      <c r="A382" s="58"/>
      <c r="B382" s="54"/>
      <c r="C382" s="55"/>
      <c r="D382" s="54"/>
      <c r="E382" s="54"/>
      <c r="F382" s="56"/>
      <c r="G382" s="56"/>
      <c r="H382" s="55"/>
      <c r="I382" s="55"/>
      <c r="J382" s="55"/>
    </row>
    <row r="383" spans="1:10">
      <c r="A383" s="58"/>
      <c r="B383" s="54"/>
      <c r="C383" s="55"/>
      <c r="D383" s="54"/>
      <c r="E383" s="54"/>
      <c r="F383" s="56"/>
      <c r="G383" s="56"/>
      <c r="H383" s="55"/>
      <c r="I383" s="55"/>
      <c r="J383" s="55"/>
    </row>
    <row r="384" spans="1:10">
      <c r="A384" s="58"/>
      <c r="B384" s="54"/>
      <c r="C384" s="55"/>
      <c r="D384" s="54"/>
      <c r="E384" s="54"/>
      <c r="F384" s="56"/>
      <c r="G384" s="56"/>
      <c r="H384" s="55"/>
      <c r="I384" s="55"/>
      <c r="J384" s="55"/>
    </row>
    <row r="385" spans="1:10">
      <c r="A385" s="58"/>
      <c r="B385" s="54"/>
      <c r="C385" s="55"/>
      <c r="D385" s="54"/>
      <c r="E385" s="54"/>
      <c r="F385" s="56"/>
      <c r="G385" s="56"/>
      <c r="H385" s="55"/>
      <c r="I385" s="55"/>
      <c r="J385" s="55"/>
    </row>
    <row r="386" spans="1:10">
      <c r="A386" s="58"/>
      <c r="B386" s="54"/>
      <c r="C386" s="55"/>
      <c r="D386" s="54"/>
      <c r="E386" s="54"/>
      <c r="F386" s="56"/>
      <c r="G386" s="56"/>
      <c r="H386" s="55"/>
      <c r="I386" s="55"/>
      <c r="J386" s="55"/>
    </row>
    <row r="387" spans="1:10">
      <c r="A387" s="58"/>
      <c r="B387" s="54"/>
      <c r="C387" s="55"/>
      <c r="D387" s="54"/>
      <c r="E387" s="54"/>
      <c r="F387" s="56"/>
      <c r="G387" s="56"/>
      <c r="H387" s="55"/>
      <c r="I387" s="55"/>
      <c r="J387" s="55"/>
    </row>
    <row r="388" spans="1:10">
      <c r="A388" s="58"/>
      <c r="B388" s="54"/>
      <c r="C388" s="55"/>
      <c r="D388" s="54"/>
      <c r="E388" s="54"/>
      <c r="F388" s="56"/>
      <c r="G388" s="56"/>
      <c r="H388" s="55"/>
      <c r="I388" s="55"/>
      <c r="J388" s="55"/>
    </row>
    <row r="389" spans="1:10">
      <c r="A389" s="58"/>
      <c r="B389" s="54"/>
      <c r="C389" s="55"/>
      <c r="D389" s="54"/>
      <c r="E389" s="54"/>
      <c r="F389" s="56"/>
      <c r="G389" s="56"/>
      <c r="H389" s="55"/>
      <c r="I389" s="55"/>
      <c r="J389" s="55"/>
    </row>
    <row r="390" spans="1:10">
      <c r="A390" s="58"/>
      <c r="B390" s="54"/>
      <c r="C390" s="55"/>
      <c r="D390" s="54"/>
      <c r="E390" s="54"/>
      <c r="F390" s="56"/>
      <c r="G390" s="56"/>
      <c r="H390" s="55"/>
      <c r="I390" s="55"/>
      <c r="J390" s="55"/>
    </row>
    <row r="391" spans="1:10">
      <c r="A391" s="58"/>
      <c r="B391" s="54"/>
      <c r="C391" s="55"/>
      <c r="D391" s="54"/>
      <c r="E391" s="54"/>
      <c r="F391" s="56"/>
      <c r="G391" s="56"/>
      <c r="H391" s="55"/>
      <c r="I391" s="55"/>
      <c r="J391" s="55"/>
    </row>
    <row r="392" spans="1:10">
      <c r="A392" s="58"/>
      <c r="B392" s="54"/>
      <c r="C392" s="55"/>
      <c r="D392" s="54"/>
      <c r="E392" s="54"/>
      <c r="F392" s="56"/>
      <c r="G392" s="56"/>
      <c r="H392" s="55"/>
      <c r="I392" s="55"/>
      <c r="J392" s="55"/>
    </row>
    <row r="393" spans="1:10">
      <c r="A393" s="58"/>
      <c r="B393" s="54"/>
      <c r="C393" s="55"/>
      <c r="D393" s="54"/>
      <c r="E393" s="54"/>
      <c r="F393" s="56"/>
      <c r="G393" s="56"/>
      <c r="H393" s="55"/>
      <c r="I393" s="55"/>
      <c r="J393" s="55"/>
    </row>
    <row r="394" spans="1:10">
      <c r="A394" s="58"/>
      <c r="B394" s="54"/>
      <c r="C394" s="55"/>
      <c r="D394" s="54"/>
      <c r="E394" s="54"/>
      <c r="F394" s="56"/>
      <c r="G394" s="56"/>
      <c r="H394" s="55"/>
      <c r="I394" s="55"/>
      <c r="J394" s="55"/>
    </row>
    <row r="395" spans="1:10">
      <c r="A395" s="58"/>
      <c r="B395" s="54"/>
      <c r="C395" s="55"/>
      <c r="D395" s="54"/>
      <c r="E395" s="54"/>
      <c r="F395" s="56"/>
      <c r="G395" s="56"/>
      <c r="H395" s="55"/>
      <c r="I395" s="55"/>
      <c r="J395" s="55"/>
    </row>
    <row r="396" spans="1:10">
      <c r="A396" s="58"/>
      <c r="B396" s="54"/>
      <c r="C396" s="55"/>
      <c r="D396" s="54"/>
      <c r="E396" s="54"/>
      <c r="F396" s="56"/>
      <c r="G396" s="56"/>
      <c r="H396" s="55"/>
      <c r="I396" s="55"/>
      <c r="J396" s="55"/>
    </row>
    <row r="397" spans="1:10">
      <c r="A397" s="58"/>
      <c r="B397" s="54"/>
      <c r="C397" s="55"/>
      <c r="D397" s="54"/>
      <c r="E397" s="54"/>
      <c r="F397" s="56"/>
      <c r="G397" s="56"/>
      <c r="H397" s="55"/>
      <c r="I397" s="55"/>
      <c r="J397" s="55"/>
    </row>
    <row r="398" spans="1:10">
      <c r="A398" s="58"/>
      <c r="B398" s="54"/>
      <c r="C398" s="55"/>
      <c r="D398" s="54"/>
      <c r="E398" s="54"/>
      <c r="F398" s="56"/>
      <c r="G398" s="56"/>
      <c r="H398" s="55"/>
      <c r="I398" s="55"/>
      <c r="J398" s="55"/>
    </row>
    <row r="399" spans="1:10">
      <c r="A399" s="58"/>
      <c r="B399" s="54"/>
      <c r="C399" s="55"/>
      <c r="D399" s="54"/>
      <c r="E399" s="54"/>
      <c r="F399" s="56"/>
      <c r="G399" s="56"/>
      <c r="H399" s="55"/>
      <c r="I399" s="55"/>
      <c r="J399" s="55"/>
    </row>
    <row r="400" spans="1:10">
      <c r="A400" s="58"/>
      <c r="B400" s="54"/>
      <c r="C400" s="55"/>
      <c r="D400" s="54"/>
      <c r="E400" s="54"/>
      <c r="F400" s="56"/>
      <c r="G400" s="56"/>
      <c r="H400" s="55"/>
      <c r="I400" s="55"/>
      <c r="J400" s="55"/>
    </row>
    <row r="401" spans="1:10">
      <c r="A401" s="58"/>
      <c r="B401" s="54"/>
      <c r="C401" s="55"/>
      <c r="D401" s="54"/>
      <c r="E401" s="54"/>
      <c r="F401" s="56"/>
      <c r="G401" s="56"/>
      <c r="H401" s="55"/>
      <c r="I401" s="55"/>
      <c r="J401" s="55"/>
    </row>
    <row r="402" spans="1:10">
      <c r="A402" s="58"/>
      <c r="B402" s="54"/>
      <c r="C402" s="55"/>
      <c r="D402" s="54"/>
      <c r="E402" s="54"/>
      <c r="F402" s="56"/>
      <c r="G402" s="56"/>
      <c r="H402" s="55"/>
      <c r="I402" s="55"/>
      <c r="J402" s="55"/>
    </row>
    <row r="403" spans="1:10">
      <c r="A403" s="58"/>
      <c r="B403" s="54"/>
      <c r="C403" s="55"/>
      <c r="D403" s="54"/>
      <c r="E403" s="54"/>
      <c r="F403" s="56"/>
      <c r="G403" s="56"/>
      <c r="H403" s="55"/>
      <c r="I403" s="55"/>
      <c r="J403" s="55"/>
    </row>
    <row r="404" spans="1:10">
      <c r="A404" s="58"/>
      <c r="B404" s="54"/>
      <c r="C404" s="55"/>
      <c r="D404" s="54"/>
      <c r="E404" s="54"/>
      <c r="F404" s="56"/>
      <c r="G404" s="56"/>
      <c r="H404" s="55"/>
      <c r="I404" s="55"/>
      <c r="J404" s="55"/>
    </row>
    <row r="405" spans="1:10">
      <c r="A405" s="58"/>
      <c r="B405" s="54"/>
      <c r="C405" s="55"/>
      <c r="D405" s="54"/>
      <c r="E405" s="54"/>
      <c r="F405" s="56"/>
      <c r="G405" s="56"/>
      <c r="H405" s="55"/>
      <c r="I405" s="55"/>
      <c r="J405" s="55"/>
    </row>
    <row r="406" spans="1:10">
      <c r="A406" s="58"/>
      <c r="B406" s="54"/>
      <c r="C406" s="55"/>
      <c r="D406" s="54"/>
      <c r="E406" s="54"/>
      <c r="F406" s="56"/>
      <c r="G406" s="56"/>
      <c r="H406" s="55"/>
      <c r="I406" s="55"/>
      <c r="J406" s="55"/>
    </row>
    <row r="407" spans="1:10">
      <c r="A407" s="58"/>
      <c r="B407" s="54"/>
      <c r="C407" s="55"/>
      <c r="D407" s="54"/>
      <c r="E407" s="54"/>
      <c r="F407" s="56"/>
      <c r="G407" s="56"/>
      <c r="H407" s="55"/>
      <c r="I407" s="55"/>
      <c r="J407" s="55"/>
    </row>
    <row r="408" spans="1:10">
      <c r="A408" s="58"/>
      <c r="B408" s="54"/>
      <c r="C408" s="55"/>
      <c r="D408" s="54"/>
      <c r="E408" s="54"/>
      <c r="F408" s="56"/>
      <c r="G408" s="56"/>
      <c r="H408" s="55"/>
      <c r="I408" s="55"/>
      <c r="J408" s="55"/>
    </row>
    <row r="409" spans="1:10">
      <c r="A409" s="58"/>
      <c r="B409" s="54"/>
      <c r="C409" s="55"/>
      <c r="D409" s="54"/>
      <c r="E409" s="54"/>
      <c r="F409" s="56"/>
      <c r="G409" s="56"/>
      <c r="H409" s="55"/>
      <c r="I409" s="55"/>
      <c r="J409" s="55"/>
    </row>
    <row r="410" spans="1:10">
      <c r="A410" s="58"/>
      <c r="B410" s="54"/>
      <c r="C410" s="55"/>
      <c r="D410" s="54"/>
      <c r="E410" s="54"/>
      <c r="F410" s="56"/>
      <c r="G410" s="56"/>
      <c r="H410" s="55"/>
      <c r="I410" s="55"/>
      <c r="J410" s="55"/>
    </row>
    <row r="411" spans="1:10">
      <c r="A411" s="58"/>
      <c r="B411" s="54"/>
      <c r="C411" s="55"/>
      <c r="D411" s="54"/>
      <c r="E411" s="54"/>
      <c r="F411" s="56"/>
      <c r="G411" s="56"/>
      <c r="H411" s="55"/>
      <c r="I411" s="55"/>
      <c r="J411" s="55"/>
    </row>
    <row r="412" spans="1:10">
      <c r="A412" s="58"/>
      <c r="B412" s="54"/>
      <c r="C412" s="55"/>
      <c r="D412" s="54"/>
      <c r="E412" s="54"/>
      <c r="F412" s="56"/>
      <c r="G412" s="56"/>
      <c r="H412" s="55"/>
      <c r="I412" s="55"/>
      <c r="J412" s="55"/>
    </row>
    <row r="413" spans="1:10">
      <c r="A413" s="58"/>
      <c r="B413" s="54"/>
      <c r="C413" s="55"/>
      <c r="D413" s="54"/>
      <c r="E413" s="54"/>
      <c r="F413" s="56"/>
      <c r="G413" s="56"/>
      <c r="H413" s="55"/>
      <c r="I413" s="55"/>
      <c r="J413" s="55"/>
    </row>
    <row r="414" spans="1:10">
      <c r="A414" s="58"/>
      <c r="B414" s="54"/>
      <c r="C414" s="55"/>
      <c r="D414" s="54"/>
      <c r="E414" s="54"/>
      <c r="F414" s="56"/>
      <c r="G414" s="56"/>
      <c r="H414" s="55"/>
      <c r="I414" s="55"/>
      <c r="J414" s="55"/>
    </row>
    <row r="415" spans="1:10">
      <c r="A415" s="58"/>
      <c r="B415" s="54"/>
      <c r="C415" s="55"/>
      <c r="D415" s="54"/>
      <c r="E415" s="54"/>
      <c r="F415" s="56"/>
      <c r="G415" s="56"/>
      <c r="H415" s="55"/>
      <c r="I415" s="55"/>
      <c r="J415" s="55"/>
    </row>
    <row r="416" spans="1:10">
      <c r="A416" s="58"/>
      <c r="B416" s="54"/>
      <c r="C416" s="55"/>
      <c r="D416" s="54"/>
      <c r="E416" s="54"/>
      <c r="F416" s="56"/>
      <c r="G416" s="56"/>
      <c r="H416" s="55"/>
      <c r="I416" s="55"/>
      <c r="J416" s="55"/>
    </row>
    <row r="417" spans="1:10">
      <c r="A417" s="58"/>
      <c r="B417" s="54"/>
      <c r="C417" s="55"/>
      <c r="D417" s="54"/>
      <c r="E417" s="54"/>
      <c r="F417" s="56"/>
      <c r="G417" s="56"/>
      <c r="H417" s="55"/>
      <c r="I417" s="55"/>
      <c r="J417" s="55"/>
    </row>
    <row r="418" spans="1:10">
      <c r="A418" s="58"/>
      <c r="B418" s="54"/>
      <c r="C418" s="55"/>
      <c r="D418" s="54"/>
      <c r="E418" s="54"/>
      <c r="F418" s="56"/>
      <c r="G418" s="56"/>
      <c r="H418" s="55"/>
      <c r="I418" s="55"/>
      <c r="J418" s="55"/>
    </row>
    <row r="419" spans="1:10">
      <c r="A419" s="58"/>
      <c r="B419" s="54"/>
      <c r="C419" s="55"/>
      <c r="D419" s="54"/>
      <c r="E419" s="54"/>
      <c r="F419" s="56"/>
      <c r="G419" s="56"/>
      <c r="H419" s="55"/>
      <c r="I419" s="55"/>
      <c r="J419" s="55"/>
    </row>
    <row r="420" spans="1:10">
      <c r="A420" s="58"/>
      <c r="B420" s="54"/>
      <c r="C420" s="55"/>
      <c r="D420" s="54"/>
      <c r="E420" s="54"/>
      <c r="F420" s="56"/>
      <c r="G420" s="56"/>
      <c r="H420" s="55"/>
      <c r="I420" s="55"/>
      <c r="J420" s="55"/>
    </row>
    <row r="421" spans="1:10">
      <c r="A421" s="58"/>
      <c r="B421" s="54"/>
      <c r="C421" s="55"/>
      <c r="D421" s="54"/>
      <c r="E421" s="54"/>
      <c r="F421" s="56"/>
      <c r="G421" s="56"/>
      <c r="H421" s="55"/>
      <c r="I421" s="55"/>
      <c r="J421" s="55"/>
    </row>
    <row r="422" spans="1:10">
      <c r="A422" s="58"/>
      <c r="B422" s="54"/>
      <c r="C422" s="55"/>
      <c r="D422" s="54"/>
      <c r="E422" s="54"/>
      <c r="F422" s="56"/>
      <c r="G422" s="56"/>
      <c r="H422" s="55"/>
      <c r="I422" s="55"/>
      <c r="J422" s="55"/>
    </row>
    <row r="423" spans="1:10">
      <c r="A423" s="58"/>
      <c r="B423" s="54"/>
      <c r="C423" s="55"/>
      <c r="D423" s="54"/>
      <c r="E423" s="54"/>
      <c r="F423" s="56"/>
      <c r="G423" s="56"/>
      <c r="H423" s="55"/>
      <c r="I423" s="55"/>
      <c r="J423" s="55"/>
    </row>
    <row r="424" spans="1:10">
      <c r="A424" s="58"/>
      <c r="B424" s="54"/>
      <c r="C424" s="55"/>
      <c r="D424" s="54"/>
      <c r="E424" s="54"/>
      <c r="F424" s="56"/>
      <c r="G424" s="56"/>
      <c r="H424" s="55"/>
      <c r="I424" s="55"/>
      <c r="J424" s="55"/>
    </row>
    <row r="425" spans="1:10">
      <c r="A425" s="58"/>
      <c r="B425" s="54"/>
      <c r="C425" s="55"/>
      <c r="D425" s="54"/>
      <c r="E425" s="54"/>
      <c r="F425" s="56"/>
      <c r="G425" s="56"/>
      <c r="H425" s="55"/>
      <c r="I425" s="55"/>
      <c r="J425" s="55"/>
    </row>
    <row r="426" spans="1:10">
      <c r="A426" s="58"/>
      <c r="B426" s="54"/>
      <c r="C426" s="55"/>
      <c r="D426" s="54"/>
      <c r="E426" s="54"/>
      <c r="F426" s="56"/>
      <c r="G426" s="56"/>
      <c r="H426" s="55"/>
      <c r="I426" s="55"/>
      <c r="J426" s="55"/>
    </row>
    <row r="427" spans="1:10">
      <c r="A427" s="58"/>
      <c r="B427" s="54"/>
      <c r="C427" s="55"/>
      <c r="D427" s="54"/>
      <c r="E427" s="54"/>
      <c r="F427" s="56"/>
      <c r="G427" s="56"/>
      <c r="H427" s="55"/>
      <c r="I427" s="55"/>
      <c r="J427" s="55"/>
    </row>
    <row r="428" spans="1:10">
      <c r="A428" s="58"/>
      <c r="B428" s="54"/>
      <c r="C428" s="55"/>
      <c r="D428" s="54"/>
      <c r="E428" s="54"/>
      <c r="F428" s="56"/>
      <c r="G428" s="56"/>
      <c r="H428" s="55"/>
      <c r="I428" s="55"/>
      <c r="J428" s="55"/>
    </row>
    <row r="429" spans="1:10">
      <c r="A429" s="58"/>
      <c r="B429" s="54"/>
      <c r="C429" s="55"/>
      <c r="D429" s="54"/>
      <c r="E429" s="54"/>
      <c r="F429" s="56"/>
      <c r="G429" s="56"/>
      <c r="H429" s="55"/>
      <c r="I429" s="55"/>
      <c r="J429" s="55"/>
    </row>
    <row r="430" spans="1:10">
      <c r="A430" s="58"/>
      <c r="B430" s="54"/>
      <c r="C430" s="55"/>
      <c r="D430" s="54"/>
      <c r="E430" s="54"/>
      <c r="F430" s="56"/>
      <c r="G430" s="56"/>
      <c r="H430" s="55"/>
      <c r="I430" s="55"/>
      <c r="J430" s="55"/>
    </row>
    <row r="431" spans="1:10">
      <c r="A431" s="58"/>
      <c r="B431" s="54"/>
      <c r="C431" s="55"/>
      <c r="D431" s="54"/>
      <c r="E431" s="54"/>
      <c r="F431" s="56"/>
      <c r="G431" s="56"/>
      <c r="H431" s="55"/>
      <c r="I431" s="55"/>
      <c r="J431" s="55"/>
    </row>
    <row r="432" spans="1:10">
      <c r="A432" s="58"/>
      <c r="B432" s="54"/>
      <c r="C432" s="55"/>
      <c r="D432" s="54"/>
      <c r="E432" s="54"/>
      <c r="F432" s="56"/>
      <c r="G432" s="56"/>
      <c r="H432" s="55"/>
      <c r="I432" s="55"/>
      <c r="J432" s="55"/>
    </row>
    <row r="433" spans="1:10">
      <c r="A433" s="58"/>
      <c r="B433" s="54"/>
      <c r="C433" s="55"/>
      <c r="D433" s="54"/>
      <c r="E433" s="54"/>
      <c r="F433" s="56"/>
      <c r="G433" s="56"/>
      <c r="H433" s="55"/>
      <c r="I433" s="55"/>
      <c r="J433" s="55"/>
    </row>
    <row r="434" spans="1:10">
      <c r="A434" s="58"/>
      <c r="B434" s="54"/>
      <c r="C434" s="55"/>
      <c r="D434" s="54"/>
      <c r="E434" s="54"/>
      <c r="F434" s="56"/>
      <c r="G434" s="56"/>
      <c r="H434" s="55"/>
      <c r="I434" s="55"/>
      <c r="J434" s="55"/>
    </row>
    <row r="435" spans="1:10">
      <c r="A435" s="58"/>
      <c r="B435" s="54"/>
      <c r="C435" s="55"/>
      <c r="D435" s="54"/>
      <c r="E435" s="54"/>
      <c r="F435" s="56"/>
      <c r="G435" s="56"/>
      <c r="H435" s="55"/>
      <c r="I435" s="55"/>
      <c r="J435" s="55"/>
    </row>
    <row r="436" spans="1:10">
      <c r="A436" s="58"/>
      <c r="B436" s="54"/>
      <c r="C436" s="55"/>
      <c r="D436" s="54"/>
      <c r="E436" s="54"/>
      <c r="F436" s="56"/>
      <c r="G436" s="56"/>
      <c r="H436" s="55"/>
      <c r="I436" s="55"/>
      <c r="J436" s="55"/>
    </row>
    <row r="437" spans="1:10">
      <c r="A437" s="58"/>
      <c r="B437" s="54"/>
      <c r="C437" s="55"/>
      <c r="D437" s="54"/>
      <c r="E437" s="54"/>
      <c r="F437" s="56"/>
      <c r="G437" s="56"/>
      <c r="H437" s="55"/>
      <c r="I437" s="55"/>
      <c r="J437" s="55"/>
    </row>
    <row r="438" spans="1:10">
      <c r="A438" s="58"/>
      <c r="B438" s="54"/>
      <c r="C438" s="55"/>
      <c r="D438" s="54"/>
      <c r="E438" s="54"/>
      <c r="F438" s="56"/>
      <c r="G438" s="56"/>
      <c r="H438" s="55"/>
      <c r="I438" s="55"/>
      <c r="J438" s="55"/>
    </row>
    <row r="439" spans="1:10">
      <c r="A439" s="58"/>
      <c r="B439" s="54"/>
      <c r="C439" s="55"/>
      <c r="D439" s="54"/>
      <c r="E439" s="54"/>
      <c r="F439" s="56"/>
      <c r="G439" s="56"/>
      <c r="H439" s="55"/>
      <c r="I439" s="55"/>
      <c r="J439" s="55"/>
    </row>
    <row r="440" spans="1:10">
      <c r="A440" s="58"/>
      <c r="B440" s="54"/>
      <c r="C440" s="55"/>
      <c r="D440" s="54"/>
      <c r="E440" s="54"/>
      <c r="F440" s="56"/>
      <c r="G440" s="56"/>
      <c r="H440" s="55"/>
      <c r="I440" s="55"/>
      <c r="J440" s="55"/>
    </row>
    <row r="441" spans="1:10">
      <c r="A441" s="58"/>
      <c r="B441" s="54"/>
      <c r="C441" s="55"/>
      <c r="D441" s="54"/>
      <c r="E441" s="54"/>
      <c r="F441" s="56"/>
      <c r="G441" s="56"/>
      <c r="H441" s="55"/>
      <c r="I441" s="55"/>
      <c r="J441" s="55"/>
    </row>
    <row r="442" spans="1:10">
      <c r="A442" s="58"/>
      <c r="B442" s="54"/>
      <c r="C442" s="55"/>
      <c r="D442" s="54"/>
      <c r="E442" s="54"/>
      <c r="F442" s="56"/>
      <c r="G442" s="56"/>
      <c r="H442" s="55"/>
      <c r="I442" s="55"/>
      <c r="J442" s="55"/>
    </row>
    <row r="443" spans="1:10">
      <c r="A443" s="58"/>
      <c r="B443" s="54"/>
      <c r="C443" s="55"/>
      <c r="D443" s="54"/>
      <c r="E443" s="54"/>
      <c r="F443" s="56"/>
      <c r="G443" s="56"/>
      <c r="H443" s="55"/>
      <c r="I443" s="55"/>
      <c r="J443" s="55"/>
    </row>
    <row r="444" spans="1:10">
      <c r="A444" s="58"/>
      <c r="B444" s="54"/>
      <c r="C444" s="55"/>
      <c r="D444" s="54"/>
      <c r="E444" s="54"/>
      <c r="F444" s="56"/>
      <c r="G444" s="56"/>
      <c r="H444" s="55"/>
      <c r="I444" s="55"/>
      <c r="J444" s="55"/>
    </row>
    <row r="445" spans="1:10">
      <c r="A445" s="58"/>
      <c r="B445" s="54"/>
      <c r="C445" s="55"/>
      <c r="D445" s="54"/>
      <c r="E445" s="54"/>
      <c r="F445" s="56"/>
      <c r="G445" s="56"/>
      <c r="H445" s="55"/>
      <c r="I445" s="55"/>
      <c r="J445" s="55"/>
    </row>
    <row r="446" spans="1:10">
      <c r="A446" s="58"/>
      <c r="B446" s="54"/>
      <c r="C446" s="55"/>
      <c r="D446" s="54"/>
      <c r="E446" s="54"/>
      <c r="F446" s="56"/>
      <c r="G446" s="56"/>
      <c r="H446" s="55"/>
      <c r="I446" s="55"/>
      <c r="J446" s="55"/>
    </row>
    <row r="447" spans="1:10">
      <c r="A447" s="58"/>
      <c r="B447" s="54"/>
      <c r="C447" s="55"/>
      <c r="D447" s="54"/>
      <c r="E447" s="54"/>
      <c r="F447" s="56"/>
      <c r="G447" s="56"/>
      <c r="H447" s="55"/>
      <c r="I447" s="55"/>
      <c r="J447" s="55"/>
    </row>
    <row r="448" spans="1:10">
      <c r="A448" s="58"/>
      <c r="B448" s="54"/>
      <c r="C448" s="55"/>
      <c r="D448" s="54"/>
      <c r="E448" s="54"/>
      <c r="F448" s="56"/>
      <c r="G448" s="56"/>
      <c r="H448" s="55"/>
      <c r="I448" s="55"/>
      <c r="J448" s="55"/>
    </row>
    <row r="449" spans="1:10">
      <c r="A449" s="58"/>
      <c r="B449" s="54"/>
      <c r="C449" s="55"/>
      <c r="D449" s="54"/>
      <c r="E449" s="54"/>
      <c r="F449" s="56"/>
      <c r="G449" s="56"/>
      <c r="H449" s="55"/>
      <c r="I449" s="55"/>
      <c r="J449" s="55"/>
    </row>
    <row r="450" spans="1:10">
      <c r="A450" s="58"/>
      <c r="B450" s="54"/>
      <c r="C450" s="55"/>
      <c r="D450" s="54"/>
      <c r="E450" s="54"/>
      <c r="F450" s="56"/>
      <c r="G450" s="56"/>
      <c r="H450" s="55"/>
      <c r="I450" s="55"/>
      <c r="J450" s="55"/>
    </row>
    <row r="451" spans="1:10">
      <c r="A451" s="58"/>
      <c r="B451" s="54"/>
      <c r="C451" s="55"/>
      <c r="D451" s="54"/>
      <c r="E451" s="54"/>
      <c r="F451" s="56"/>
      <c r="G451" s="56"/>
      <c r="H451" s="55"/>
      <c r="I451" s="55"/>
      <c r="J451" s="55"/>
    </row>
    <row r="452" spans="1:10">
      <c r="A452" s="58"/>
      <c r="B452" s="54"/>
      <c r="C452" s="55"/>
      <c r="D452" s="54"/>
      <c r="E452" s="54"/>
      <c r="F452" s="56"/>
      <c r="G452" s="56"/>
      <c r="H452" s="55"/>
      <c r="I452" s="55"/>
      <c r="J452" s="55"/>
    </row>
    <row r="453" spans="1:10">
      <c r="A453" s="58"/>
      <c r="B453" s="54"/>
      <c r="C453" s="55"/>
      <c r="D453" s="54"/>
      <c r="E453" s="54"/>
      <c r="F453" s="56"/>
      <c r="G453" s="56"/>
      <c r="H453" s="55"/>
      <c r="I453" s="55"/>
      <c r="J453" s="55"/>
    </row>
    <row r="454" spans="1:10">
      <c r="A454" s="58"/>
      <c r="B454" s="54"/>
      <c r="C454" s="55"/>
      <c r="D454" s="54"/>
      <c r="E454" s="54"/>
      <c r="F454" s="56"/>
      <c r="G454" s="56"/>
      <c r="H454" s="55"/>
      <c r="I454" s="55"/>
      <c r="J454" s="55"/>
    </row>
    <row r="455" spans="1:10">
      <c r="A455" s="58"/>
      <c r="B455" s="54"/>
      <c r="C455" s="55"/>
      <c r="D455" s="54"/>
      <c r="E455" s="54"/>
      <c r="F455" s="56"/>
      <c r="G455" s="56"/>
      <c r="H455" s="55"/>
      <c r="I455" s="55"/>
      <c r="J455" s="55"/>
    </row>
    <row r="456" spans="1:10">
      <c r="A456" s="58"/>
      <c r="B456" s="54"/>
      <c r="C456" s="55"/>
      <c r="D456" s="54"/>
      <c r="E456" s="54"/>
      <c r="F456" s="56"/>
      <c r="G456" s="56"/>
      <c r="H456" s="55"/>
      <c r="I456" s="55"/>
      <c r="J456" s="55"/>
    </row>
    <row r="457" spans="1:10">
      <c r="A457" s="58"/>
      <c r="B457" s="54"/>
      <c r="C457" s="55"/>
      <c r="D457" s="54"/>
      <c r="E457" s="54"/>
      <c r="F457" s="56"/>
      <c r="G457" s="56"/>
      <c r="H457" s="55"/>
      <c r="I457" s="55"/>
      <c r="J457" s="55"/>
    </row>
    <row r="458" spans="1:10">
      <c r="A458" s="58"/>
      <c r="B458" s="54"/>
      <c r="C458" s="55"/>
      <c r="D458" s="54"/>
      <c r="E458" s="54"/>
      <c r="F458" s="56"/>
      <c r="G458" s="56"/>
      <c r="H458" s="55"/>
      <c r="I458" s="55"/>
      <c r="J458" s="55"/>
    </row>
    <row r="459" spans="1:10">
      <c r="A459" s="58"/>
      <c r="B459" s="54"/>
      <c r="C459" s="55"/>
      <c r="D459" s="54"/>
      <c r="E459" s="54"/>
      <c r="F459" s="56"/>
      <c r="G459" s="56"/>
      <c r="H459" s="55"/>
      <c r="I459" s="55"/>
      <c r="J459" s="55"/>
    </row>
    <row r="460" spans="1:10">
      <c r="A460" s="58"/>
      <c r="B460" s="54"/>
      <c r="C460" s="55"/>
      <c r="D460" s="54"/>
      <c r="E460" s="54"/>
      <c r="F460" s="56"/>
      <c r="G460" s="56"/>
      <c r="H460" s="55"/>
      <c r="I460" s="55"/>
      <c r="J460" s="55"/>
    </row>
    <row r="461" spans="1:10">
      <c r="A461" s="58"/>
      <c r="B461" s="54"/>
      <c r="C461" s="55"/>
      <c r="D461" s="54"/>
      <c r="E461" s="54"/>
      <c r="F461" s="56"/>
      <c r="G461" s="56"/>
      <c r="H461" s="55"/>
      <c r="I461" s="55"/>
      <c r="J461" s="55"/>
    </row>
    <row r="462" spans="1:10">
      <c r="A462" s="58"/>
      <c r="B462" s="54"/>
      <c r="C462" s="55"/>
      <c r="D462" s="54"/>
      <c r="E462" s="54"/>
      <c r="F462" s="56"/>
      <c r="G462" s="56"/>
      <c r="H462" s="55"/>
      <c r="I462" s="55"/>
      <c r="J462" s="55"/>
    </row>
    <row r="463" spans="1:10">
      <c r="A463" s="58"/>
      <c r="B463" s="54"/>
      <c r="C463" s="55"/>
      <c r="D463" s="54"/>
      <c r="E463" s="54"/>
      <c r="F463" s="56"/>
      <c r="G463" s="56"/>
      <c r="H463" s="55"/>
      <c r="I463" s="55"/>
      <c r="J463" s="55"/>
    </row>
    <row r="464" spans="1:10">
      <c r="A464" s="58"/>
      <c r="B464" s="54"/>
      <c r="C464" s="55"/>
      <c r="D464" s="54"/>
      <c r="E464" s="54"/>
      <c r="F464" s="56"/>
      <c r="G464" s="56"/>
      <c r="H464" s="55"/>
      <c r="I464" s="55"/>
      <c r="J464" s="55"/>
    </row>
    <row r="465" spans="1:10">
      <c r="A465" s="58"/>
      <c r="B465" s="54"/>
      <c r="C465" s="55"/>
      <c r="D465" s="54"/>
      <c r="E465" s="54"/>
      <c r="F465" s="56"/>
      <c r="G465" s="56"/>
      <c r="H465" s="55"/>
      <c r="I465" s="55"/>
      <c r="J465" s="55"/>
    </row>
    <row r="466" spans="1:10">
      <c r="A466" s="58"/>
      <c r="B466" s="54"/>
      <c r="C466" s="55"/>
      <c r="D466" s="54"/>
      <c r="E466" s="54"/>
      <c r="F466" s="56"/>
      <c r="G466" s="56"/>
      <c r="H466" s="55"/>
      <c r="I466" s="55"/>
      <c r="J466" s="55"/>
    </row>
    <row r="467" spans="1:10">
      <c r="A467" s="58"/>
      <c r="B467" s="54"/>
      <c r="C467" s="55"/>
      <c r="D467" s="54"/>
      <c r="E467" s="54"/>
      <c r="F467" s="56"/>
      <c r="G467" s="56"/>
      <c r="H467" s="55"/>
      <c r="I467" s="55"/>
      <c r="J467" s="55"/>
    </row>
    <row r="468" spans="1:10">
      <c r="A468" s="58"/>
      <c r="B468" s="54"/>
      <c r="C468" s="55"/>
      <c r="D468" s="54"/>
      <c r="E468" s="54"/>
      <c r="F468" s="56"/>
      <c r="G468" s="56"/>
      <c r="H468" s="55"/>
      <c r="I468" s="55"/>
      <c r="J468" s="55"/>
    </row>
    <row r="469" spans="1:10">
      <c r="A469" s="58"/>
      <c r="B469" s="54"/>
      <c r="C469" s="55"/>
      <c r="D469" s="54"/>
      <c r="E469" s="54"/>
      <c r="F469" s="56"/>
      <c r="G469" s="56"/>
      <c r="H469" s="55"/>
      <c r="I469" s="55"/>
      <c r="J469" s="55"/>
    </row>
    <row r="470" spans="1:10">
      <c r="A470" s="58"/>
      <c r="B470" s="54"/>
      <c r="C470" s="55"/>
      <c r="D470" s="54"/>
      <c r="E470" s="54"/>
      <c r="F470" s="56"/>
      <c r="G470" s="56"/>
      <c r="H470" s="55"/>
      <c r="I470" s="55"/>
      <c r="J470" s="55"/>
    </row>
    <row r="471" spans="1:10">
      <c r="A471" s="58"/>
      <c r="B471" s="54"/>
      <c r="C471" s="55"/>
      <c r="D471" s="54"/>
      <c r="E471" s="54"/>
      <c r="F471" s="56"/>
      <c r="G471" s="56"/>
      <c r="H471" s="55"/>
      <c r="I471" s="55"/>
      <c r="J471" s="55"/>
    </row>
    <row r="472" spans="1:10">
      <c r="A472" s="58"/>
      <c r="B472" s="54"/>
      <c r="C472" s="55"/>
      <c r="D472" s="54"/>
      <c r="E472" s="54"/>
      <c r="F472" s="56"/>
      <c r="G472" s="56"/>
      <c r="H472" s="55"/>
      <c r="I472" s="55"/>
      <c r="J472" s="55"/>
    </row>
    <row r="473" spans="1:10">
      <c r="A473" s="58"/>
      <c r="B473" s="54"/>
      <c r="C473" s="55"/>
      <c r="D473" s="54"/>
      <c r="E473" s="54"/>
      <c r="F473" s="56"/>
      <c r="G473" s="56"/>
      <c r="H473" s="55"/>
      <c r="I473" s="55"/>
      <c r="J473" s="55"/>
    </row>
    <row r="474" spans="1:10">
      <c r="A474" s="58"/>
      <c r="B474" s="54"/>
      <c r="C474" s="55"/>
      <c r="D474" s="54"/>
      <c r="E474" s="54"/>
      <c r="F474" s="56"/>
      <c r="G474" s="56"/>
      <c r="H474" s="55"/>
      <c r="I474" s="55"/>
      <c r="J474" s="55"/>
    </row>
    <row r="475" spans="1:10">
      <c r="A475" s="58"/>
      <c r="B475" s="54"/>
      <c r="C475" s="55"/>
      <c r="D475" s="54"/>
      <c r="E475" s="54"/>
      <c r="F475" s="56"/>
      <c r="G475" s="56"/>
      <c r="H475" s="55"/>
      <c r="I475" s="55"/>
      <c r="J475" s="55"/>
    </row>
    <row r="476" spans="1:10">
      <c r="A476" s="58"/>
      <c r="B476" s="54"/>
      <c r="C476" s="55"/>
      <c r="D476" s="54"/>
      <c r="E476" s="54"/>
      <c r="F476" s="56"/>
      <c r="G476" s="56"/>
      <c r="H476" s="55"/>
      <c r="I476" s="55"/>
      <c r="J476" s="55"/>
    </row>
    <row r="477" spans="1:10">
      <c r="A477" s="58"/>
      <c r="B477" s="54"/>
      <c r="C477" s="55"/>
      <c r="D477" s="54"/>
      <c r="E477" s="54"/>
      <c r="F477" s="56"/>
      <c r="G477" s="56"/>
      <c r="H477" s="55"/>
      <c r="I477" s="55"/>
      <c r="J477" s="55"/>
    </row>
    <row r="478" spans="1:10">
      <c r="A478" s="58"/>
      <c r="B478" s="54"/>
      <c r="C478" s="55"/>
      <c r="D478" s="54"/>
      <c r="E478" s="54"/>
      <c r="F478" s="56"/>
      <c r="G478" s="56"/>
      <c r="H478" s="55"/>
      <c r="I478" s="55"/>
      <c r="J478" s="55"/>
    </row>
    <row r="479" spans="1:10">
      <c r="A479" s="58"/>
      <c r="B479" s="54"/>
      <c r="C479" s="55"/>
      <c r="D479" s="54"/>
      <c r="E479" s="54"/>
      <c r="F479" s="56"/>
      <c r="G479" s="56"/>
      <c r="H479" s="55"/>
      <c r="I479" s="55"/>
      <c r="J479" s="55"/>
    </row>
    <row r="480" spans="1:10">
      <c r="A480" s="58"/>
      <c r="B480" s="54"/>
      <c r="C480" s="55"/>
      <c r="D480" s="54"/>
      <c r="E480" s="54"/>
      <c r="F480" s="56"/>
      <c r="G480" s="56"/>
      <c r="H480" s="55"/>
      <c r="I480" s="55"/>
      <c r="J480" s="55"/>
    </row>
    <row r="481" spans="1:10">
      <c r="A481" s="58"/>
      <c r="B481" s="54"/>
      <c r="C481" s="55"/>
      <c r="D481" s="54"/>
      <c r="E481" s="54"/>
      <c r="F481" s="56"/>
      <c r="G481" s="56"/>
      <c r="H481" s="55"/>
      <c r="I481" s="55"/>
      <c r="J481" s="55"/>
    </row>
    <row r="482" spans="1:10">
      <c r="A482" s="58"/>
      <c r="B482" s="54"/>
      <c r="C482" s="55"/>
      <c r="D482" s="54"/>
      <c r="E482" s="54"/>
      <c r="F482" s="56"/>
      <c r="G482" s="56"/>
      <c r="H482" s="55"/>
      <c r="I482" s="55"/>
      <c r="J482" s="55"/>
    </row>
    <row r="483" spans="1:10">
      <c r="A483" s="58"/>
      <c r="B483" s="54"/>
      <c r="C483" s="55"/>
      <c r="D483" s="54"/>
      <c r="E483" s="54"/>
      <c r="F483" s="56"/>
      <c r="G483" s="56"/>
      <c r="H483" s="55"/>
      <c r="I483" s="55"/>
      <c r="J483" s="55"/>
    </row>
    <row r="484" spans="1:10">
      <c r="A484" s="58"/>
      <c r="B484" s="54"/>
      <c r="C484" s="55"/>
      <c r="D484" s="54"/>
      <c r="E484" s="54"/>
      <c r="F484" s="56"/>
      <c r="G484" s="56"/>
      <c r="H484" s="55"/>
      <c r="I484" s="55"/>
      <c r="J484" s="55"/>
    </row>
    <row r="485" spans="1:10">
      <c r="A485" s="58"/>
      <c r="B485" s="54"/>
      <c r="C485" s="55"/>
      <c r="D485" s="54"/>
      <c r="E485" s="54"/>
      <c r="F485" s="56"/>
      <c r="G485" s="56"/>
      <c r="H485" s="55"/>
      <c r="I485" s="55"/>
      <c r="J485" s="55"/>
    </row>
    <row r="486" spans="1:10">
      <c r="A486" s="58"/>
      <c r="B486" s="54"/>
      <c r="C486" s="55"/>
      <c r="D486" s="54"/>
      <c r="E486" s="54"/>
      <c r="F486" s="56"/>
      <c r="G486" s="56"/>
      <c r="H486" s="55"/>
      <c r="I486" s="55"/>
      <c r="J486" s="55"/>
    </row>
    <row r="487" spans="1:10">
      <c r="A487" s="58"/>
      <c r="B487" s="54"/>
      <c r="C487" s="55"/>
      <c r="D487" s="54"/>
      <c r="E487" s="54"/>
      <c r="F487" s="56"/>
      <c r="G487" s="56"/>
      <c r="H487" s="55"/>
      <c r="I487" s="55"/>
      <c r="J487" s="55"/>
    </row>
    <row r="488" spans="1:10">
      <c r="A488" s="58"/>
      <c r="B488" s="54"/>
      <c r="C488" s="55"/>
      <c r="D488" s="54"/>
      <c r="E488" s="54"/>
      <c r="F488" s="56"/>
      <c r="G488" s="56"/>
      <c r="H488" s="55"/>
      <c r="I488" s="55"/>
      <c r="J488" s="55"/>
    </row>
    <row r="489" spans="1:10">
      <c r="A489" s="58"/>
      <c r="B489" s="54"/>
      <c r="C489" s="55"/>
      <c r="D489" s="54"/>
      <c r="E489" s="54"/>
      <c r="F489" s="56"/>
      <c r="G489" s="56"/>
      <c r="H489" s="55"/>
      <c r="I489" s="55"/>
      <c r="J489" s="55"/>
    </row>
    <row r="490" spans="1:10">
      <c r="A490" s="58"/>
      <c r="B490" s="54"/>
      <c r="C490" s="55"/>
      <c r="D490" s="54"/>
      <c r="E490" s="54"/>
      <c r="F490" s="56"/>
      <c r="G490" s="56"/>
      <c r="H490" s="55"/>
      <c r="I490" s="55"/>
      <c r="J490" s="55"/>
    </row>
    <row r="491" spans="1:10">
      <c r="A491" s="58"/>
      <c r="B491" s="54"/>
      <c r="C491" s="55"/>
      <c r="D491" s="54"/>
      <c r="E491" s="54"/>
      <c r="F491" s="56"/>
      <c r="G491" s="56"/>
      <c r="H491" s="55"/>
      <c r="I491" s="55"/>
      <c r="J491" s="55"/>
    </row>
    <row r="492" spans="1:10">
      <c r="A492" s="58"/>
      <c r="B492" s="54"/>
      <c r="C492" s="55"/>
      <c r="D492" s="54"/>
      <c r="E492" s="54"/>
      <c r="F492" s="56"/>
      <c r="G492" s="56"/>
      <c r="H492" s="55"/>
      <c r="I492" s="55"/>
      <c r="J492" s="55"/>
    </row>
    <row r="493" spans="1:10">
      <c r="A493" s="58"/>
      <c r="B493" s="54"/>
      <c r="C493" s="55"/>
      <c r="D493" s="54"/>
      <c r="E493" s="54"/>
      <c r="F493" s="56"/>
      <c r="G493" s="56"/>
      <c r="H493" s="55"/>
      <c r="I493" s="55"/>
      <c r="J493" s="55"/>
    </row>
    <row r="494" spans="1:10">
      <c r="A494" s="58"/>
      <c r="B494" s="54"/>
      <c r="C494" s="55"/>
      <c r="D494" s="54"/>
      <c r="E494" s="54"/>
      <c r="F494" s="56"/>
      <c r="G494" s="56"/>
      <c r="H494" s="55"/>
      <c r="I494" s="55"/>
      <c r="J494" s="55"/>
    </row>
    <row r="495" spans="1:10">
      <c r="A495" s="58"/>
      <c r="B495" s="54"/>
      <c r="C495" s="55"/>
      <c r="D495" s="54"/>
      <c r="E495" s="54"/>
      <c r="F495" s="56"/>
      <c r="G495" s="56"/>
      <c r="H495" s="55"/>
      <c r="I495" s="55"/>
      <c r="J495" s="55"/>
    </row>
    <row r="496" spans="1:10">
      <c r="A496" s="58"/>
      <c r="B496" s="54"/>
      <c r="C496" s="55"/>
      <c r="D496" s="54"/>
      <c r="E496" s="54"/>
      <c r="F496" s="56"/>
      <c r="G496" s="56"/>
      <c r="H496" s="55"/>
      <c r="I496" s="55"/>
      <c r="J496" s="55"/>
    </row>
    <row r="497" spans="1:10">
      <c r="A497" s="58"/>
      <c r="B497" s="54"/>
      <c r="C497" s="55"/>
      <c r="D497" s="54"/>
      <c r="E497" s="54"/>
      <c r="F497" s="56"/>
      <c r="G497" s="56"/>
      <c r="H497" s="55"/>
      <c r="I497" s="55"/>
      <c r="J497" s="55"/>
    </row>
    <row r="498" spans="1:10">
      <c r="A498" s="58"/>
      <c r="B498" s="54"/>
      <c r="C498" s="55"/>
      <c r="D498" s="54"/>
      <c r="E498" s="54"/>
      <c r="F498" s="56"/>
      <c r="G498" s="56"/>
      <c r="H498" s="55"/>
      <c r="I498" s="55"/>
      <c r="J498" s="55"/>
    </row>
    <row r="499" spans="1:10">
      <c r="A499" s="58"/>
      <c r="B499" s="54"/>
      <c r="C499" s="55"/>
      <c r="D499" s="54"/>
      <c r="E499" s="54"/>
      <c r="F499" s="56"/>
      <c r="G499" s="56"/>
      <c r="H499" s="55"/>
      <c r="I499" s="55"/>
      <c r="J499" s="55"/>
    </row>
    <row r="500" spans="1:10">
      <c r="A500" s="58"/>
      <c r="B500" s="54"/>
      <c r="C500" s="55"/>
      <c r="D500" s="54"/>
      <c r="E500" s="54"/>
      <c r="F500" s="56"/>
      <c r="G500" s="56"/>
      <c r="H500" s="55"/>
      <c r="I500" s="55"/>
      <c r="J500" s="55"/>
    </row>
    <row r="501" spans="1:10">
      <c r="A501" s="58"/>
      <c r="B501" s="54"/>
      <c r="C501" s="55"/>
      <c r="D501" s="54"/>
      <c r="E501" s="54"/>
      <c r="F501" s="56"/>
      <c r="G501" s="56"/>
      <c r="H501" s="55"/>
      <c r="I501" s="55"/>
      <c r="J501" s="55"/>
    </row>
    <row r="502" spans="1:10">
      <c r="A502" s="58"/>
      <c r="B502" s="54"/>
      <c r="C502" s="55"/>
      <c r="D502" s="54"/>
      <c r="E502" s="54"/>
      <c r="F502" s="56"/>
      <c r="G502" s="56"/>
      <c r="H502" s="55"/>
      <c r="I502" s="55"/>
      <c r="J502" s="55"/>
    </row>
    <row r="503" spans="1:10">
      <c r="A503" s="58"/>
      <c r="B503" s="54"/>
      <c r="C503" s="55"/>
      <c r="D503" s="54"/>
      <c r="E503" s="54"/>
      <c r="F503" s="56"/>
      <c r="G503" s="56"/>
      <c r="H503" s="55"/>
      <c r="I503" s="55"/>
      <c r="J503" s="55"/>
    </row>
    <row r="504" spans="1:10">
      <c r="A504" s="58"/>
      <c r="B504" s="54"/>
      <c r="C504" s="55"/>
      <c r="D504" s="54"/>
      <c r="E504" s="54"/>
      <c r="F504" s="56"/>
      <c r="G504" s="56"/>
      <c r="H504" s="55"/>
      <c r="I504" s="55"/>
      <c r="J504" s="55"/>
    </row>
    <row r="505" spans="1:10">
      <c r="A505" s="58"/>
      <c r="B505" s="54"/>
      <c r="C505" s="55"/>
      <c r="D505" s="54"/>
      <c r="E505" s="54"/>
      <c r="F505" s="56"/>
      <c r="G505" s="56"/>
      <c r="H505" s="55"/>
      <c r="I505" s="55"/>
      <c r="J505" s="55"/>
    </row>
    <row r="506" spans="1:10">
      <c r="A506" s="58"/>
      <c r="B506" s="54"/>
      <c r="C506" s="55"/>
      <c r="D506" s="54"/>
      <c r="E506" s="54"/>
      <c r="F506" s="56"/>
      <c r="G506" s="56"/>
      <c r="H506" s="55"/>
      <c r="I506" s="55"/>
      <c r="J506" s="55"/>
    </row>
    <row r="507" spans="1:10">
      <c r="A507" s="58"/>
      <c r="B507" s="54"/>
      <c r="C507" s="55"/>
      <c r="D507" s="54"/>
      <c r="E507" s="54"/>
      <c r="F507" s="56"/>
      <c r="G507" s="56"/>
      <c r="H507" s="55"/>
      <c r="I507" s="55"/>
      <c r="J507" s="55"/>
    </row>
    <row r="508" spans="1:10">
      <c r="A508" s="58"/>
      <c r="B508" s="54"/>
      <c r="C508" s="55"/>
      <c r="D508" s="54"/>
      <c r="E508" s="54"/>
      <c r="F508" s="56"/>
      <c r="G508" s="56"/>
      <c r="H508" s="55"/>
      <c r="I508" s="55"/>
      <c r="J508" s="55"/>
    </row>
    <row r="509" spans="1:10">
      <c r="A509" s="58"/>
      <c r="B509" s="54"/>
      <c r="C509" s="55"/>
      <c r="D509" s="54"/>
      <c r="E509" s="54"/>
      <c r="F509" s="56"/>
      <c r="G509" s="56"/>
      <c r="H509" s="55"/>
      <c r="I509" s="55"/>
      <c r="J509" s="55"/>
    </row>
    <row r="510" spans="1:10">
      <c r="A510" s="58"/>
      <c r="B510" s="54"/>
      <c r="C510" s="55"/>
      <c r="D510" s="54"/>
      <c r="E510" s="54"/>
      <c r="F510" s="56"/>
      <c r="G510" s="56"/>
      <c r="H510" s="55"/>
      <c r="I510" s="55"/>
      <c r="J510" s="55"/>
    </row>
    <row r="511" spans="1:10">
      <c r="A511" s="58"/>
      <c r="B511" s="54"/>
      <c r="C511" s="55"/>
      <c r="D511" s="54"/>
      <c r="E511" s="54"/>
      <c r="F511" s="56"/>
      <c r="G511" s="56"/>
      <c r="H511" s="55"/>
      <c r="I511" s="55"/>
      <c r="J511" s="55"/>
    </row>
    <row r="512" spans="1:10">
      <c r="A512" s="58"/>
      <c r="B512" s="54"/>
      <c r="C512" s="55"/>
      <c r="D512" s="54"/>
      <c r="E512" s="54"/>
      <c r="F512" s="56"/>
      <c r="G512" s="56"/>
      <c r="H512" s="55"/>
      <c r="I512" s="55"/>
      <c r="J512" s="55"/>
    </row>
    <row r="513" spans="1:10">
      <c r="A513" s="58"/>
      <c r="B513" s="54"/>
      <c r="C513" s="55"/>
      <c r="D513" s="54"/>
      <c r="E513" s="54"/>
      <c r="F513" s="56"/>
      <c r="G513" s="56"/>
      <c r="H513" s="55"/>
      <c r="I513" s="55"/>
      <c r="J513" s="55"/>
    </row>
    <row r="514" spans="1:10">
      <c r="A514" s="58"/>
      <c r="B514" s="54"/>
      <c r="C514" s="55"/>
      <c r="D514" s="54"/>
      <c r="E514" s="54"/>
      <c r="F514" s="56"/>
      <c r="G514" s="56"/>
      <c r="H514" s="55"/>
      <c r="I514" s="55"/>
      <c r="J514" s="55"/>
    </row>
    <row r="515" spans="1:10">
      <c r="A515" s="58"/>
      <c r="B515" s="54"/>
      <c r="C515" s="55"/>
      <c r="D515" s="54"/>
      <c r="E515" s="54"/>
      <c r="F515" s="56"/>
      <c r="G515" s="56"/>
      <c r="H515" s="55"/>
      <c r="I515" s="55"/>
      <c r="J515" s="55"/>
    </row>
    <row r="516" spans="1:10">
      <c r="B516" s="59"/>
      <c r="D516" s="59"/>
      <c r="E516" s="59"/>
      <c r="F516" s="60"/>
      <c r="G516" s="60"/>
    </row>
    <row r="517" spans="1:10">
      <c r="B517" s="59"/>
      <c r="D517" s="59"/>
      <c r="E517" s="59"/>
      <c r="F517" s="60"/>
      <c r="G517" s="60"/>
    </row>
    <row r="518" spans="1:10">
      <c r="B518" s="59"/>
      <c r="D518" s="59"/>
      <c r="E518" s="59"/>
      <c r="F518" s="60"/>
      <c r="G518" s="60"/>
    </row>
    <row r="519" spans="1:10">
      <c r="B519" s="59"/>
      <c r="D519" s="59"/>
      <c r="E519" s="59"/>
      <c r="F519" s="60"/>
      <c r="G519" s="60"/>
    </row>
    <row r="520" spans="1:10">
      <c r="B520" s="59"/>
      <c r="D520" s="59"/>
      <c r="E520" s="59"/>
      <c r="F520" s="60"/>
      <c r="G520" s="60"/>
    </row>
    <row r="521" spans="1:10">
      <c r="B521" s="59"/>
      <c r="D521" s="59"/>
      <c r="E521" s="59"/>
      <c r="F521" s="60"/>
      <c r="G521" s="60"/>
    </row>
    <row r="522" spans="1:10">
      <c r="B522" s="59"/>
      <c r="D522" s="59"/>
      <c r="E522" s="59"/>
      <c r="F522" s="60"/>
      <c r="G522" s="60"/>
    </row>
    <row r="523" spans="1:10">
      <c r="B523" s="59"/>
      <c r="D523" s="59"/>
      <c r="E523" s="59"/>
      <c r="F523" s="60"/>
      <c r="G523" s="60"/>
    </row>
    <row r="524" spans="1:10">
      <c r="B524" s="59"/>
      <c r="D524" s="59"/>
      <c r="E524" s="59"/>
      <c r="F524" s="60"/>
      <c r="G524" s="60"/>
    </row>
    <row r="525" spans="1:10">
      <c r="B525" s="59"/>
      <c r="D525" s="59"/>
      <c r="E525" s="59"/>
      <c r="F525" s="60"/>
      <c r="G525" s="60"/>
    </row>
    <row r="526" spans="1:10">
      <c r="B526" s="59"/>
      <c r="D526" s="59"/>
      <c r="E526" s="59"/>
      <c r="F526" s="60"/>
      <c r="G526" s="60"/>
    </row>
    <row r="527" spans="1:10">
      <c r="B527" s="59"/>
      <c r="D527" s="59"/>
      <c r="E527" s="59"/>
      <c r="F527" s="60"/>
      <c r="G527" s="60"/>
    </row>
    <row r="528" spans="1:10">
      <c r="B528" s="59"/>
      <c r="D528" s="59"/>
      <c r="E528" s="59"/>
      <c r="F528" s="60"/>
      <c r="G528" s="60"/>
    </row>
    <row r="529" spans="2:7">
      <c r="B529" s="59"/>
      <c r="D529" s="59"/>
      <c r="E529" s="59"/>
      <c r="F529" s="60"/>
      <c r="G529" s="60"/>
    </row>
    <row r="530" spans="2:7">
      <c r="B530" s="59"/>
      <c r="D530" s="59"/>
      <c r="E530" s="59"/>
      <c r="F530" s="60"/>
      <c r="G530" s="60"/>
    </row>
    <row r="531" spans="2:7">
      <c r="B531" s="59"/>
      <c r="D531" s="59"/>
      <c r="E531" s="59"/>
      <c r="F531" s="60"/>
      <c r="G531" s="60"/>
    </row>
    <row r="532" spans="2:7">
      <c r="B532" s="59"/>
      <c r="D532" s="59"/>
      <c r="E532" s="59"/>
      <c r="F532" s="60"/>
      <c r="G532" s="60"/>
    </row>
    <row r="533" spans="2:7">
      <c r="B533" s="59"/>
      <c r="D533" s="59"/>
      <c r="E533" s="59"/>
      <c r="F533" s="60"/>
      <c r="G533" s="60"/>
    </row>
    <row r="534" spans="2:7">
      <c r="B534" s="59"/>
      <c r="D534" s="59"/>
      <c r="E534" s="59"/>
      <c r="F534" s="60"/>
      <c r="G534" s="60"/>
    </row>
    <row r="535" spans="2:7">
      <c r="B535" s="59"/>
      <c r="D535" s="59"/>
      <c r="E535" s="59"/>
      <c r="F535" s="60"/>
      <c r="G535" s="60"/>
    </row>
    <row r="536" spans="2:7">
      <c r="B536" s="59"/>
      <c r="D536" s="59"/>
      <c r="E536" s="59"/>
      <c r="F536" s="60"/>
      <c r="G536" s="60"/>
    </row>
    <row r="537" spans="2:7">
      <c r="B537" s="59"/>
      <c r="D537" s="59"/>
      <c r="E537" s="59"/>
      <c r="F537" s="60"/>
      <c r="G537" s="60"/>
    </row>
    <row r="538" spans="2:7">
      <c r="B538" s="59"/>
      <c r="D538" s="59"/>
      <c r="E538" s="59"/>
      <c r="F538" s="60"/>
      <c r="G538" s="60"/>
    </row>
    <row r="539" spans="2:7">
      <c r="B539" s="59"/>
      <c r="D539" s="59"/>
      <c r="E539" s="59"/>
      <c r="F539" s="60"/>
      <c r="G539" s="60"/>
    </row>
    <row r="540" spans="2:7">
      <c r="B540" s="59"/>
      <c r="D540" s="59"/>
      <c r="E540" s="59"/>
      <c r="F540" s="60"/>
      <c r="G540" s="60"/>
    </row>
    <row r="541" spans="2:7">
      <c r="B541" s="59"/>
      <c r="D541" s="59"/>
      <c r="E541" s="59"/>
      <c r="F541" s="60"/>
      <c r="G541" s="60"/>
    </row>
    <row r="542" spans="2:7">
      <c r="B542" s="59"/>
      <c r="D542" s="59"/>
      <c r="E542" s="59"/>
      <c r="F542" s="60"/>
      <c r="G542" s="60"/>
    </row>
    <row r="543" spans="2:7">
      <c r="B543" s="59"/>
      <c r="D543" s="59"/>
      <c r="E543" s="59"/>
      <c r="F543" s="60"/>
      <c r="G543" s="60"/>
    </row>
    <row r="544" spans="2:7">
      <c r="B544" s="59"/>
      <c r="D544" s="59"/>
      <c r="E544" s="59"/>
      <c r="F544" s="60"/>
      <c r="G544" s="60"/>
    </row>
    <row r="545" spans="2:7">
      <c r="B545" s="59"/>
      <c r="D545" s="59"/>
      <c r="E545" s="59"/>
      <c r="F545" s="60"/>
      <c r="G545" s="60"/>
    </row>
    <row r="546" spans="2:7">
      <c r="B546" s="59"/>
      <c r="D546" s="59"/>
      <c r="E546" s="59"/>
      <c r="F546" s="60"/>
      <c r="G546" s="60"/>
    </row>
    <row r="547" spans="2:7">
      <c r="B547" s="59"/>
      <c r="D547" s="59"/>
      <c r="E547" s="59"/>
      <c r="F547" s="60"/>
      <c r="G547" s="60"/>
    </row>
    <row r="548" spans="2:7">
      <c r="B548" s="59"/>
      <c r="D548" s="59"/>
      <c r="E548" s="59"/>
      <c r="F548" s="60"/>
      <c r="G548" s="60"/>
    </row>
    <row r="549" spans="2:7">
      <c r="B549" s="59"/>
      <c r="D549" s="59"/>
      <c r="E549" s="59"/>
      <c r="F549" s="60"/>
      <c r="G549" s="60"/>
    </row>
  </sheetData>
  <hyperlinks>
    <hyperlink ref="A2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E1:W138"/>
  <sheetViews>
    <sheetView showGridLines="0" workbookViewId="0">
      <selection activeCell="J8" sqref="J8"/>
    </sheetView>
  </sheetViews>
  <sheetFormatPr defaultRowHeight="15"/>
  <cols>
    <col min="1" max="1" width="2.7109375" customWidth="1"/>
    <col min="2" max="6" width="9.140625" customWidth="1"/>
    <col min="11" max="12" width="7.140625" bestFit="1" customWidth="1"/>
    <col min="13" max="13" width="6" bestFit="1" customWidth="1"/>
    <col min="16" max="16" width="6.140625" bestFit="1" customWidth="1"/>
  </cols>
  <sheetData>
    <row r="1" spans="5:23">
      <c r="G1" s="63" t="str">
        <f>"Mean Reverting Margins for " &amp; ticker</f>
        <v>Mean Reverting Margins for EZCH</v>
      </c>
      <c r="L1" s="63"/>
      <c r="Q1" s="63"/>
    </row>
    <row r="2" spans="5:23">
      <c r="G2" s="63"/>
      <c r="L2" s="63"/>
      <c r="Q2" s="63"/>
    </row>
    <row r="3" spans="5:23">
      <c r="L3" s="20"/>
      <c r="M3" s="20"/>
      <c r="N3" s="20"/>
      <c r="O3" s="20"/>
      <c r="P3" s="20"/>
      <c r="Q3" s="20"/>
      <c r="R3" s="20"/>
      <c r="S3" s="20"/>
      <c r="T3" s="20"/>
    </row>
    <row r="4" spans="5:23">
      <c r="G4" s="64" t="s">
        <v>64</v>
      </c>
      <c r="H4" s="64"/>
      <c r="I4" t="s">
        <v>65</v>
      </c>
      <c r="J4" s="65" t="s">
        <v>9</v>
      </c>
      <c r="K4" s="66">
        <f>AVERAGE(Input!R11:AO11)</f>
        <v>0.26917216666666671</v>
      </c>
      <c r="L4" s="67"/>
      <c r="O4" s="20"/>
      <c r="P4" s="20"/>
      <c r="Q4" s="67"/>
      <c r="R4" s="67"/>
      <c r="S4" s="20"/>
      <c r="T4" s="20"/>
    </row>
    <row r="5" spans="5:23">
      <c r="F5" t="s">
        <v>66</v>
      </c>
      <c r="G5" s="68" t="s">
        <v>67</v>
      </c>
      <c r="H5" s="101">
        <v>-0.9</v>
      </c>
      <c r="I5" s="70">
        <f>AVERAGE(I14:I74)</f>
        <v>0.26750995678923412</v>
      </c>
      <c r="J5" s="71" t="s">
        <v>68</v>
      </c>
      <c r="K5" s="66">
        <f>STDEVP(Input!R11:AO11)</f>
        <v>0.11329934059004429</v>
      </c>
      <c r="L5" s="72"/>
      <c r="M5" t="s">
        <v>82</v>
      </c>
      <c r="O5" s="20"/>
      <c r="P5" s="20"/>
      <c r="Q5" s="72"/>
      <c r="R5" s="71"/>
      <c r="S5" s="20"/>
      <c r="T5" s="20"/>
    </row>
    <row r="6" spans="5:23">
      <c r="G6" s="68" t="s">
        <v>69</v>
      </c>
      <c r="H6" s="69">
        <f>K4</f>
        <v>0.26917216666666671</v>
      </c>
      <c r="I6" s="134">
        <f>I5-K4</f>
        <v>-1.6622098774325966E-3</v>
      </c>
      <c r="L6" s="72"/>
      <c r="M6" s="71"/>
      <c r="N6" s="20"/>
      <c r="O6" s="20"/>
      <c r="P6" s="20"/>
      <c r="Q6" s="72"/>
      <c r="R6" s="71"/>
      <c r="S6" s="20"/>
      <c r="T6" s="20"/>
    </row>
    <row r="7" spans="5:23">
      <c r="G7" s="68" t="s">
        <v>70</v>
      </c>
      <c r="H7" s="69">
        <f>K5</f>
        <v>0.11329934059004429</v>
      </c>
      <c r="L7" s="72"/>
      <c r="M7" s="71"/>
      <c r="N7" s="20"/>
      <c r="O7" s="20"/>
      <c r="P7" s="20"/>
      <c r="Q7" s="72"/>
      <c r="R7" s="71"/>
      <c r="S7" s="20"/>
      <c r="T7" s="20"/>
    </row>
    <row r="8" spans="5:23">
      <c r="G8" s="73" t="s">
        <v>71</v>
      </c>
      <c r="H8" s="74">
        <f>H6</f>
        <v>0.26917216666666671</v>
      </c>
      <c r="L8" s="75"/>
      <c r="M8" s="71"/>
      <c r="N8" s="20"/>
      <c r="O8" s="20"/>
      <c r="P8" s="20"/>
      <c r="Q8" s="75"/>
      <c r="R8" s="71"/>
      <c r="S8" s="20"/>
      <c r="T8" s="20"/>
    </row>
    <row r="9" spans="5:23">
      <c r="L9" s="20"/>
      <c r="M9" s="20"/>
      <c r="N9" s="20"/>
      <c r="O9" s="20"/>
      <c r="P9" s="20"/>
      <c r="Q9" s="20"/>
      <c r="R9" s="20"/>
      <c r="S9" s="20"/>
      <c r="T9" s="20"/>
    </row>
    <row r="10" spans="5:23">
      <c r="G10" s="68" t="s">
        <v>72</v>
      </c>
      <c r="H10" s="74">
        <f>H6*H11</f>
        <v>0.51142711666666674</v>
      </c>
      <c r="L10" s="75"/>
      <c r="M10" s="71"/>
      <c r="N10" s="20"/>
      <c r="O10" s="20"/>
      <c r="P10" s="20"/>
      <c r="Q10" s="72"/>
      <c r="R10" s="71"/>
      <c r="S10" s="20"/>
      <c r="T10" s="20"/>
    </row>
    <row r="11" spans="5:23" ht="15.75" thickBot="1">
      <c r="G11" s="68" t="s">
        <v>73</v>
      </c>
      <c r="H11" s="74">
        <f>1-H5</f>
        <v>1.9</v>
      </c>
      <c r="L11" s="72"/>
      <c r="M11" s="71"/>
      <c r="N11" s="20"/>
      <c r="O11" s="20"/>
      <c r="P11" s="20"/>
      <c r="Q11" s="72"/>
      <c r="R11" s="71"/>
      <c r="S11" s="20"/>
      <c r="T11" s="20"/>
    </row>
    <row r="12" spans="5:23" ht="15.75" thickBot="1">
      <c r="K12" s="31"/>
      <c r="L12" s="76" t="s">
        <v>74</v>
      </c>
      <c r="M12" s="76"/>
      <c r="N12" s="76"/>
      <c r="O12" s="76"/>
      <c r="P12" s="76"/>
      <c r="Q12" s="76"/>
      <c r="R12" s="76"/>
      <c r="S12" s="76"/>
      <c r="T12" s="76"/>
      <c r="U12" s="77"/>
    </row>
    <row r="13" spans="5:23" ht="15.75" thickBot="1">
      <c r="G13" s="73" t="s">
        <v>75</v>
      </c>
      <c r="H13" s="73" t="s">
        <v>76</v>
      </c>
      <c r="I13" s="73" t="s">
        <v>77</v>
      </c>
      <c r="J13" s="78" t="s">
        <v>69</v>
      </c>
      <c r="K13" s="89" t="s">
        <v>79</v>
      </c>
      <c r="L13" s="90">
        <v>1</v>
      </c>
      <c r="M13" s="90">
        <v>2</v>
      </c>
      <c r="N13" s="90">
        <v>3</v>
      </c>
      <c r="O13" s="90">
        <v>4</v>
      </c>
      <c r="P13" s="90">
        <v>5</v>
      </c>
      <c r="Q13" s="90">
        <v>6</v>
      </c>
      <c r="R13" s="90">
        <v>7</v>
      </c>
      <c r="S13" s="90">
        <v>8</v>
      </c>
      <c r="T13" s="90">
        <v>9</v>
      </c>
      <c r="U13" s="91">
        <v>10</v>
      </c>
      <c r="V13" t="s">
        <v>78</v>
      </c>
    </row>
    <row r="14" spans="5:23">
      <c r="E14">
        <v>-0.76656090380670272</v>
      </c>
      <c r="G14">
        <v>0</v>
      </c>
      <c r="H14" s="59"/>
      <c r="I14" s="59">
        <f>H8</f>
        <v>0.26917216666666671</v>
      </c>
      <c r="J14" s="59">
        <f t="shared" ref="J14:J77" si="0">$H$6</f>
        <v>0.26917216666666671</v>
      </c>
      <c r="L14" s="134">
        <f>$I$14</f>
        <v>0.26917216666666671</v>
      </c>
      <c r="M14" s="134">
        <f t="shared" ref="M14:U14" si="1">$I$14</f>
        <v>0.26917216666666671</v>
      </c>
      <c r="N14" s="134">
        <f t="shared" si="1"/>
        <v>0.26917216666666671</v>
      </c>
      <c r="O14" s="134">
        <f t="shared" si="1"/>
        <v>0.26917216666666671</v>
      </c>
      <c r="P14" s="134">
        <f t="shared" si="1"/>
        <v>0.26917216666666671</v>
      </c>
      <c r="Q14" s="134">
        <f t="shared" si="1"/>
        <v>0.26917216666666671</v>
      </c>
      <c r="R14" s="134">
        <f t="shared" si="1"/>
        <v>0.26917216666666671</v>
      </c>
      <c r="S14" s="134">
        <f t="shared" si="1"/>
        <v>0.26917216666666671</v>
      </c>
      <c r="T14" s="134">
        <f t="shared" si="1"/>
        <v>0.26917216666666671</v>
      </c>
      <c r="U14" s="134">
        <f t="shared" si="1"/>
        <v>0.26917216666666671</v>
      </c>
      <c r="V14" s="77"/>
    </row>
    <row r="15" spans="5:23">
      <c r="E15">
        <v>1.3403905456638072</v>
      </c>
      <c r="G15">
        <f>G14+1</f>
        <v>1</v>
      </c>
      <c r="H15" s="59">
        <f>$H$7*E15</f>
        <v>0.151865364956839</v>
      </c>
      <c r="I15" s="59">
        <f t="shared" ref="I15:I78" si="2">$H$11*$H$6+(1-$H$11)*I14+H15</f>
        <v>0.42103753162350571</v>
      </c>
      <c r="J15" s="59">
        <f t="shared" si="0"/>
        <v>0.26917216666666671</v>
      </c>
      <c r="K15" s="33">
        <v>1</v>
      </c>
      <c r="L15" s="79">
        <f ca="1">$H$11*$H$6+(1-$H$11)*$I$14+$H$7*Rand!B3</f>
        <v>0.31444485875197281</v>
      </c>
      <c r="M15" s="79">
        <f ca="1">$H$11*$H$6+(1-$H$11)*$I$14+$H$7*Rand!C3</f>
        <v>0.35370122313632313</v>
      </c>
      <c r="N15" s="79">
        <f ca="1">$H$11*$H$6+(1-$H$11)*$I$14+$H$7*Rand!D3</f>
        <v>0.35687381197695889</v>
      </c>
      <c r="O15" s="79">
        <f ca="1">$H$11*$H$6+(1-$H$11)*$I$14+$H$7*Rand!E3</f>
        <v>0.30980007683641592</v>
      </c>
      <c r="P15" s="79">
        <f ca="1">$H$11*$H$6+(1-$H$11)*$I$14+$H$7*Rand!F3</f>
        <v>0.34532479363375251</v>
      </c>
      <c r="Q15" s="79">
        <f ca="1">$H$11*$H$6+(1-$H$11)*$I$14+$H$7*Rand!G3</f>
        <v>0.32741559685115429</v>
      </c>
      <c r="R15" s="79">
        <f ca="1">$H$11*$H$6+(1-$H$11)*$I$14+$H$7*Rand!H3</f>
        <v>0.28282388215182858</v>
      </c>
      <c r="S15" s="79">
        <f ca="1">$H$11*$H$6+(1-$H$11)*$I$14+$H$7*Rand!I3</f>
        <v>0.28181064372107933</v>
      </c>
      <c r="T15" s="79">
        <f ca="1">$H$11*$H$6+(1-$H$11)*$I$14+$H$7*Rand!J3</f>
        <v>0.34706881486841828</v>
      </c>
      <c r="U15" s="80">
        <f ca="1">$H$11*$H$6+(1-$H$11)*$I$14+$H$7*Rand!K3</f>
        <v>0.31792515186834608</v>
      </c>
      <c r="V15" s="92">
        <f ca="1">AVERAGE(L15:U15)</f>
        <v>0.32371888537962495</v>
      </c>
      <c r="W15" t="s">
        <v>80</v>
      </c>
    </row>
    <row r="16" spans="5:23">
      <c r="E16">
        <v>0.70804797986569756</v>
      </c>
      <c r="G16">
        <f t="shared" ref="G16:G79" si="3">G15+1</f>
        <v>2</v>
      </c>
      <c r="H16" s="59">
        <f t="shared" ref="H16:H79" si="4">$H$7*E16</f>
        <v>8.0221369224896491E-2</v>
      </c>
      <c r="I16" s="59">
        <f>$H$11*$H$6+(1-$H$11)*I15+H16</f>
        <v>0.2127147074304081</v>
      </c>
      <c r="J16" s="59">
        <f t="shared" si="0"/>
        <v>0.26917216666666671</v>
      </c>
      <c r="K16" s="33">
        <v>2</v>
      </c>
      <c r="L16" s="79">
        <f ca="1">$H$11*$H$6+(1-$H$11)*L15+$H$7*Rand!B4</f>
        <v>0.33968875276452759</v>
      </c>
      <c r="M16" s="79">
        <f ca="1">$H$11*$H$6+(1-$H$11)*M15+$H$7*Rand!C4</f>
        <v>0.2657981447746845</v>
      </c>
      <c r="N16" s="79">
        <f ca="1">$H$11*$H$6+(1-$H$11)*N15+$H$7*Rand!D4</f>
        <v>0.19642587161372649</v>
      </c>
      <c r="O16" s="79">
        <f ca="1">$H$11*$H$6+(1-$H$11)*O15+$H$7*Rand!E4</f>
        <v>0.26084573598272448</v>
      </c>
      <c r="P16" s="79">
        <f ca="1">$H$11*$H$6+(1-$H$11)*P15+$H$7*Rand!F4</f>
        <v>0.2714474708250883</v>
      </c>
      <c r="Q16" s="79">
        <f ca="1">$H$11*$H$6+(1-$H$11)*Q15+$H$7*Rand!G4</f>
        <v>0.23114701251405387</v>
      </c>
      <c r="R16" s="79">
        <f ca="1">$H$11*$H$6+(1-$H$11)*R15+$H$7*Rand!H4</f>
        <v>0.37008019209492965</v>
      </c>
      <c r="S16" s="79">
        <f ca="1">$H$11*$H$6+(1-$H$11)*S15+$H$7*Rand!I4</f>
        <v>0.35191160560742252</v>
      </c>
      <c r="T16" s="79">
        <f ca="1">$H$11*$H$6+(1-$H$11)*T15+$H$7*Rand!J4</f>
        <v>0.26780706989032588</v>
      </c>
      <c r="U16" s="80">
        <f ca="1">$H$11*$H$6+(1-$H$11)*U15+$H$7*Rand!K4</f>
        <v>0.31673560400451262</v>
      </c>
      <c r="V16" s="92">
        <f t="shared" ref="V16:V54" ca="1" si="5">AVERAGE(L16:U16)</f>
        <v>0.28718874600719957</v>
      </c>
    </row>
    <row r="17" spans="5:22">
      <c r="E17">
        <v>5.1669497102681858E-2</v>
      </c>
      <c r="G17">
        <f t="shared" si="3"/>
        <v>3</v>
      </c>
      <c r="H17" s="59">
        <f t="shared" si="4"/>
        <v>5.854119950353058E-3</v>
      </c>
      <c r="I17" s="59">
        <f t="shared" si="2"/>
        <v>0.32583799992965251</v>
      </c>
      <c r="J17" s="59">
        <f t="shared" si="0"/>
        <v>0.26917216666666671</v>
      </c>
      <c r="K17" s="33">
        <v>3</v>
      </c>
      <c r="L17" s="79">
        <f ca="1">$H$11*$H$6+(1-$H$11)*L16+$H$7*Rand!B5</f>
        <v>0.31070944922342897</v>
      </c>
      <c r="M17" s="79">
        <f ca="1">$H$11*$H$6+(1-$H$11)*M16+$H$7*Rand!C5</f>
        <v>0.28664733314494978</v>
      </c>
      <c r="N17" s="79">
        <f ca="1">$H$11*$H$6+(1-$H$11)*N16+$H$7*Rand!D5</f>
        <v>0.34846941697146588</v>
      </c>
      <c r="O17" s="79">
        <f ca="1">$H$11*$H$6+(1-$H$11)*O16+$H$7*Rand!E5</f>
        <v>0.35163058491481619</v>
      </c>
      <c r="P17" s="79">
        <f ca="1">$H$11*$H$6+(1-$H$11)*P16+$H$7*Rand!F5</f>
        <v>0.33329309574239968</v>
      </c>
      <c r="Q17" s="79">
        <f ca="1">$H$11*$H$6+(1-$H$11)*Q16+$H$7*Rand!G5</f>
        <v>0.34672756033547381</v>
      </c>
      <c r="R17" s="79">
        <f ca="1">$H$11*$H$6+(1-$H$11)*R16+$H$7*Rand!H5</f>
        <v>0.25302721943405621</v>
      </c>
      <c r="S17" s="79">
        <f ca="1">$H$11*$H$6+(1-$H$11)*S16+$H$7*Rand!I5</f>
        <v>0.23395293288586475</v>
      </c>
      <c r="T17" s="79">
        <f ca="1">$H$11*$H$6+(1-$H$11)*T16+$H$7*Rand!J5</f>
        <v>0.28822782883043002</v>
      </c>
      <c r="U17" s="80">
        <f ca="1">$H$11*$H$6+(1-$H$11)*U16+$H$7*Rand!K5</f>
        <v>0.2938729960202337</v>
      </c>
      <c r="V17" s="92">
        <f t="shared" ca="1" si="5"/>
        <v>0.30465584175031191</v>
      </c>
    </row>
    <row r="18" spans="5:22">
      <c r="E18">
        <v>2.412129572763607E-2</v>
      </c>
      <c r="G18">
        <f t="shared" si="3"/>
        <v>4</v>
      </c>
      <c r="H18" s="59">
        <f t="shared" si="4"/>
        <v>2.7329269001186195E-3</v>
      </c>
      <c r="I18" s="59">
        <f t="shared" si="2"/>
        <v>0.22090584363009813</v>
      </c>
      <c r="J18" s="59">
        <f t="shared" si="0"/>
        <v>0.26917216666666671</v>
      </c>
      <c r="K18" s="33">
        <v>4</v>
      </c>
      <c r="L18" s="79">
        <f ca="1">$H$11*$H$6+(1-$H$11)*L17+$H$7*Rand!B6</f>
        <v>0.2982246041684733</v>
      </c>
      <c r="M18" s="79">
        <f ca="1">$H$11*$H$6+(1-$H$11)*M17+$H$7*Rand!C6</f>
        <v>0.28442615774899938</v>
      </c>
      <c r="N18" s="79">
        <f ca="1">$H$11*$H$6+(1-$H$11)*N17+$H$7*Rand!D6</f>
        <v>0.28465284987075901</v>
      </c>
      <c r="O18" s="79">
        <f ca="1">$H$11*$H$6+(1-$H$11)*O17+$H$7*Rand!E6</f>
        <v>0.28504039142099258</v>
      </c>
      <c r="P18" s="79">
        <f ca="1">$H$11*$H$6+(1-$H$11)*P17+$H$7*Rand!F6</f>
        <v>0.21392692356009055</v>
      </c>
      <c r="Q18" s="79">
        <f ca="1">$H$11*$H$6+(1-$H$11)*Q17+$H$7*Rand!G6</f>
        <v>0.22813060444424565</v>
      </c>
      <c r="R18" s="79">
        <f ca="1">$H$11*$H$6+(1-$H$11)*R17+$H$7*Rand!H6</f>
        <v>0.29426540782242161</v>
      </c>
      <c r="S18" s="79">
        <f ca="1">$H$11*$H$6+(1-$H$11)*S17+$H$7*Rand!I6</f>
        <v>0.31535324315656676</v>
      </c>
      <c r="T18" s="79">
        <f ca="1">$H$11*$H$6+(1-$H$11)*T17+$H$7*Rand!J6</f>
        <v>0.31867853134751062</v>
      </c>
      <c r="U18" s="80">
        <f ca="1">$H$11*$H$6+(1-$H$11)*U17+$H$7*Rand!K6</f>
        <v>0.27772432864309898</v>
      </c>
      <c r="V18" s="92">
        <f t="shared" ca="1" si="5"/>
        <v>0.28004230421831589</v>
      </c>
    </row>
    <row r="19" spans="5:22">
      <c r="E19">
        <v>0.41102907138022726</v>
      </c>
      <c r="G19">
        <f t="shared" si="3"/>
        <v>5</v>
      </c>
      <c r="H19" s="59">
        <f t="shared" si="4"/>
        <v>4.6569322750717991E-2</v>
      </c>
      <c r="I19" s="59">
        <f t="shared" si="2"/>
        <v>0.35918118015029643</v>
      </c>
      <c r="J19" s="59">
        <f t="shared" si="0"/>
        <v>0.26917216666666671</v>
      </c>
      <c r="K19" s="33">
        <v>5</v>
      </c>
      <c r="L19" s="79">
        <f ca="1">$H$11*$H$6+(1-$H$11)*L18+$H$7*Rand!B7</f>
        <v>0.28403243384127541</v>
      </c>
      <c r="M19" s="79">
        <f ca="1">$H$11*$H$6+(1-$H$11)*M18+$H$7*Rand!C7</f>
        <v>0.34946525161691111</v>
      </c>
      <c r="N19" s="79">
        <f ca="1">$H$11*$H$6+(1-$H$11)*N18+$H$7*Rand!D7</f>
        <v>0.26480652134152061</v>
      </c>
      <c r="O19" s="79">
        <f ca="1">$H$11*$H$6+(1-$H$11)*O18+$H$7*Rand!E7</f>
        <v>0.36165304935464304</v>
      </c>
      <c r="P19" s="79">
        <f ca="1">$H$11*$H$6+(1-$H$11)*P18+$H$7*Rand!F7</f>
        <v>0.41063488262782594</v>
      </c>
      <c r="Q19" s="79">
        <f ca="1">$H$11*$H$6+(1-$H$11)*Q18+$H$7*Rand!G7</f>
        <v>0.41494405135404222</v>
      </c>
      <c r="R19" s="79">
        <f ca="1">$H$11*$H$6+(1-$H$11)*R18+$H$7*Rand!H7</f>
        <v>0.28240631416228679</v>
      </c>
      <c r="S19" s="79">
        <f ca="1">$H$11*$H$6+(1-$H$11)*S18+$H$7*Rand!I7</f>
        <v>0.30587487096361354</v>
      </c>
      <c r="T19" s="79">
        <f ca="1">$H$11*$H$6+(1-$H$11)*T18+$H$7*Rand!J7</f>
        <v>0.2617039647901831</v>
      </c>
      <c r="U19" s="80">
        <f ca="1">$H$11*$H$6+(1-$H$11)*U18+$H$7*Rand!K7</f>
        <v>0.3582400773457397</v>
      </c>
      <c r="V19" s="92">
        <f t="shared" ca="1" si="5"/>
        <v>0.32937614173980412</v>
      </c>
    </row>
    <row r="20" spans="5:22">
      <c r="E20">
        <v>-0.52039914091140393</v>
      </c>
      <c r="G20">
        <f t="shared" si="3"/>
        <v>6</v>
      </c>
      <c r="H20" s="59">
        <f t="shared" si="4"/>
        <v>-5.8960879508887606E-2</v>
      </c>
      <c r="I20" s="59">
        <f t="shared" si="2"/>
        <v>0.12920317502251238</v>
      </c>
      <c r="J20" s="59">
        <f t="shared" si="0"/>
        <v>0.26917216666666671</v>
      </c>
      <c r="K20" s="33">
        <v>6</v>
      </c>
      <c r="L20" s="79">
        <f ca="1">$H$11*$H$6+(1-$H$11)*L19+$H$7*Rand!B8</f>
        <v>0.34441949939050009</v>
      </c>
      <c r="M20" s="79">
        <f ca="1">$H$11*$H$6+(1-$H$11)*M19+$H$7*Rand!C8</f>
        <v>0.26413725941633726</v>
      </c>
      <c r="N20" s="79">
        <f ca="1">$H$11*$H$6+(1-$H$11)*N19+$H$7*Rand!D8</f>
        <v>0.35664019288233922</v>
      </c>
      <c r="O20" s="79">
        <f ca="1">$H$11*$H$6+(1-$H$11)*O19+$H$7*Rand!E8</f>
        <v>0.21783828923649104</v>
      </c>
      <c r="P20" s="79">
        <f ca="1">$H$11*$H$6+(1-$H$11)*P19+$H$7*Rand!F8</f>
        <v>0.22138919464725115</v>
      </c>
      <c r="Q20" s="79">
        <f ca="1">$H$11*$H$6+(1-$H$11)*Q19+$H$7*Rand!G8</f>
        <v>0.17782996025279518</v>
      </c>
      <c r="R20" s="79">
        <f ca="1">$H$11*$H$6+(1-$H$11)*R19+$H$7*Rand!H8</f>
        <v>0.26739461071075238</v>
      </c>
      <c r="S20" s="79">
        <f ca="1">$H$11*$H$6+(1-$H$11)*S19+$H$7*Rand!I8</f>
        <v>0.3054038366828728</v>
      </c>
      <c r="T20" s="79">
        <f ca="1">$H$11*$H$6+(1-$H$11)*T19+$H$7*Rand!J8</f>
        <v>0.37476411658345721</v>
      </c>
      <c r="U20" s="80">
        <f ca="1">$H$11*$H$6+(1-$H$11)*U19+$H$7*Rand!K8</f>
        <v>0.29992001984703659</v>
      </c>
      <c r="V20" s="92">
        <f t="shared" ca="1" si="5"/>
        <v>0.28297369796498323</v>
      </c>
    </row>
    <row r="21" spans="5:22">
      <c r="E21">
        <v>-1.3958797544912045</v>
      </c>
      <c r="G21">
        <f t="shared" si="3"/>
        <v>7</v>
      </c>
      <c r="H21" s="59">
        <f t="shared" si="4"/>
        <v>-0.15815225572684638</v>
      </c>
      <c r="I21" s="59">
        <f t="shared" si="2"/>
        <v>0.23699200341955923</v>
      </c>
      <c r="J21" s="59">
        <f t="shared" si="0"/>
        <v>0.26917216666666671</v>
      </c>
      <c r="K21" s="33">
        <v>7</v>
      </c>
      <c r="L21" s="79">
        <f ca="1">$H$11*$H$6+(1-$H$11)*L20+$H$7*Rand!B9</f>
        <v>0.27137228494596438</v>
      </c>
      <c r="M21" s="79">
        <f ca="1">$H$11*$H$6+(1-$H$11)*M20+$H$7*Rand!C9</f>
        <v>0.31809838501673615</v>
      </c>
      <c r="N21" s="79">
        <f ca="1">$H$11*$H$6+(1-$H$11)*N20+$H$7*Rand!D9</f>
        <v>0.22041792471685787</v>
      </c>
      <c r="O21" s="79">
        <f ca="1">$H$11*$H$6+(1-$H$11)*O20+$H$7*Rand!E9</f>
        <v>0.38434702038080421</v>
      </c>
      <c r="P21" s="79">
        <f ca="1">$H$11*$H$6+(1-$H$11)*P20+$H$7*Rand!F9</f>
        <v>0.34052800452622572</v>
      </c>
      <c r="Q21" s="79">
        <f ca="1">$H$11*$H$6+(1-$H$11)*Q20+$H$7*Rand!G9</f>
        <v>0.46040353480320434</v>
      </c>
      <c r="R21" s="79">
        <f ca="1">$H$11*$H$6+(1-$H$11)*R20+$H$7*Rand!H9</f>
        <v>0.32490596688746104</v>
      </c>
      <c r="S21" s="79">
        <f ca="1">$H$11*$H$6+(1-$H$11)*S20+$H$7*Rand!I9</f>
        <v>0.33653115240524584</v>
      </c>
      <c r="T21" s="79">
        <f ca="1">$H$11*$H$6+(1-$H$11)*T20+$H$7*Rand!J9</f>
        <v>0.27907721339863312</v>
      </c>
      <c r="U21" s="80">
        <f ca="1">$H$11*$H$6+(1-$H$11)*U20+$H$7*Rand!K9</f>
        <v>0.29105730914226674</v>
      </c>
      <c r="V21" s="92">
        <f t="shared" ca="1" si="5"/>
        <v>0.32267387962233995</v>
      </c>
    </row>
    <row r="22" spans="5:22">
      <c r="E22">
        <v>-0.91458726893761089</v>
      </c>
      <c r="G22">
        <f t="shared" si="3"/>
        <v>8</v>
      </c>
      <c r="H22" s="59">
        <f t="shared" si="4"/>
        <v>-0.10362213448268082</v>
      </c>
      <c r="I22" s="59">
        <f t="shared" si="2"/>
        <v>0.19451217910638263</v>
      </c>
      <c r="J22" s="59">
        <f t="shared" si="0"/>
        <v>0.26917216666666671</v>
      </c>
      <c r="K22" s="33">
        <v>8</v>
      </c>
      <c r="L22" s="79">
        <f ca="1">$H$11*$H$6+(1-$H$11)*L21+$H$7*Rand!B10</f>
        <v>0.3165598971416223</v>
      </c>
      <c r="M22" s="79">
        <f ca="1">$H$11*$H$6+(1-$H$11)*M21+$H$7*Rand!C10</f>
        <v>0.29275603702191993</v>
      </c>
      <c r="N22" s="79">
        <f ca="1">$H$11*$H$6+(1-$H$11)*N21+$H$7*Rand!D10</f>
        <v>0.39879013681294478</v>
      </c>
      <c r="O22" s="79">
        <f ca="1">$H$11*$H$6+(1-$H$11)*O21+$H$7*Rand!E10</f>
        <v>0.25651459199346222</v>
      </c>
      <c r="P22" s="79">
        <f ca="1">$H$11*$H$6+(1-$H$11)*P21+$H$7*Rand!F10</f>
        <v>0.23188909500173904</v>
      </c>
      <c r="Q22" s="79">
        <f ca="1">$H$11*$H$6+(1-$H$11)*Q21+$H$7*Rand!G10</f>
        <v>0.14513824788943883</v>
      </c>
      <c r="R22" s="79">
        <f ca="1">$H$11*$H$6+(1-$H$11)*R21+$H$7*Rand!H10</f>
        <v>0.2391484975212321</v>
      </c>
      <c r="S22" s="79">
        <f ca="1">$H$11*$H$6+(1-$H$11)*S21+$H$7*Rand!I10</f>
        <v>0.22935645110593722</v>
      </c>
      <c r="T22" s="79">
        <f ca="1">$H$11*$H$6+(1-$H$11)*T21+$H$7*Rand!J10</f>
        <v>0.33499611001964602</v>
      </c>
      <c r="U22" s="80">
        <f ca="1">$H$11*$H$6+(1-$H$11)*U21+$H$7*Rand!K10</f>
        <v>0.34931203268351618</v>
      </c>
      <c r="V22" s="92">
        <f t="shared" ca="1" si="5"/>
        <v>0.27944610971914585</v>
      </c>
    </row>
    <row r="23" spans="5:22">
      <c r="E23">
        <v>0.36824697465042144</v>
      </c>
      <c r="G23">
        <f t="shared" si="3"/>
        <v>9</v>
      </c>
      <c r="H23" s="59">
        <f t="shared" si="4"/>
        <v>4.1722139402171503E-2</v>
      </c>
      <c r="I23" s="59">
        <f t="shared" si="2"/>
        <v>0.37808829487309392</v>
      </c>
      <c r="J23" s="59">
        <f t="shared" si="0"/>
        <v>0.26917216666666671</v>
      </c>
      <c r="K23" s="33">
        <v>9</v>
      </c>
      <c r="L23" s="79">
        <f ca="1">$H$11*$H$6+(1-$H$11)*L22+$H$7*Rand!B11</f>
        <v>0.23633391606141718</v>
      </c>
      <c r="M23" s="79">
        <f ca="1">$H$11*$H$6+(1-$H$11)*M22+$H$7*Rand!C11</f>
        <v>0.28778470235360876</v>
      </c>
      <c r="N23" s="79">
        <f ca="1">$H$11*$H$6+(1-$H$11)*N22+$H$7*Rand!D11</f>
        <v>0.16317477188780166</v>
      </c>
      <c r="O23" s="79">
        <f ca="1">$H$11*$H$6+(1-$H$11)*O22+$H$7*Rand!E11</f>
        <v>0.3931373533623142</v>
      </c>
      <c r="P23" s="79">
        <f ca="1">$H$11*$H$6+(1-$H$11)*P22+$H$7*Rand!F11</f>
        <v>0.37242267101042059</v>
      </c>
      <c r="Q23" s="79">
        <f ca="1">$H$11*$H$6+(1-$H$11)*Q22+$H$7*Rand!G11</f>
        <v>0.46985201930918608</v>
      </c>
      <c r="R23" s="79">
        <f ca="1">$H$11*$H$6+(1-$H$11)*R22+$H$7*Rand!H11</f>
        <v>0.30809462665611825</v>
      </c>
      <c r="S23" s="79">
        <f ca="1">$H$11*$H$6+(1-$H$11)*S22+$H$7*Rand!I11</f>
        <v>0.3951203184651037</v>
      </c>
      <c r="T23" s="79">
        <f ca="1">$H$11*$H$6+(1-$H$11)*T22+$H$7*Rand!J11</f>
        <v>0.30379379179905691</v>
      </c>
      <c r="U23" s="80">
        <f ca="1">$H$11*$H$6+(1-$H$11)*U22+$H$7*Rand!K11</f>
        <v>0.25458990490927808</v>
      </c>
      <c r="V23" s="92">
        <f t="shared" ca="1" si="5"/>
        <v>0.31843040758143049</v>
      </c>
    </row>
    <row r="24" spans="5:22">
      <c r="E24">
        <v>-1.0234531578860206</v>
      </c>
      <c r="G24">
        <f t="shared" si="3"/>
        <v>10</v>
      </c>
      <c r="H24" s="59">
        <f t="shared" si="4"/>
        <v>-0.11595656791328462</v>
      </c>
      <c r="I24" s="59">
        <f t="shared" si="2"/>
        <v>5.5191083367597593E-2</v>
      </c>
      <c r="J24" s="59">
        <f t="shared" si="0"/>
        <v>0.26917216666666671</v>
      </c>
      <c r="K24" s="33">
        <v>10</v>
      </c>
      <c r="L24" s="79">
        <f ca="1">$H$11*$H$6+(1-$H$11)*L23+$H$7*Rand!B12</f>
        <v>0.34748597569342032</v>
      </c>
      <c r="M24" s="79">
        <f ca="1">$H$11*$H$6+(1-$H$11)*M23+$H$7*Rand!C12</f>
        <v>0.30806856347034001</v>
      </c>
      <c r="N24" s="79">
        <f ca="1">$H$11*$H$6+(1-$H$11)*N23+$H$7*Rand!D12</f>
        <v>0.42904173541286017</v>
      </c>
      <c r="O24" s="79">
        <f ca="1">$H$11*$H$6+(1-$H$11)*O23+$H$7*Rand!E12</f>
        <v>0.22843728354335491</v>
      </c>
      <c r="P24" s="79">
        <f ca="1">$H$11*$H$6+(1-$H$11)*P23+$H$7*Rand!F12</f>
        <v>0.2869499459308279</v>
      </c>
      <c r="Q24" s="79">
        <f ca="1">$H$11*$H$6+(1-$H$11)*Q23+$H$7*Rand!G12</f>
        <v>0.13104774052241361</v>
      </c>
      <c r="R24" s="79">
        <f ca="1">$H$11*$H$6+(1-$H$11)*R23+$H$7*Rand!H12</f>
        <v>0.25730059259454197</v>
      </c>
      <c r="S24" s="79">
        <f ca="1">$H$11*$H$6+(1-$H$11)*S23+$H$7*Rand!I12</f>
        <v>0.1827508445590513</v>
      </c>
      <c r="T24" s="79">
        <f ca="1">$H$11*$H$6+(1-$H$11)*T23+$H$7*Rand!J12</f>
        <v>0.30355734058647954</v>
      </c>
      <c r="U24" s="80">
        <f ca="1">$H$11*$H$6+(1-$H$11)*U23+$H$7*Rand!K12</f>
        <v>0.28582499099284853</v>
      </c>
      <c r="V24" s="92">
        <f t="shared" ca="1" si="5"/>
        <v>0.27604650133061381</v>
      </c>
    </row>
    <row r="25" spans="5:22">
      <c r="E25">
        <v>-0.19313448792234816</v>
      </c>
      <c r="G25">
        <f t="shared" si="3"/>
        <v>11</v>
      </c>
      <c r="H25" s="59">
        <f t="shared" si="4"/>
        <v>-2.188201012679792E-2</v>
      </c>
      <c r="I25" s="59">
        <f t="shared" si="2"/>
        <v>0.43987313150903101</v>
      </c>
      <c r="J25" s="59">
        <f t="shared" si="0"/>
        <v>0.26917216666666671</v>
      </c>
      <c r="K25" s="33">
        <v>11</v>
      </c>
      <c r="L25" s="79">
        <f ca="1">$H$11*$H$6+(1-$H$11)*L24+$H$7*Rand!B13</f>
        <v>0.28372357520851998</v>
      </c>
      <c r="M25" s="79">
        <f ca="1">$H$11*$H$6+(1-$H$11)*M24+$H$7*Rand!C13</f>
        <v>0.28265438525340392</v>
      </c>
      <c r="N25" s="79">
        <f ca="1">$H$11*$H$6+(1-$H$11)*N24+$H$7*Rand!D13</f>
        <v>0.15715037080986516</v>
      </c>
      <c r="O25" s="79">
        <f ca="1">$H$11*$H$6+(1-$H$11)*O24+$H$7*Rand!E13</f>
        <v>0.34095802256031721</v>
      </c>
      <c r="P25" s="79">
        <f ca="1">$H$11*$H$6+(1-$H$11)*P24+$H$7*Rand!F13</f>
        <v>0.34317115156754613</v>
      </c>
      <c r="Q25" s="79">
        <f ca="1">$H$11*$H$6+(1-$H$11)*Q24+$H$7*Rand!G13</f>
        <v>0.409611274175542</v>
      </c>
      <c r="R25" s="79">
        <f ca="1">$H$11*$H$6+(1-$H$11)*R24+$H$7*Rand!H13</f>
        <v>0.3729894036794183</v>
      </c>
      <c r="S25" s="79">
        <f ca="1">$H$11*$H$6+(1-$H$11)*S24+$H$7*Rand!I13</f>
        <v>0.40991269202971919</v>
      </c>
      <c r="T25" s="79">
        <f ca="1">$H$11*$H$6+(1-$H$11)*T24+$H$7*Rand!J13</f>
        <v>0.30575957634381062</v>
      </c>
      <c r="U25" s="80">
        <f ca="1">$H$11*$H$6+(1-$H$11)*U24+$H$7*Rand!K13</f>
        <v>0.30604971793885072</v>
      </c>
      <c r="V25" s="92">
        <f t="shared" ca="1" si="5"/>
        <v>0.32119801695669936</v>
      </c>
    </row>
    <row r="26" spans="5:22">
      <c r="E26">
        <v>-0.42018169613904433</v>
      </c>
      <c r="G26">
        <f t="shared" si="3"/>
        <v>12</v>
      </c>
      <c r="H26" s="59">
        <f t="shared" si="4"/>
        <v>-4.7606309100560081E-2</v>
      </c>
      <c r="I26" s="59">
        <f t="shared" si="2"/>
        <v>6.7934989207978802E-2</v>
      </c>
      <c r="J26" s="59">
        <f t="shared" si="0"/>
        <v>0.26917216666666671</v>
      </c>
      <c r="K26" s="33">
        <v>12</v>
      </c>
      <c r="L26" s="79">
        <f ca="1">$H$11*$H$6+(1-$H$11)*L25+$H$7*Rand!B14</f>
        <v>0.35035578478711915</v>
      </c>
      <c r="M26" s="79">
        <f ca="1">$H$11*$H$6+(1-$H$11)*M25+$H$7*Rand!C14</f>
        <v>0.32783247310925673</v>
      </c>
      <c r="N26" s="79">
        <f ca="1">$H$11*$H$6+(1-$H$11)*N25+$H$7*Rand!D14</f>
        <v>0.41461768769516694</v>
      </c>
      <c r="O26" s="79">
        <f ca="1">$H$11*$H$6+(1-$H$11)*O25+$H$7*Rand!E14</f>
        <v>0.29768669573834033</v>
      </c>
      <c r="P26" s="79">
        <f ca="1">$H$11*$H$6+(1-$H$11)*P25+$H$7*Rand!F14</f>
        <v>0.22188159598805815</v>
      </c>
      <c r="Q26" s="79">
        <f ca="1">$H$11*$H$6+(1-$H$11)*Q25+$H$7*Rand!G14</f>
        <v>0.22737273073440545</v>
      </c>
      <c r="R26" s="79">
        <f ca="1">$H$11*$H$6+(1-$H$11)*R25+$H$7*Rand!H14</f>
        <v>0.26274725453438263</v>
      </c>
      <c r="S26" s="79">
        <f ca="1">$H$11*$H$6+(1-$H$11)*S25+$H$7*Rand!I14</f>
        <v>0.21896288195361452</v>
      </c>
      <c r="T26" s="79">
        <f ca="1">$H$11*$H$6+(1-$H$11)*T25+$H$7*Rand!J14</f>
        <v>0.30327108531150848</v>
      </c>
      <c r="U26" s="80">
        <f ca="1">$H$11*$H$6+(1-$H$11)*U25+$H$7*Rand!K14</f>
        <v>0.24946318408749318</v>
      </c>
      <c r="V26" s="92">
        <f t="shared" ca="1" si="5"/>
        <v>0.28741913739393454</v>
      </c>
    </row>
    <row r="27" spans="5:22">
      <c r="E27">
        <v>0.95275051452224546</v>
      </c>
      <c r="G27">
        <f t="shared" si="3"/>
        <v>13</v>
      </c>
      <c r="H27" s="59">
        <f t="shared" si="4"/>
        <v>0.10794600504219583</v>
      </c>
      <c r="I27" s="59">
        <f t="shared" si="2"/>
        <v>0.55823163142168164</v>
      </c>
      <c r="J27" s="59">
        <f t="shared" si="0"/>
        <v>0.26917216666666671</v>
      </c>
      <c r="K27" s="33">
        <v>13</v>
      </c>
      <c r="L27" s="79">
        <f ca="1">$H$11*$H$6+(1-$H$11)*L26+$H$7*Rand!B15</f>
        <v>0.28300207076658945</v>
      </c>
      <c r="M27" s="79">
        <f ca="1">$H$11*$H$6+(1-$H$11)*M26+$H$7*Rand!C15</f>
        <v>0.30141636916225933</v>
      </c>
      <c r="N27" s="79">
        <f ca="1">$H$11*$H$6+(1-$H$11)*N26+$H$7*Rand!D15</f>
        <v>0.22518243336463156</v>
      </c>
      <c r="O27" s="79">
        <f ca="1">$H$11*$H$6+(1-$H$11)*O26+$H$7*Rand!E15</f>
        <v>0.31900908167516828</v>
      </c>
      <c r="P27" s="79">
        <f ca="1">$H$11*$H$6+(1-$H$11)*P26+$H$7*Rand!F15</f>
        <v>0.39007626508734239</v>
      </c>
      <c r="Q27" s="79">
        <f ca="1">$H$11*$H$6+(1-$H$11)*Q26+$H$7*Rand!G15</f>
        <v>0.35474159171074326</v>
      </c>
      <c r="R27" s="79">
        <f ca="1">$H$11*$H$6+(1-$H$11)*R26+$H$7*Rand!H15</f>
        <v>0.31036178488699362</v>
      </c>
      <c r="S27" s="79">
        <f ca="1">$H$11*$H$6+(1-$H$11)*S26+$H$7*Rand!I15</f>
        <v>0.39493232048304849</v>
      </c>
      <c r="T27" s="79">
        <f ca="1">$H$11*$H$6+(1-$H$11)*T26+$H$7*Rand!J15</f>
        <v>0.26307410936357045</v>
      </c>
      <c r="U27" s="80">
        <f ca="1">$H$11*$H$6+(1-$H$11)*U26+$H$7*Rand!K15</f>
        <v>0.30184100251792562</v>
      </c>
      <c r="V27" s="92">
        <f t="shared" ca="1" si="5"/>
        <v>0.31436370290182719</v>
      </c>
    </row>
    <row r="28" spans="5:22">
      <c r="E28">
        <v>-1.3237992159273282</v>
      </c>
      <c r="G28">
        <f t="shared" si="3"/>
        <v>14</v>
      </c>
      <c r="H28" s="59">
        <f t="shared" si="4"/>
        <v>-0.14998557823818395</v>
      </c>
      <c r="I28" s="59">
        <f t="shared" si="2"/>
        <v>-0.14096692985103068</v>
      </c>
      <c r="J28" s="59">
        <f t="shared" si="0"/>
        <v>0.26917216666666671</v>
      </c>
      <c r="K28" s="33">
        <v>14</v>
      </c>
      <c r="L28" s="79">
        <f ca="1">$H$11*$H$6+(1-$H$11)*L27+$H$7*Rand!B16</f>
        <v>0.32862379180014534</v>
      </c>
      <c r="M28" s="79">
        <f ca="1">$H$11*$H$6+(1-$H$11)*M27+$H$7*Rand!C16</f>
        <v>0.27432917937199325</v>
      </c>
      <c r="N28" s="79">
        <f ca="1">$H$11*$H$6+(1-$H$11)*N27+$H$7*Rand!D16</f>
        <v>0.41587829016880606</v>
      </c>
      <c r="O28" s="79">
        <f ca="1">$H$11*$H$6+(1-$H$11)*O27+$H$7*Rand!E16</f>
        <v>0.31308351407645302</v>
      </c>
      <c r="P28" s="79">
        <f ca="1">$H$11*$H$6+(1-$H$11)*P27+$H$7*Rand!F16</f>
        <v>0.17316472586656473</v>
      </c>
      <c r="Q28" s="79">
        <f ca="1">$H$11*$H$6+(1-$H$11)*Q27+$H$7*Rand!G16</f>
        <v>0.23721200556713384</v>
      </c>
      <c r="R28" s="79">
        <f ca="1">$H$11*$H$6+(1-$H$11)*R27+$H$7*Rand!H16</f>
        <v>0.31296191386317229</v>
      </c>
      <c r="S28" s="79">
        <f ca="1">$H$11*$H$6+(1-$H$11)*S27+$H$7*Rand!I16</f>
        <v>0.2446698221066558</v>
      </c>
      <c r="T28" s="79">
        <f ca="1">$H$11*$H$6+(1-$H$11)*T27+$H$7*Rand!J16</f>
        <v>0.3785248347029167</v>
      </c>
      <c r="U28" s="80">
        <f ca="1">$H$11*$H$6+(1-$H$11)*U27+$H$7*Rand!K16</f>
        <v>0.31122718371739544</v>
      </c>
      <c r="V28" s="92">
        <f t="shared" ca="1" si="5"/>
        <v>0.29896752612412358</v>
      </c>
    </row>
    <row r="29" spans="5:22">
      <c r="E29">
        <v>0.5244663558959739</v>
      </c>
      <c r="G29">
        <f t="shared" si="3"/>
        <v>15</v>
      </c>
      <c r="H29" s="59">
        <f t="shared" si="4"/>
        <v>5.9421692284677328E-2</v>
      </c>
      <c r="I29" s="59">
        <f t="shared" si="2"/>
        <v>0.69771904581727162</v>
      </c>
      <c r="J29" s="59">
        <f t="shared" si="0"/>
        <v>0.26917216666666671</v>
      </c>
      <c r="K29" s="33">
        <v>15</v>
      </c>
      <c r="L29" s="79">
        <f ca="1">$H$11*$H$6+(1-$H$11)*L28+$H$7*Rand!B17</f>
        <v>0.28241657083874511</v>
      </c>
      <c r="M29" s="79">
        <f ca="1">$H$11*$H$6+(1-$H$11)*M28+$H$7*Rand!C17</f>
        <v>0.3246305662633906</v>
      </c>
      <c r="N29" s="79">
        <f ca="1">$H$11*$H$6+(1-$H$11)*N28+$H$7*Rand!D17</f>
        <v>0.1666887883514068</v>
      </c>
      <c r="O29" s="79">
        <f ca="1">$H$11*$H$6+(1-$H$11)*O28+$H$7*Rand!E17</f>
        <v>0.26549165018059995</v>
      </c>
      <c r="P29" s="79">
        <f ca="1">$H$11*$H$6+(1-$H$11)*P28+$H$7*Rand!F17</f>
        <v>0.41716080049705279</v>
      </c>
      <c r="Q29" s="79">
        <f ca="1">$H$11*$H$6+(1-$H$11)*Q28+$H$7*Rand!G17</f>
        <v>0.36818817996376491</v>
      </c>
      <c r="R29" s="79">
        <f ca="1">$H$11*$H$6+(1-$H$11)*R28+$H$7*Rand!H17</f>
        <v>0.29507389350648594</v>
      </c>
      <c r="S29" s="79">
        <f ca="1">$H$11*$H$6+(1-$H$11)*S28+$H$7*Rand!I17</f>
        <v>0.37845500539130028</v>
      </c>
      <c r="T29" s="79">
        <f ca="1">$H$11*$H$6+(1-$H$11)*T28+$H$7*Rand!J17</f>
        <v>0.21947028437443306</v>
      </c>
      <c r="U29" s="80">
        <f ca="1">$H$11*$H$6+(1-$H$11)*U28+$H$7*Rand!K17</f>
        <v>0.33474561494029886</v>
      </c>
      <c r="V29" s="92">
        <f t="shared" ca="1" si="5"/>
        <v>0.30523213543074784</v>
      </c>
    </row>
    <row r="30" spans="5:22">
      <c r="E30">
        <v>-0.29939545236734622</v>
      </c>
      <c r="G30">
        <f t="shared" si="3"/>
        <v>16</v>
      </c>
      <c r="H30" s="59">
        <f t="shared" si="4"/>
        <v>-3.3921307328878339E-2</v>
      </c>
      <c r="I30" s="59">
        <f t="shared" si="2"/>
        <v>-0.15044133189775599</v>
      </c>
      <c r="J30" s="59">
        <f t="shared" si="0"/>
        <v>0.26917216666666671</v>
      </c>
      <c r="K30" s="33">
        <v>16</v>
      </c>
      <c r="L30" s="79">
        <f ca="1">$H$11*$H$6+(1-$H$11)*L29+$H$7*Rand!B18</f>
        <v>0.34408534264588675</v>
      </c>
      <c r="M30" s="79">
        <f ca="1">$H$11*$H$6+(1-$H$11)*M29+$H$7*Rand!C18</f>
        <v>0.29156517975614005</v>
      </c>
      <c r="N30" s="79">
        <f ca="1">$H$11*$H$6+(1-$H$11)*N29+$H$7*Rand!D18</f>
        <v>0.38554560829837448</v>
      </c>
      <c r="O30" s="79">
        <f ca="1">$H$11*$H$6+(1-$H$11)*O29+$H$7*Rand!E18</f>
        <v>0.30667874418525104</v>
      </c>
      <c r="P30" s="79">
        <f ca="1">$H$11*$H$6+(1-$H$11)*P29+$H$7*Rand!F18</f>
        <v>0.18226628702636855</v>
      </c>
      <c r="Q30" s="79">
        <f ca="1">$H$11*$H$6+(1-$H$11)*Q29+$H$7*Rand!G18</f>
        <v>0.23750071260522526</v>
      </c>
      <c r="R30" s="79">
        <f ca="1">$H$11*$H$6+(1-$H$11)*R29+$H$7*Rand!H18</f>
        <v>0.30468015155342115</v>
      </c>
      <c r="S30" s="79">
        <f ca="1">$H$11*$H$6+(1-$H$11)*S29+$H$7*Rand!I18</f>
        <v>0.17949685159337433</v>
      </c>
      <c r="T30" s="79">
        <f ca="1">$H$11*$H$6+(1-$H$11)*T29+$H$7*Rand!J18</f>
        <v>0.41466888565313476</v>
      </c>
      <c r="U30" s="80">
        <f ca="1">$H$11*$H$6+(1-$H$11)*U29+$H$7*Rand!K18</f>
        <v>0.2146366013278056</v>
      </c>
      <c r="V30" s="92">
        <f t="shared" ca="1" si="5"/>
        <v>0.28611243646449819</v>
      </c>
    </row>
    <row r="31" spans="5:22">
      <c r="E31">
        <v>0.13876317235619223</v>
      </c>
      <c r="G31">
        <f t="shared" si="3"/>
        <v>17</v>
      </c>
      <c r="H31" s="59">
        <f t="shared" si="4"/>
        <v>1.5721775926139242E-2</v>
      </c>
      <c r="I31" s="59">
        <f t="shared" si="2"/>
        <v>0.66254609130078634</v>
      </c>
      <c r="J31" s="59">
        <f t="shared" si="0"/>
        <v>0.26917216666666671</v>
      </c>
      <c r="K31" s="33">
        <v>17</v>
      </c>
      <c r="L31" s="79">
        <f ca="1">$H$11*$H$6+(1-$H$11)*L30+$H$7*Rand!B19</f>
        <v>0.20378211942441607</v>
      </c>
      <c r="M31" s="79">
        <f ca="1">$H$11*$H$6+(1-$H$11)*M30+$H$7*Rand!C19</f>
        <v>0.31923512997705111</v>
      </c>
      <c r="N31" s="79">
        <f ca="1">$H$11*$H$6+(1-$H$11)*N30+$H$7*Rand!D19</f>
        <v>0.23242219580844098</v>
      </c>
      <c r="O31" s="79">
        <f ca="1">$H$11*$H$6+(1-$H$11)*O30+$H$7*Rand!E19</f>
        <v>0.32076505280001855</v>
      </c>
      <c r="P31" s="79">
        <f ca="1">$H$11*$H$6+(1-$H$11)*P30+$H$7*Rand!F19</f>
        <v>0.44594782830821694</v>
      </c>
      <c r="Q31" s="79">
        <f ca="1">$H$11*$H$6+(1-$H$11)*Q30+$H$7*Rand!G19</f>
        <v>0.32821918009864093</v>
      </c>
      <c r="R31" s="79">
        <f ca="1">$H$11*$H$6+(1-$H$11)*R30+$H$7*Rand!H19</f>
        <v>0.35019155532155494</v>
      </c>
      <c r="S31" s="79">
        <f ca="1">$H$11*$H$6+(1-$H$11)*S30+$H$7*Rand!I19</f>
        <v>0.35417640548032164</v>
      </c>
      <c r="T31" s="79">
        <f ca="1">$H$11*$H$6+(1-$H$11)*T30+$H$7*Rand!J19</f>
        <v>0.19784904549166685</v>
      </c>
      <c r="U31" s="80">
        <f ca="1">$H$11*$H$6+(1-$H$11)*U30+$H$7*Rand!K19</f>
        <v>0.43092234803368901</v>
      </c>
      <c r="V31" s="92">
        <f t="shared" ca="1" si="5"/>
        <v>0.31835108607440177</v>
      </c>
    </row>
    <row r="32" spans="5:22">
      <c r="E32">
        <v>4.523183423285873E-4</v>
      </c>
      <c r="G32">
        <f t="shared" si="3"/>
        <v>18</v>
      </c>
      <c r="H32" s="59">
        <f t="shared" si="4"/>
        <v>5.124736992261086E-5</v>
      </c>
      <c r="I32" s="59">
        <f t="shared" si="2"/>
        <v>-8.4813118134118251E-2</v>
      </c>
      <c r="J32" s="59">
        <f t="shared" si="0"/>
        <v>0.26917216666666671</v>
      </c>
      <c r="K32" s="33">
        <v>18</v>
      </c>
      <c r="L32" s="79">
        <f ca="1">$H$11*$H$6+(1-$H$11)*L31+$H$7*Rand!B20</f>
        <v>0.40141508526878322</v>
      </c>
      <c r="M32" s="79">
        <f ca="1">$H$11*$H$6+(1-$H$11)*M31+$H$7*Rand!C20</f>
        <v>0.27016313394804747</v>
      </c>
      <c r="N32" s="79">
        <f ca="1">$H$11*$H$6+(1-$H$11)*N31+$H$7*Rand!D20</f>
        <v>0.37551962679112905</v>
      </c>
      <c r="O32" s="79">
        <f ca="1">$H$11*$H$6+(1-$H$11)*O31+$H$7*Rand!E20</f>
        <v>0.25417889566288626</v>
      </c>
      <c r="P32" s="79">
        <f ca="1">$H$11*$H$6+(1-$H$11)*P31+$H$7*Rand!F20</f>
        <v>0.19212737510226435</v>
      </c>
      <c r="Q32" s="79">
        <f ca="1">$H$11*$H$6+(1-$H$11)*Q31+$H$7*Rand!G20</f>
        <v>0.28494867610595392</v>
      </c>
      <c r="R32" s="79">
        <f ca="1">$H$11*$H$6+(1-$H$11)*R31+$H$7*Rand!H20</f>
        <v>0.22856340692956861</v>
      </c>
      <c r="S32" s="79">
        <f ca="1">$H$11*$H$6+(1-$H$11)*S31+$H$7*Rand!I20</f>
        <v>0.23917863921957966</v>
      </c>
      <c r="T32" s="79">
        <f ca="1">$H$11*$H$6+(1-$H$11)*T31+$H$7*Rand!J20</f>
        <v>0.42751314116477424</v>
      </c>
      <c r="U32" s="80">
        <f ca="1">$H$11*$H$6+(1-$H$11)*U31+$H$7*Rand!K20</f>
        <v>0.207209116323192</v>
      </c>
      <c r="V32" s="92">
        <f t="shared" ca="1" si="5"/>
        <v>0.28808170965161789</v>
      </c>
    </row>
    <row r="33" spans="5:22">
      <c r="E33">
        <v>1.1468699540626415</v>
      </c>
      <c r="G33">
        <f t="shared" si="3"/>
        <v>19</v>
      </c>
      <c r="H33" s="59">
        <f t="shared" si="4"/>
        <v>0.12993960953783165</v>
      </c>
      <c r="I33" s="59">
        <f t="shared" si="2"/>
        <v>0.71769853252520488</v>
      </c>
      <c r="J33" s="59">
        <f t="shared" si="0"/>
        <v>0.26917216666666671</v>
      </c>
      <c r="K33" s="33">
        <v>19</v>
      </c>
      <c r="L33" s="79">
        <f ca="1">$H$11*$H$6+(1-$H$11)*L32+$H$7*Rand!B21</f>
        <v>0.17756634566372331</v>
      </c>
      <c r="M33" s="79">
        <f ca="1">$H$11*$H$6+(1-$H$11)*M32+$H$7*Rand!C21</f>
        <v>0.27019381875107734</v>
      </c>
      <c r="N33" s="79">
        <f ca="1">$H$11*$H$6+(1-$H$11)*N32+$H$7*Rand!D21</f>
        <v>0.27328296821858694</v>
      </c>
      <c r="O33" s="79">
        <f ca="1">$H$11*$H$6+(1-$H$11)*O32+$H$7*Rand!E21</f>
        <v>0.39501376151363149</v>
      </c>
      <c r="P33" s="79">
        <f ca="1">$H$11*$H$6+(1-$H$11)*P32+$H$7*Rand!F21</f>
        <v>0.37475803902182597</v>
      </c>
      <c r="Q33" s="79">
        <f ca="1">$H$11*$H$6+(1-$H$11)*Q32+$H$7*Rand!G21</f>
        <v>0.3122419488230942</v>
      </c>
      <c r="R33" s="79">
        <f ca="1">$H$11*$H$6+(1-$H$11)*R32+$H$7*Rand!H21</f>
        <v>0.36584189948647988</v>
      </c>
      <c r="S33" s="79">
        <f ca="1">$H$11*$H$6+(1-$H$11)*S32+$H$7*Rand!I21</f>
        <v>0.3781539298347445</v>
      </c>
      <c r="T33" s="79">
        <f ca="1">$H$11*$H$6+(1-$H$11)*T32+$H$7*Rand!J21</f>
        <v>0.19874620420206485</v>
      </c>
      <c r="U33" s="80">
        <f ca="1">$H$11*$H$6+(1-$H$11)*U32+$H$7*Rand!K21</f>
        <v>0.32967447885933648</v>
      </c>
      <c r="V33" s="92">
        <f t="shared" ca="1" si="5"/>
        <v>0.30754733943745649</v>
      </c>
    </row>
    <row r="34" spans="5:22" ht="15.75" thickBot="1">
      <c r="E34">
        <v>-0.6533065714840367</v>
      </c>
      <c r="G34">
        <f t="shared" si="3"/>
        <v>20</v>
      </c>
      <c r="H34" s="59">
        <f t="shared" si="4"/>
        <v>-7.4019203752283991E-2</v>
      </c>
      <c r="I34" s="59">
        <f t="shared" si="2"/>
        <v>-0.20852076635830163</v>
      </c>
      <c r="J34" s="59">
        <f t="shared" si="0"/>
        <v>0.26917216666666671</v>
      </c>
      <c r="K34" s="35">
        <v>20</v>
      </c>
      <c r="L34" s="82">
        <f ca="1">$H$11*$H$6+(1-$H$11)*L33+$H$7*Rand!B22</f>
        <v>0.36908903164606344</v>
      </c>
      <c r="M34" s="82">
        <f ca="1">$H$11*$H$6+(1-$H$11)*M33+$H$7*Rand!C22</f>
        <v>0.34326950542844081</v>
      </c>
      <c r="N34" s="82">
        <f ca="1">$H$11*$H$6+(1-$H$11)*N33+$H$7*Rand!D22</f>
        <v>0.28250920329777374</v>
      </c>
      <c r="O34" s="82">
        <f ca="1">$H$11*$H$6+(1-$H$11)*O33+$H$7*Rand!E22</f>
        <v>0.1949752662760563</v>
      </c>
      <c r="P34" s="82">
        <f ca="1">$H$11*$H$6+(1-$H$11)*P33+$H$7*Rand!F22</f>
        <v>0.19377248550805667</v>
      </c>
      <c r="Q34" s="82">
        <f ca="1">$H$11*$H$6+(1-$H$11)*Q33+$H$7*Rand!G22</f>
        <v>0.27485797079315016</v>
      </c>
      <c r="R34" s="82">
        <f ca="1">$H$11*$H$6+(1-$H$11)*R33+$H$7*Rand!H22</f>
        <v>0.28305673934720194</v>
      </c>
      <c r="S34" s="82">
        <f ca="1">$H$11*$H$6+(1-$H$11)*S33+$H$7*Rand!I22</f>
        <v>0.22410767740913953</v>
      </c>
      <c r="T34" s="82">
        <f ca="1">$H$11*$H$6+(1-$H$11)*T33+$H$7*Rand!J22</f>
        <v>0.39837694020285808</v>
      </c>
      <c r="U34" s="83">
        <f ca="1">$H$11*$H$6+(1-$H$11)*U33+$H$7*Rand!K22</f>
        <v>0.23433810847336892</v>
      </c>
      <c r="V34" s="93">
        <f t="shared" ca="1" si="5"/>
        <v>0.27983529283821096</v>
      </c>
    </row>
    <row r="35" spans="5:22">
      <c r="E35">
        <v>1.2499377886730727</v>
      </c>
      <c r="G35">
        <f t="shared" si="3"/>
        <v>21</v>
      </c>
      <c r="H35" s="59">
        <f t="shared" si="4"/>
        <v>0.14161712723523726</v>
      </c>
      <c r="I35" s="59">
        <f t="shared" si="2"/>
        <v>0.84071293362437538</v>
      </c>
      <c r="J35" s="59">
        <f t="shared" si="0"/>
        <v>0.26917216666666671</v>
      </c>
      <c r="K35" s="33">
        <v>21</v>
      </c>
      <c r="L35" s="79">
        <f ca="1">$H$11*$H$6+(1-$H$11)*L34+$H$7*Rand!B23</f>
        <v>0.2505649365268327</v>
      </c>
      <c r="M35" s="79">
        <f ca="1">$H$11*$H$6+(1-$H$11)*M34+$H$7*Rand!C23</f>
        <v>0.24636312045678266</v>
      </c>
      <c r="N35" s="79">
        <f ca="1">$H$11*$H$6+(1-$H$11)*N34+$H$7*Rand!D23</f>
        <v>0.35247176981812306</v>
      </c>
      <c r="O35" s="79">
        <f ca="1">$H$11*$H$6+(1-$H$11)*O34+$H$7*Rand!E23</f>
        <v>0.42953385205603228</v>
      </c>
      <c r="P35" s="79">
        <f ca="1">$H$11*$H$6+(1-$H$11)*P34+$H$7*Rand!F23</f>
        <v>0.42586289766375929</v>
      </c>
      <c r="Q35" s="79">
        <f ca="1">$H$11*$H$6+(1-$H$11)*Q34+$H$7*Rand!G23</f>
        <v>0.35241317333040734</v>
      </c>
      <c r="R35" s="79">
        <f ca="1">$H$11*$H$6+(1-$H$11)*R34+$H$7*Rand!H23</f>
        <v>0.36250666250346408</v>
      </c>
      <c r="S35" s="79">
        <f ca="1">$H$11*$H$6+(1-$H$11)*S34+$H$7*Rand!I23</f>
        <v>0.40057055984359535</v>
      </c>
      <c r="T35" s="79">
        <f ca="1">$H$11*$H$6+(1-$H$11)*T34+$H$7*Rand!J23</f>
        <v>0.2477502313606261</v>
      </c>
      <c r="U35" s="80">
        <f ca="1">$H$11*$H$6+(1-$H$11)*U34+$H$7*Rand!K23</f>
        <v>0.3214449308499619</v>
      </c>
      <c r="V35" s="81">
        <f t="shared" ca="1" si="5"/>
        <v>0.33894821344095855</v>
      </c>
    </row>
    <row r="36" spans="5:22">
      <c r="E36">
        <v>-1.4734754356337607</v>
      </c>
      <c r="G36">
        <f t="shared" si="3"/>
        <v>22</v>
      </c>
      <c r="H36" s="59">
        <f t="shared" si="4"/>
        <v>-0.16694379523293335</v>
      </c>
      <c r="I36" s="59">
        <f t="shared" si="2"/>
        <v>-0.41215831882820442</v>
      </c>
      <c r="J36" s="59">
        <f t="shared" si="0"/>
        <v>0.26917216666666671</v>
      </c>
      <c r="K36" s="33">
        <v>22</v>
      </c>
      <c r="L36" s="79">
        <f ca="1">$H$11*$H$6+(1-$H$11)*L35+$H$7*Rand!B24</f>
        <v>0.32615174665447932</v>
      </c>
      <c r="M36" s="79">
        <f ca="1">$H$11*$H$6+(1-$H$11)*M35+$H$7*Rand!C24</f>
        <v>0.35243503795100922</v>
      </c>
      <c r="N36" s="79">
        <f ca="1">$H$11*$H$6+(1-$H$11)*N35+$H$7*Rand!D24</f>
        <v>0.27922204928234234</v>
      </c>
      <c r="O36" s="79">
        <f ca="1">$H$11*$H$6+(1-$H$11)*O35+$H$7*Rand!E24</f>
        <v>0.16095346448436013</v>
      </c>
      <c r="P36" s="79">
        <f ca="1">$H$11*$H$6+(1-$H$11)*P35+$H$7*Rand!F24</f>
        <v>0.17688118431318745</v>
      </c>
      <c r="Q36" s="79">
        <f ca="1">$H$11*$H$6+(1-$H$11)*Q35+$H$7*Rand!G24</f>
        <v>0.30255726863816845</v>
      </c>
      <c r="R36" s="79">
        <f ca="1">$H$11*$H$6+(1-$H$11)*R35+$H$7*Rand!H24</f>
        <v>0.2901339007060173</v>
      </c>
      <c r="S36" s="79">
        <f ca="1">$H$11*$H$6+(1-$H$11)*S35+$H$7*Rand!I24</f>
        <v>0.22162917466667265</v>
      </c>
      <c r="T36" s="79">
        <f ca="1">$H$11*$H$6+(1-$H$11)*T35+$H$7*Rand!J24</f>
        <v>0.32669805161983589</v>
      </c>
      <c r="U36" s="80">
        <f ca="1">$H$11*$H$6+(1-$H$11)*U35+$H$7*Rand!K24</f>
        <v>0.32375751831581356</v>
      </c>
      <c r="V36" s="81">
        <f t="shared" ca="1" si="5"/>
        <v>0.27604193966318863</v>
      </c>
    </row>
    <row r="37" spans="5:22">
      <c r="E37">
        <v>-0.64534546203374266</v>
      </c>
      <c r="G37">
        <f t="shared" si="3"/>
        <v>23</v>
      </c>
      <c r="H37" s="59">
        <f t="shared" si="4"/>
        <v>-7.3117215301200508E-2</v>
      </c>
      <c r="I37" s="59">
        <f t="shared" si="2"/>
        <v>0.80925238831085022</v>
      </c>
      <c r="J37" s="59">
        <f t="shared" si="0"/>
        <v>0.26917216666666671</v>
      </c>
      <c r="K37" s="33">
        <v>23</v>
      </c>
      <c r="L37" s="79">
        <f ca="1">$H$11*$H$6+(1-$H$11)*L36+$H$7*Rand!B25</f>
        <v>0.33021918014374813</v>
      </c>
      <c r="M37" s="79">
        <f ca="1">$H$11*$H$6+(1-$H$11)*M36+$H$7*Rand!C25</f>
        <v>0.2204918757891938</v>
      </c>
      <c r="N37" s="79">
        <f ca="1">$H$11*$H$6+(1-$H$11)*N36+$H$7*Rand!D25</f>
        <v>0.2654386857908782</v>
      </c>
      <c r="O37" s="79">
        <f ca="1">$H$11*$H$6+(1-$H$11)*O36+$H$7*Rand!E25</f>
        <v>0.46937537122652673</v>
      </c>
      <c r="P37" s="79">
        <f ca="1">$H$11*$H$6+(1-$H$11)*P36+$H$7*Rand!F25</f>
        <v>0.43719524920887248</v>
      </c>
      <c r="Q37" s="79">
        <f ca="1">$H$11*$H$6+(1-$H$11)*Q36+$H$7*Rand!G25</f>
        <v>0.28042122834705413</v>
      </c>
      <c r="R37" s="79">
        <f ca="1">$H$11*$H$6+(1-$H$11)*R36+$H$7*Rand!H25</f>
        <v>0.2524525443990201</v>
      </c>
      <c r="S37" s="79">
        <f ca="1">$H$11*$H$6+(1-$H$11)*S36+$H$7*Rand!I25</f>
        <v>0.36637878427195247</v>
      </c>
      <c r="T37" s="79">
        <f ca="1">$H$11*$H$6+(1-$H$11)*T36+$H$7*Rand!J25</f>
        <v>0.22903197702020558</v>
      </c>
      <c r="U37" s="80">
        <f ca="1">$H$11*$H$6+(1-$H$11)*U36+$H$7*Rand!K25</f>
        <v>0.2210254377342504</v>
      </c>
      <c r="V37" s="81">
        <f t="shared" ca="1" si="5"/>
        <v>0.30720303339317018</v>
      </c>
    </row>
    <row r="38" spans="5:22">
      <c r="E38">
        <v>0.55275716004055342</v>
      </c>
      <c r="G38">
        <f t="shared" si="3"/>
        <v>24</v>
      </c>
      <c r="H38" s="59">
        <f t="shared" si="4"/>
        <v>6.262702173902028E-2</v>
      </c>
      <c r="I38" s="59">
        <f t="shared" si="2"/>
        <v>-0.15427301107407815</v>
      </c>
      <c r="J38" s="59">
        <f t="shared" si="0"/>
        <v>0.26917216666666671</v>
      </c>
      <c r="K38" s="33">
        <v>24</v>
      </c>
      <c r="L38" s="79">
        <f ca="1">$H$11*$H$6+(1-$H$11)*L37+$H$7*Rand!B26</f>
        <v>0.29999175176127907</v>
      </c>
      <c r="M38" s="79">
        <f ca="1">$H$11*$H$6+(1-$H$11)*M37+$H$7*Rand!C26</f>
        <v>0.39863248373793403</v>
      </c>
      <c r="N38" s="79">
        <f ca="1">$H$11*$H$6+(1-$H$11)*N37+$H$7*Rand!D26</f>
        <v>0.36827351655315621</v>
      </c>
      <c r="O38" s="79">
        <f ca="1">$H$11*$H$6+(1-$H$11)*O37+$H$7*Rand!E26</f>
        <v>0.14832644534347006</v>
      </c>
      <c r="P38" s="79">
        <f ca="1">$H$11*$H$6+(1-$H$11)*P37+$H$7*Rand!F26</f>
        <v>0.21656940559455662</v>
      </c>
      <c r="Q38" s="79">
        <f ca="1">$H$11*$H$6+(1-$H$11)*Q37+$H$7*Rand!G26</f>
        <v>0.34743669126736632</v>
      </c>
      <c r="R38" s="79">
        <f ca="1">$H$11*$H$6+(1-$H$11)*R37+$H$7*Rand!H26</f>
        <v>0.33420107874721416</v>
      </c>
      <c r="S38" s="79">
        <f ca="1">$H$11*$H$6+(1-$H$11)*S37+$H$7*Rand!I26</f>
        <v>0.25021239202520507</v>
      </c>
      <c r="T38" s="79">
        <f ca="1">$H$11*$H$6+(1-$H$11)*T37+$H$7*Rand!J26</f>
        <v>0.35002104743548301</v>
      </c>
      <c r="U38" s="80">
        <f ca="1">$H$11*$H$6+(1-$H$11)*U37+$H$7*Rand!K26</f>
        <v>0.34557514605571932</v>
      </c>
      <c r="V38" s="81">
        <f t="shared" ca="1" si="5"/>
        <v>0.30592399585213836</v>
      </c>
    </row>
    <row r="39" spans="5:22">
      <c r="E39">
        <v>0.95615667153033135</v>
      </c>
      <c r="G39">
        <f t="shared" si="3"/>
        <v>25</v>
      </c>
      <c r="H39" s="59">
        <f t="shared" si="4"/>
        <v>0.10833192038515811</v>
      </c>
      <c r="I39" s="59">
        <f t="shared" si="2"/>
        <v>0.75860474701849523</v>
      </c>
      <c r="J39" s="59">
        <f t="shared" si="0"/>
        <v>0.26917216666666671</v>
      </c>
      <c r="K39" s="33">
        <v>25</v>
      </c>
      <c r="L39" s="79">
        <f ca="1">$H$11*$H$6+(1-$H$11)*L38+$H$7*Rand!B27</f>
        <v>0.32276182753712385</v>
      </c>
      <c r="M39" s="79">
        <f ca="1">$H$11*$H$6+(1-$H$11)*M38+$H$7*Rand!C27</f>
        <v>0.254762493755882</v>
      </c>
      <c r="N39" s="79">
        <f ca="1">$H$11*$H$6+(1-$H$11)*N38+$H$7*Rand!D27</f>
        <v>0.20342508277143545</v>
      </c>
      <c r="O39" s="79">
        <f ca="1">$H$11*$H$6+(1-$H$11)*O38+$H$7*Rand!E27</f>
        <v>0.44046721397217181</v>
      </c>
      <c r="P39" s="79">
        <f ca="1">$H$11*$H$6+(1-$H$11)*P38+$H$7*Rand!F27</f>
        <v>0.4111799024537654</v>
      </c>
      <c r="Q39" s="79">
        <f ca="1">$H$11*$H$6+(1-$H$11)*Q38+$H$7*Rand!G27</f>
        <v>0.21468451915048192</v>
      </c>
      <c r="R39" s="79">
        <f ca="1">$H$11*$H$6+(1-$H$11)*R38+$H$7*Rand!H27</f>
        <v>0.29731033893238279</v>
      </c>
      <c r="S39" s="79">
        <f ca="1">$H$11*$H$6+(1-$H$11)*S38+$H$7*Rand!I27</f>
        <v>0.38356007679568266</v>
      </c>
      <c r="T39" s="79">
        <f ca="1">$H$11*$H$6+(1-$H$11)*T38+$H$7*Rand!J27</f>
        <v>0.24203412742989633</v>
      </c>
      <c r="U39" s="80">
        <f ca="1">$H$11*$H$6+(1-$H$11)*U38+$H$7*Rand!K27</f>
        <v>0.20782170860799068</v>
      </c>
      <c r="V39" s="81">
        <f t="shared" ca="1" si="5"/>
        <v>0.29780072914068129</v>
      </c>
    </row>
    <row r="40" spans="5:22">
      <c r="E40">
        <v>1.0620591233544965</v>
      </c>
      <c r="G40">
        <f t="shared" si="3"/>
        <v>26</v>
      </c>
      <c r="H40" s="59">
        <f t="shared" si="4"/>
        <v>0.12033059834370496</v>
      </c>
      <c r="I40" s="59">
        <f t="shared" si="2"/>
        <v>-5.0986557306273883E-2</v>
      </c>
      <c r="J40" s="59">
        <f t="shared" si="0"/>
        <v>0.26917216666666671</v>
      </c>
      <c r="K40" s="33">
        <v>26</v>
      </c>
      <c r="L40" s="79">
        <f ca="1">$H$11*$H$6+(1-$H$11)*L39+$H$7*Rand!B28</f>
        <v>0.25051564666197579</v>
      </c>
      <c r="M40" s="79">
        <f ca="1">$H$11*$H$6+(1-$H$11)*M39+$H$7*Rand!C28</f>
        <v>0.3951496403236236</v>
      </c>
      <c r="N40" s="79">
        <f ca="1">$H$11*$H$6+(1-$H$11)*N39+$H$7*Rand!D28</f>
        <v>0.34233996171681985</v>
      </c>
      <c r="O40" s="79">
        <f ca="1">$H$11*$H$6+(1-$H$11)*O39+$H$7*Rand!E28</f>
        <v>0.1425813114784793</v>
      </c>
      <c r="P40" s="79">
        <f ca="1">$H$11*$H$6+(1-$H$11)*P39+$H$7*Rand!F28</f>
        <v>0.22216830837929574</v>
      </c>
      <c r="Q40" s="79">
        <f ca="1">$H$11*$H$6+(1-$H$11)*Q39+$H$7*Rand!G28</f>
        <v>0.33928264353490845</v>
      </c>
      <c r="R40" s="79">
        <f ca="1">$H$11*$H$6+(1-$H$11)*R39+$H$7*Rand!H28</f>
        <v>0.25844337243370152</v>
      </c>
      <c r="S40" s="79">
        <f ca="1">$H$11*$H$6+(1-$H$11)*S39+$H$7*Rand!I28</f>
        <v>0.21250190307226438</v>
      </c>
      <c r="T40" s="79">
        <f ca="1">$H$11*$H$6+(1-$H$11)*T39+$H$7*Rand!J28</f>
        <v>0.39886088503277672</v>
      </c>
      <c r="U40" s="80">
        <f ca="1">$H$11*$H$6+(1-$H$11)*U39+$H$7*Rand!K28</f>
        <v>0.38087898107207124</v>
      </c>
      <c r="V40" s="81">
        <f t="shared" ca="1" si="5"/>
        <v>0.2942722653705917</v>
      </c>
    </row>
    <row r="41" spans="5:22">
      <c r="E41">
        <v>-0.36894483515073118</v>
      </c>
      <c r="G41">
        <f t="shared" si="3"/>
        <v>27</v>
      </c>
      <c r="H41" s="59">
        <f t="shared" si="4"/>
        <v>-4.1801206536680437E-2</v>
      </c>
      <c r="I41" s="59">
        <f t="shared" si="2"/>
        <v>0.51551381170563282</v>
      </c>
      <c r="J41" s="59">
        <f t="shared" si="0"/>
        <v>0.26917216666666671</v>
      </c>
      <c r="K41" s="33">
        <v>27</v>
      </c>
      <c r="L41" s="79">
        <f ca="1">$H$11*$H$6+(1-$H$11)*L40+$H$7*Rand!B29</f>
        <v>0.37822808803735553</v>
      </c>
      <c r="M41" s="79">
        <f ca="1">$H$11*$H$6+(1-$H$11)*M40+$H$7*Rand!C29</f>
        <v>0.18401328284458365</v>
      </c>
      <c r="N41" s="79">
        <f ca="1">$H$11*$H$6+(1-$H$11)*N40+$H$7*Rand!D29</f>
        <v>0.22854082404209358</v>
      </c>
      <c r="O41" s="79">
        <f ca="1">$H$11*$H$6+(1-$H$11)*O40+$H$7*Rand!E29</f>
        <v>0.45730721367127675</v>
      </c>
      <c r="P41" s="79">
        <f ca="1">$H$11*$H$6+(1-$H$11)*P40+$H$7*Rand!F29</f>
        <v>0.40325434219656847</v>
      </c>
      <c r="Q41" s="79">
        <f ca="1">$H$11*$H$6+(1-$H$11)*Q40+$H$7*Rand!G29</f>
        <v>0.29635979688420588</v>
      </c>
      <c r="R41" s="79">
        <f ca="1">$H$11*$H$6+(1-$H$11)*R40+$H$7*Rand!H29</f>
        <v>0.32940624344048952</v>
      </c>
      <c r="S41" s="79">
        <f ca="1">$H$11*$H$6+(1-$H$11)*S40+$H$7*Rand!I29</f>
        <v>0.39150260747618987</v>
      </c>
      <c r="T41" s="79">
        <f ca="1">$H$11*$H$6+(1-$H$11)*T40+$H$7*Rand!J29</f>
        <v>0.19242253992341818</v>
      </c>
      <c r="U41" s="80">
        <f ca="1">$H$11*$H$6+(1-$H$11)*U40+$H$7*Rand!K29</f>
        <v>0.24892078896898145</v>
      </c>
      <c r="V41" s="81">
        <f t="shared" ca="1" si="5"/>
        <v>0.31099557274851625</v>
      </c>
    </row>
    <row r="42" spans="5:22">
      <c r="E42">
        <v>-0.38135889511814736</v>
      </c>
      <c r="G42">
        <f t="shared" si="3"/>
        <v>28</v>
      </c>
      <c r="H42" s="59">
        <f t="shared" si="4"/>
        <v>-4.3207711345033956E-2</v>
      </c>
      <c r="I42" s="59">
        <f t="shared" si="2"/>
        <v>4.2569747865633112E-3</v>
      </c>
      <c r="J42" s="59">
        <f t="shared" si="0"/>
        <v>0.26917216666666671</v>
      </c>
      <c r="K42" s="33">
        <v>28</v>
      </c>
      <c r="L42" s="79">
        <f ca="1">$H$11*$H$6+(1-$H$11)*L41+$H$7*Rand!B30</f>
        <v>0.18374013650294946</v>
      </c>
      <c r="M42" s="79">
        <f ca="1">$H$11*$H$6+(1-$H$11)*M41+$H$7*Rand!C30</f>
        <v>0.3825296363436983</v>
      </c>
      <c r="N42" s="79">
        <f ca="1">$H$11*$H$6+(1-$H$11)*N41+$H$7*Rand!D30</f>
        <v>0.30722887409808591</v>
      </c>
      <c r="O42" s="79">
        <f ca="1">$H$11*$H$6+(1-$H$11)*O41+$H$7*Rand!E30</f>
        <v>0.10528559517408285</v>
      </c>
      <c r="P42" s="79">
        <f ca="1">$H$11*$H$6+(1-$H$11)*P41+$H$7*Rand!F30</f>
        <v>0.21082491460284278</v>
      </c>
      <c r="Q42" s="79">
        <f ca="1">$H$11*$H$6+(1-$H$11)*Q41+$H$7*Rand!G30</f>
        <v>0.26768399778416729</v>
      </c>
      <c r="R42" s="79">
        <f ca="1">$H$11*$H$6+(1-$H$11)*R41+$H$7*Rand!H30</f>
        <v>0.26210307947196976</v>
      </c>
      <c r="S42" s="79">
        <f ca="1">$H$11*$H$6+(1-$H$11)*S41+$H$7*Rand!I30</f>
        <v>0.20487044936060778</v>
      </c>
      <c r="T42" s="79">
        <f ca="1">$H$11*$H$6+(1-$H$11)*T41+$H$7*Rand!J30</f>
        <v>0.43080965754151734</v>
      </c>
      <c r="U42" s="80">
        <f ca="1">$H$11*$H$6+(1-$H$11)*U41+$H$7*Rand!K30</f>
        <v>0.34116920097907288</v>
      </c>
      <c r="V42" s="81">
        <f t="shared" ca="1" si="5"/>
        <v>0.26962455418589942</v>
      </c>
    </row>
    <row r="43" spans="5:22">
      <c r="E43">
        <v>1.0641233965339754</v>
      </c>
      <c r="G43">
        <f t="shared" si="3"/>
        <v>29</v>
      </c>
      <c r="H43" s="59">
        <f t="shared" si="4"/>
        <v>0.12056447913373763</v>
      </c>
      <c r="I43" s="59">
        <f t="shared" si="2"/>
        <v>0.62816031849249732</v>
      </c>
      <c r="J43" s="59">
        <f t="shared" si="0"/>
        <v>0.26917216666666671</v>
      </c>
      <c r="K43" s="33">
        <v>29</v>
      </c>
      <c r="L43" s="79">
        <f ca="1">$H$11*$H$6+(1-$H$11)*L42+$H$7*Rand!B31</f>
        <v>0.41070958758462639</v>
      </c>
      <c r="M43" s="79">
        <f ca="1">$H$11*$H$6+(1-$H$11)*M42+$H$7*Rand!C31</f>
        <v>0.2372599524242355</v>
      </c>
      <c r="N43" s="79">
        <f ca="1">$H$11*$H$6+(1-$H$11)*N42+$H$7*Rand!D31</f>
        <v>0.29748313447234531</v>
      </c>
      <c r="O43" s="79">
        <f ca="1">$H$11*$H$6+(1-$H$11)*O42+$H$7*Rand!E31</f>
        <v>0.51482026995917118</v>
      </c>
      <c r="P43" s="79">
        <f ca="1">$H$11*$H$6+(1-$H$11)*P42+$H$7*Rand!F31</f>
        <v>0.3393269113906609</v>
      </c>
      <c r="Q43" s="79">
        <f ca="1">$H$11*$H$6+(1-$H$11)*Q42+$H$7*Rand!G31</f>
        <v>0.36561749594421022</v>
      </c>
      <c r="R43" s="79">
        <f ca="1">$H$11*$H$6+(1-$H$11)*R42+$H$7*Rand!H31</f>
        <v>0.30314948453200452</v>
      </c>
      <c r="S43" s="79">
        <f ca="1">$H$11*$H$6+(1-$H$11)*S42+$H$7*Rand!I31</f>
        <v>0.43742344598317184</v>
      </c>
      <c r="T43" s="79">
        <f ca="1">$H$11*$H$6+(1-$H$11)*T42+$H$7*Rand!J31</f>
        <v>0.16672342173736882</v>
      </c>
      <c r="U43" s="80">
        <f ca="1">$H$11*$H$6+(1-$H$11)*U42+$H$7*Rand!K31</f>
        <v>0.22296871462768311</v>
      </c>
      <c r="V43" s="81">
        <f t="shared" ca="1" si="5"/>
        <v>0.32954824186554782</v>
      </c>
    </row>
    <row r="44" spans="5:22">
      <c r="E44">
        <v>-0.69799436563122264</v>
      </c>
      <c r="G44">
        <f t="shared" si="3"/>
        <v>30</v>
      </c>
      <c r="H44" s="59">
        <f t="shared" si="4"/>
        <v>-7.9082301361583798E-2</v>
      </c>
      <c r="I44" s="59">
        <f t="shared" si="2"/>
        <v>-0.13299947133816459</v>
      </c>
      <c r="J44" s="59">
        <f t="shared" si="0"/>
        <v>0.26917216666666671</v>
      </c>
      <c r="K44" s="33">
        <v>30</v>
      </c>
      <c r="L44" s="79">
        <f ca="1">$H$11*$H$6+(1-$H$11)*L43+$H$7*Rand!B32</f>
        <v>0.23744697781600932</v>
      </c>
      <c r="M44" s="79">
        <f ca="1">$H$11*$H$6+(1-$H$11)*M43+$H$7*Rand!C32</f>
        <v>0.34434056347480474</v>
      </c>
      <c r="N44" s="79">
        <f ca="1">$H$11*$H$6+(1-$H$11)*N43+$H$7*Rand!D32</f>
        <v>0.26581766613499302</v>
      </c>
      <c r="O44" s="79">
        <f ca="1">$H$11*$H$6+(1-$H$11)*O43+$H$7*Rand!E32</f>
        <v>0.14683215396090665</v>
      </c>
      <c r="P44" s="79">
        <f ca="1">$H$11*$H$6+(1-$H$11)*P43+$H$7*Rand!F32</f>
        <v>0.30036065312578286</v>
      </c>
      <c r="Q44" s="79">
        <f ca="1">$H$11*$H$6+(1-$H$11)*Q43+$H$7*Rand!G32</f>
        <v>0.22586226285754674</v>
      </c>
      <c r="R44" s="79">
        <f ca="1">$H$11*$H$6+(1-$H$11)*R43+$H$7*Rand!H32</f>
        <v>0.33494904836430844</v>
      </c>
      <c r="S44" s="79">
        <f ca="1">$H$11*$H$6+(1-$H$11)*S43+$H$7*Rand!I32</f>
        <v>0.19980667590390849</v>
      </c>
      <c r="T44" s="79">
        <f ca="1">$H$11*$H$6+(1-$H$11)*T43+$H$7*Rand!J32</f>
        <v>0.39969923679705854</v>
      </c>
      <c r="U44" s="80">
        <f ca="1">$H$11*$H$6+(1-$H$11)*U43+$H$7*Rand!K32</f>
        <v>0.34514468688233174</v>
      </c>
      <c r="V44" s="81">
        <f t="shared" ca="1" si="5"/>
        <v>0.28002599253176508</v>
      </c>
    </row>
    <row r="45" spans="5:22">
      <c r="E45">
        <v>-0.82153409523389698</v>
      </c>
      <c r="G45">
        <f t="shared" si="3"/>
        <v>31</v>
      </c>
      <c r="H45" s="59">
        <f t="shared" si="4"/>
        <v>-9.307927126223918E-2</v>
      </c>
      <c r="I45" s="59">
        <f t="shared" si="2"/>
        <v>0.53804736960877575</v>
      </c>
      <c r="J45" s="59">
        <f t="shared" si="0"/>
        <v>0.26917216666666671</v>
      </c>
      <c r="K45" s="33">
        <v>31</v>
      </c>
      <c r="L45" s="79">
        <f ca="1">$H$11*$H$6+(1-$H$11)*L44+$H$7*Rand!B33</f>
        <v>0.29773555856714362</v>
      </c>
      <c r="M45" s="79">
        <f ca="1">$H$11*$H$6+(1-$H$11)*M44+$H$7*Rand!C33</f>
        <v>0.27600479188773019</v>
      </c>
      <c r="N45" s="79">
        <f ca="1">$H$11*$H$6+(1-$H$11)*N44+$H$7*Rand!D33</f>
        <v>0.32228791521015859</v>
      </c>
      <c r="O45" s="79">
        <f ca="1">$H$11*$H$6+(1-$H$11)*O44+$H$7*Rand!E33</f>
        <v>0.4880791309728027</v>
      </c>
      <c r="P45" s="79">
        <f ca="1">$H$11*$H$6+(1-$H$11)*P44+$H$7*Rand!F33</f>
        <v>0.3025217873771196</v>
      </c>
      <c r="Q45" s="79">
        <f ca="1">$H$11*$H$6+(1-$H$11)*Q44+$H$7*Rand!G33</f>
        <v>0.38257815650752314</v>
      </c>
      <c r="R45" s="79">
        <f ca="1">$H$11*$H$6+(1-$H$11)*R44+$H$7*Rand!H33</f>
        <v>0.25488296597397164</v>
      </c>
      <c r="S45" s="79">
        <f ca="1">$H$11*$H$6+(1-$H$11)*S44+$H$7*Rand!I33</f>
        <v>0.36258365277314464</v>
      </c>
      <c r="T45" s="79">
        <f ca="1">$H$11*$H$6+(1-$H$11)*T44+$H$7*Rand!J33</f>
        <v>0.17653788303582679</v>
      </c>
      <c r="U45" s="80">
        <f ca="1">$H$11*$H$6+(1-$H$11)*U44+$H$7*Rand!K33</f>
        <v>0.22047246967036555</v>
      </c>
      <c r="V45" s="81">
        <f t="shared" ca="1" si="5"/>
        <v>0.30836843119757867</v>
      </c>
    </row>
    <row r="46" spans="5:22">
      <c r="E46">
        <v>1.542165507112343</v>
      </c>
      <c r="G46">
        <f t="shared" si="3"/>
        <v>32</v>
      </c>
      <c r="H46" s="59">
        <f t="shared" si="4"/>
        <v>0.17472633503653973</v>
      </c>
      <c r="I46" s="59">
        <f t="shared" si="2"/>
        <v>0.20191081905530833</v>
      </c>
      <c r="J46" s="59">
        <f t="shared" si="0"/>
        <v>0.26917216666666671</v>
      </c>
      <c r="K46" s="33">
        <v>32</v>
      </c>
      <c r="L46" s="79">
        <f ca="1">$H$11*$H$6+(1-$H$11)*L45+$H$7*Rand!B34</f>
        <v>0.27319023861137071</v>
      </c>
      <c r="M46" s="79">
        <f ca="1">$H$11*$H$6+(1-$H$11)*M45+$H$7*Rand!C34</f>
        <v>0.31069895268670539</v>
      </c>
      <c r="N46" s="79">
        <f ca="1">$H$11*$H$6+(1-$H$11)*N45+$H$7*Rand!D34</f>
        <v>0.26589259802697862</v>
      </c>
      <c r="O46" s="79">
        <f ca="1">$H$11*$H$6+(1-$H$11)*O45+$H$7*Rand!E34</f>
        <v>9.2349743286452207E-2</v>
      </c>
      <c r="P46" s="79">
        <f ca="1">$H$11*$H$6+(1-$H$11)*P45+$H$7*Rand!F34</f>
        <v>0.27394281050919189</v>
      </c>
      <c r="Q46" s="79">
        <f ca="1">$H$11*$H$6+(1-$H$11)*Q45+$H$7*Rand!G34</f>
        <v>0.24528981465507138</v>
      </c>
      <c r="R46" s="79">
        <f ca="1">$H$11*$H$6+(1-$H$11)*R45+$H$7*Rand!H34</f>
        <v>0.38998857791360725</v>
      </c>
      <c r="S46" s="79">
        <f ca="1">$H$11*$H$6+(1-$H$11)*S45+$H$7*Rand!I34</f>
        <v>0.28005660123631154</v>
      </c>
      <c r="T46" s="79">
        <f ca="1">$H$11*$H$6+(1-$H$11)*T45+$H$7*Rand!J34</f>
        <v>0.38112699768697111</v>
      </c>
      <c r="U46" s="80">
        <f ca="1">$H$11*$H$6+(1-$H$11)*U45+$H$7*Rand!K34</f>
        <v>0.33442617077378478</v>
      </c>
      <c r="V46" s="81">
        <f t="shared" ca="1" si="5"/>
        <v>0.2846962505386445</v>
      </c>
    </row>
    <row r="47" spans="5:22">
      <c r="E47">
        <v>-0.2095823764905213</v>
      </c>
      <c r="G47">
        <f t="shared" si="3"/>
        <v>33</v>
      </c>
      <c r="H47" s="59">
        <f t="shared" si="4"/>
        <v>-2.3745545055670465E-2</v>
      </c>
      <c r="I47" s="59">
        <f t="shared" si="2"/>
        <v>0.30596183446121877</v>
      </c>
      <c r="J47" s="59">
        <f t="shared" si="0"/>
        <v>0.26917216666666671</v>
      </c>
      <c r="K47" s="33">
        <v>33</v>
      </c>
      <c r="L47" s="79">
        <f ca="1">$H$11*$H$6+(1-$H$11)*L46+$H$7*Rand!B35</f>
        <v>0.35787532568387409</v>
      </c>
      <c r="M47" s="79">
        <f ca="1">$H$11*$H$6+(1-$H$11)*M46+$H$7*Rand!C35</f>
        <v>0.30644771735010079</v>
      </c>
      <c r="N47" s="79">
        <f ca="1">$H$11*$H$6+(1-$H$11)*N46+$H$7*Rand!D35</f>
        <v>0.35915290666916311</v>
      </c>
      <c r="O47" s="79">
        <f ca="1">$H$11*$H$6+(1-$H$11)*O46+$H$7*Rand!E35</f>
        <v>0.49678414887794198</v>
      </c>
      <c r="P47" s="79">
        <f ca="1">$H$11*$H$6+(1-$H$11)*P46+$H$7*Rand!F35</f>
        <v>0.36361678952318055</v>
      </c>
      <c r="Q47" s="79">
        <f ca="1">$H$11*$H$6+(1-$H$11)*Q46+$H$7*Rand!G35</f>
        <v>0.38235863666729553</v>
      </c>
      <c r="R47" s="79">
        <f ca="1">$H$11*$H$6+(1-$H$11)*R46+$H$7*Rand!H35</f>
        <v>0.19646633589917253</v>
      </c>
      <c r="S47" s="79">
        <f ca="1">$H$11*$H$6+(1-$H$11)*S46+$H$7*Rand!I35</f>
        <v>0.32827584427039097</v>
      </c>
      <c r="T47" s="79">
        <f ca="1">$H$11*$H$6+(1-$H$11)*T46+$H$7*Rand!J35</f>
        <v>0.26032803172122604</v>
      </c>
      <c r="U47" s="80">
        <f ca="1">$H$11*$H$6+(1-$H$11)*U46+$H$7*Rand!K35</f>
        <v>0.283328870782522</v>
      </c>
      <c r="V47" s="81">
        <f t="shared" ca="1" si="5"/>
        <v>0.33346346074448674</v>
      </c>
    </row>
    <row r="48" spans="5:22">
      <c r="E48">
        <v>0.83045945801170062</v>
      </c>
      <c r="G48">
        <f t="shared" si="3"/>
        <v>34</v>
      </c>
      <c r="H48" s="59">
        <f t="shared" si="4"/>
        <v>9.4090508979491255E-2</v>
      </c>
      <c r="I48" s="59">
        <f t="shared" si="2"/>
        <v>0.33015197463106116</v>
      </c>
      <c r="J48" s="59">
        <f t="shared" si="0"/>
        <v>0.26917216666666671</v>
      </c>
      <c r="K48" s="33">
        <v>34</v>
      </c>
      <c r="L48" s="79">
        <f ca="1">$H$11*$H$6+(1-$H$11)*L47+$H$7*Rand!B36</f>
        <v>0.20950830307666263</v>
      </c>
      <c r="M48" s="79">
        <f ca="1">$H$11*$H$6+(1-$H$11)*M47+$H$7*Rand!C36</f>
        <v>0.29417986379448474</v>
      </c>
      <c r="N48" s="79">
        <f ca="1">$H$11*$H$6+(1-$H$11)*N47+$H$7*Rand!D36</f>
        <v>0.19858894321034248</v>
      </c>
      <c r="O48" s="79">
        <f ca="1">$H$11*$H$6+(1-$H$11)*O47+$H$7*Rand!E36</f>
        <v>0.12407766454373614</v>
      </c>
      <c r="P48" s="79">
        <f ca="1">$H$11*$H$6+(1-$H$11)*P47+$H$7*Rand!F36</f>
        <v>0.22865500273738937</v>
      </c>
      <c r="Q48" s="79">
        <f ca="1">$H$11*$H$6+(1-$H$11)*Q47+$H$7*Rand!G36</f>
        <v>0.27523028134817795</v>
      </c>
      <c r="R48" s="79">
        <f ca="1">$H$11*$H$6+(1-$H$11)*R47+$H$7*Rand!H36</f>
        <v>0.42016077094814053</v>
      </c>
      <c r="S48" s="79">
        <f ca="1">$H$11*$H$6+(1-$H$11)*S47+$H$7*Rand!I36</f>
        <v>0.26236937946857253</v>
      </c>
      <c r="T48" s="79">
        <f ca="1">$H$11*$H$6+(1-$H$11)*T47+$H$7*Rand!J36</f>
        <v>0.29244194654918221</v>
      </c>
      <c r="U48" s="80">
        <f ca="1">$H$11*$H$6+(1-$H$11)*U47+$H$7*Rand!K36</f>
        <v>0.35898569872799996</v>
      </c>
      <c r="V48" s="81">
        <f t="shared" ca="1" si="5"/>
        <v>0.26641978544046885</v>
      </c>
    </row>
    <row r="49" spans="5:22">
      <c r="E49">
        <v>-0.27832549065636114</v>
      </c>
      <c r="G49">
        <f t="shared" si="3"/>
        <v>35</v>
      </c>
      <c r="H49" s="59">
        <f t="shared" si="4"/>
        <v>-3.1534094560766252E-2</v>
      </c>
      <c r="I49" s="59">
        <f t="shared" si="2"/>
        <v>0.18275624493794548</v>
      </c>
      <c r="J49" s="59">
        <f t="shared" si="0"/>
        <v>0.26917216666666671</v>
      </c>
      <c r="K49" s="33">
        <v>35</v>
      </c>
      <c r="L49" s="79">
        <f ca="1">$H$11*$H$6+(1-$H$11)*L48+$H$7*Rand!B37</f>
        <v>0.42690859189558267</v>
      </c>
      <c r="M49" s="79">
        <f ca="1">$H$11*$H$6+(1-$H$11)*M48+$H$7*Rand!C37</f>
        <v>0.32707491803667088</v>
      </c>
      <c r="N49" s="79">
        <f ca="1">$H$11*$H$6+(1-$H$11)*N48+$H$7*Rand!D37</f>
        <v>0.4398109795102163</v>
      </c>
      <c r="O49" s="79">
        <f ca="1">$H$11*$H$6+(1-$H$11)*O48+$H$7*Rand!E37</f>
        <v>0.40803374082572386</v>
      </c>
      <c r="P49" s="79">
        <f ca="1">$H$11*$H$6+(1-$H$11)*P48+$H$7*Rand!F37</f>
        <v>0.39731722379132872</v>
      </c>
      <c r="Q49" s="79">
        <f ca="1">$H$11*$H$6+(1-$H$11)*Q48+$H$7*Rand!G37</f>
        <v>0.33564018610240443</v>
      </c>
      <c r="R49" s="79">
        <f ca="1">$H$11*$H$6+(1-$H$11)*R48+$H$7*Rand!H37</f>
        <v>0.24503022369037855</v>
      </c>
      <c r="S49" s="79">
        <f ca="1">$H$11*$H$6+(1-$H$11)*S48+$H$7*Rand!I37</f>
        <v>0.3225876845748134</v>
      </c>
      <c r="T49" s="79">
        <f ca="1">$H$11*$H$6+(1-$H$11)*T48+$H$7*Rand!J37</f>
        <v>0.26192488960802779</v>
      </c>
      <c r="U49" s="80">
        <f ca="1">$H$11*$H$6+(1-$H$11)*U48+$H$7*Rand!K37</f>
        <v>0.24775703464736171</v>
      </c>
      <c r="V49" s="81">
        <f t="shared" ca="1" si="5"/>
        <v>0.34120854726825078</v>
      </c>
    </row>
    <row r="50" spans="5:22">
      <c r="E50">
        <v>0.80774887803185647</v>
      </c>
      <c r="G50">
        <f t="shared" si="3"/>
        <v>36</v>
      </c>
      <c r="H50" s="59">
        <f t="shared" si="4"/>
        <v>9.151741524335745E-2</v>
      </c>
      <c r="I50" s="59">
        <f t="shared" si="2"/>
        <v>0.43846391146587327</v>
      </c>
      <c r="J50" s="59">
        <f t="shared" si="0"/>
        <v>0.26917216666666671</v>
      </c>
      <c r="K50" s="33">
        <v>36</v>
      </c>
      <c r="L50" s="79">
        <f ca="1">$H$11*$H$6+(1-$H$11)*L49+$H$7*Rand!B38</f>
        <v>0.18758703349304154</v>
      </c>
      <c r="M50" s="79">
        <f ca="1">$H$11*$H$6+(1-$H$11)*M49+$H$7*Rand!C38</f>
        <v>0.25187905678928191</v>
      </c>
      <c r="N50" s="79">
        <f ca="1">$H$11*$H$6+(1-$H$11)*N49+$H$7*Rand!D38</f>
        <v>0.18817215453179337</v>
      </c>
      <c r="O50" s="79">
        <f ca="1">$H$11*$H$6+(1-$H$11)*O49+$H$7*Rand!E38</f>
        <v>0.24242754037977868</v>
      </c>
      <c r="P50" s="79">
        <f ca="1">$H$11*$H$6+(1-$H$11)*P49+$H$7*Rand!F38</f>
        <v>0.23056964845411565</v>
      </c>
      <c r="Q50" s="79">
        <f ca="1">$H$11*$H$6+(1-$H$11)*Q49+$H$7*Rand!G38</f>
        <v>0.24409319131163301</v>
      </c>
      <c r="R50" s="79">
        <f ca="1">$H$11*$H$6+(1-$H$11)*R49+$H$7*Rand!H38</f>
        <v>0.36416752637062866</v>
      </c>
      <c r="S50" s="79">
        <f ca="1">$H$11*$H$6+(1-$H$11)*S49+$H$7*Rand!I38</f>
        <v>0.25293676908792223</v>
      </c>
      <c r="T50" s="79">
        <f ca="1">$H$11*$H$6+(1-$H$11)*T49+$H$7*Rand!J38</f>
        <v>0.35687077290768376</v>
      </c>
      <c r="U50" s="80">
        <f ca="1">$H$11*$H$6+(1-$H$11)*U49+$H$7*Rand!K38</f>
        <v>0.30657151017440898</v>
      </c>
      <c r="V50" s="81">
        <f t="shared" ca="1" si="5"/>
        <v>0.2625275203500288</v>
      </c>
    </row>
    <row r="51" spans="5:22">
      <c r="E51">
        <v>-0.33955759678441888</v>
      </c>
      <c r="G51">
        <f t="shared" si="3"/>
        <v>37</v>
      </c>
      <c r="H51" s="59">
        <f t="shared" si="4"/>
        <v>-3.8471651808014803E-2</v>
      </c>
      <c r="I51" s="59">
        <f t="shared" si="2"/>
        <v>7.8337944539366058E-2</v>
      </c>
      <c r="J51" s="59">
        <f t="shared" si="0"/>
        <v>0.26917216666666671</v>
      </c>
      <c r="K51" s="33">
        <v>37</v>
      </c>
      <c r="L51" s="79">
        <f ca="1">$H$11*$H$6+(1-$H$11)*L50+$H$7*Rand!B39</f>
        <v>0.37782589033300668</v>
      </c>
      <c r="M51" s="79">
        <f ca="1">$H$11*$H$6+(1-$H$11)*M50+$H$7*Rand!C39</f>
        <v>0.38058165986499565</v>
      </c>
      <c r="N51" s="79">
        <f ca="1">$H$11*$H$6+(1-$H$11)*N50+$H$7*Rand!D39</f>
        <v>0.34298649365743483</v>
      </c>
      <c r="O51" s="79">
        <f ca="1">$H$11*$H$6+(1-$H$11)*O50+$H$7*Rand!E39</f>
        <v>0.30247761637991588</v>
      </c>
      <c r="P51" s="79">
        <f ca="1">$H$11*$H$6+(1-$H$11)*P50+$H$7*Rand!F39</f>
        <v>0.34971396852734854</v>
      </c>
      <c r="Q51" s="79">
        <f ca="1">$H$11*$H$6+(1-$H$11)*Q50+$H$7*Rand!G39</f>
        <v>0.33857977072030943</v>
      </c>
      <c r="R51" s="79">
        <f ca="1">$H$11*$H$6+(1-$H$11)*R50+$H$7*Rand!H39</f>
        <v>0.27754955144630544</v>
      </c>
      <c r="S51" s="79">
        <f ca="1">$H$11*$H$6+(1-$H$11)*S50+$H$7*Rand!I39</f>
        <v>0.28472230902671536</v>
      </c>
      <c r="T51" s="79">
        <f ca="1">$H$11*$H$6+(1-$H$11)*T50+$H$7*Rand!J39</f>
        <v>0.20089923923582187</v>
      </c>
      <c r="U51" s="80">
        <f ca="1">$H$11*$H$6+(1-$H$11)*U50+$H$7*Rand!K39</f>
        <v>0.32095416674439037</v>
      </c>
      <c r="V51" s="81">
        <f t="shared" ca="1" si="5"/>
        <v>0.31762906659362439</v>
      </c>
    </row>
    <row r="52" spans="5:22">
      <c r="E52">
        <v>-0.73411808806878898</v>
      </c>
      <c r="G52">
        <f t="shared" si="3"/>
        <v>38</v>
      </c>
      <c r="H52" s="59">
        <f t="shared" si="4"/>
        <v>-8.317509529341785E-2</v>
      </c>
      <c r="I52" s="59">
        <f t="shared" si="2"/>
        <v>0.35774787128781949</v>
      </c>
      <c r="J52" s="59">
        <f t="shared" si="0"/>
        <v>0.26917216666666671</v>
      </c>
      <c r="K52" s="33">
        <v>38</v>
      </c>
      <c r="L52" s="79">
        <f ca="1">$H$11*$H$6+(1-$H$11)*L51+$H$7*Rand!B40</f>
        <v>0.18258392698028036</v>
      </c>
      <c r="M52" s="79">
        <f ca="1">$H$11*$H$6+(1-$H$11)*M51+$H$7*Rand!C40</f>
        <v>0.23404355030395471</v>
      </c>
      <c r="N52" s="79">
        <f ca="1">$H$11*$H$6+(1-$H$11)*N51+$H$7*Rand!D40</f>
        <v>0.22918501710456202</v>
      </c>
      <c r="O52" s="79">
        <f ca="1">$H$11*$H$6+(1-$H$11)*O51+$H$7*Rand!E40</f>
        <v>0.34770822902123827</v>
      </c>
      <c r="P52" s="79">
        <f ca="1">$H$11*$H$6+(1-$H$11)*P51+$H$7*Rand!F40</f>
        <v>0.26540940814054448</v>
      </c>
      <c r="Q52" s="79">
        <f ca="1">$H$11*$H$6+(1-$H$11)*Q51+$H$7*Rand!G40</f>
        <v>0.28146423251832992</v>
      </c>
      <c r="R52" s="79">
        <f ca="1">$H$11*$H$6+(1-$H$11)*R51+$H$7*Rand!H40</f>
        <v>0.33966046179812548</v>
      </c>
      <c r="S52" s="79">
        <f ca="1">$H$11*$H$6+(1-$H$11)*S51+$H$7*Rand!I40</f>
        <v>0.3572935454565489</v>
      </c>
      <c r="T52" s="79">
        <f ca="1">$H$11*$H$6+(1-$H$11)*T51+$H$7*Rand!J40</f>
        <v>0.36439208512675136</v>
      </c>
      <c r="U52" s="80">
        <f ca="1">$H$11*$H$6+(1-$H$11)*U51+$H$7*Rand!K40</f>
        <v>0.23944893736462924</v>
      </c>
      <c r="V52" s="81">
        <f t="shared" ca="1" si="5"/>
        <v>0.28411893938149652</v>
      </c>
    </row>
    <row r="53" spans="5:22">
      <c r="E53">
        <v>0.50739865651720617</v>
      </c>
      <c r="G53">
        <f t="shared" si="3"/>
        <v>39</v>
      </c>
      <c r="H53" s="59">
        <f t="shared" si="4"/>
        <v>5.7487933199673838E-2</v>
      </c>
      <c r="I53" s="59">
        <f t="shared" si="2"/>
        <v>0.24694196570730303</v>
      </c>
      <c r="J53" s="59">
        <f t="shared" si="0"/>
        <v>0.26917216666666671</v>
      </c>
      <c r="K53" s="33">
        <v>39</v>
      </c>
      <c r="L53" s="79">
        <f ca="1">$H$11*$H$6+(1-$H$11)*L52+$H$7*Rand!B41</f>
        <v>0.3950419871910068</v>
      </c>
      <c r="M53" s="79">
        <f ca="1">$H$11*$H$6+(1-$H$11)*M52+$H$7*Rand!C41</f>
        <v>0.34463847960641442</v>
      </c>
      <c r="N53" s="79">
        <f ca="1">$H$11*$H$6+(1-$H$11)*N52+$H$7*Rand!D41</f>
        <v>0.38684906784608264</v>
      </c>
      <c r="O53" s="79">
        <f ca="1">$H$11*$H$6+(1-$H$11)*O52+$H$7*Rand!E41</f>
        <v>0.19950798202641962</v>
      </c>
      <c r="P53" s="79">
        <f ca="1">$H$11*$H$6+(1-$H$11)*P52+$H$7*Rand!F41</f>
        <v>0.28761603587947404</v>
      </c>
      <c r="Q53" s="79">
        <f ca="1">$H$11*$H$6+(1-$H$11)*Q52+$H$7*Rand!G41</f>
        <v>0.29636385719097408</v>
      </c>
      <c r="R53" s="79">
        <f ca="1">$H$11*$H$6+(1-$H$11)*R52+$H$7*Rand!H41</f>
        <v>0.21040833975581247</v>
      </c>
      <c r="S53" s="79">
        <f ca="1">$H$11*$H$6+(1-$H$11)*S52+$H$7*Rand!I41</f>
        <v>0.29676227541498323</v>
      </c>
      <c r="T53" s="79">
        <f ca="1">$H$11*$H$6+(1-$H$11)*T52+$H$7*Rand!J41</f>
        <v>0.26333696719793243</v>
      </c>
      <c r="U53" s="80">
        <f ca="1">$H$11*$H$6+(1-$H$11)*U52+$H$7*Rand!K41</f>
        <v>0.39552303241439357</v>
      </c>
      <c r="V53" s="81">
        <f t="shared" ca="1" si="5"/>
        <v>0.30760480245234934</v>
      </c>
    </row>
    <row r="54" spans="5:22" ht="15.75" thickBot="1">
      <c r="E54">
        <v>1.9610339393997029</v>
      </c>
      <c r="G54">
        <f t="shared" si="3"/>
        <v>40</v>
      </c>
      <c r="H54" s="59">
        <f t="shared" si="4"/>
        <v>0.22218385220868322</v>
      </c>
      <c r="I54" s="59">
        <f t="shared" si="2"/>
        <v>0.5113631997387772</v>
      </c>
      <c r="J54" s="59">
        <f t="shared" si="0"/>
        <v>0.26917216666666671</v>
      </c>
      <c r="K54" s="35">
        <v>40</v>
      </c>
      <c r="L54" s="82">
        <f ca="1">$H$11*$H$6+(1-$H$11)*L53+$H$7*Rand!B42</f>
        <v>0.15859585635084492</v>
      </c>
      <c r="M54" s="82">
        <f ca="1">$H$11*$H$6+(1-$H$11)*M53+$H$7*Rand!C42</f>
        <v>0.23499305875330134</v>
      </c>
      <c r="N54" s="82">
        <f ca="1">$H$11*$H$6+(1-$H$11)*N53+$H$7*Rand!D42</f>
        <v>0.22248650525543659</v>
      </c>
      <c r="O54" s="82">
        <f ca="1">$H$11*$H$6+(1-$H$11)*O53+$H$7*Rand!E42</f>
        <v>0.34381365949962078</v>
      </c>
      <c r="P54" s="82">
        <f ca="1">$H$11*$H$6+(1-$H$11)*P53+$H$7*Rand!F42</f>
        <v>0.34356073615641392</v>
      </c>
      <c r="Q54" s="82">
        <f ca="1">$H$11*$H$6+(1-$H$11)*Q53+$H$7*Rand!G42</f>
        <v>0.27998325011657343</v>
      </c>
      <c r="R54" s="82">
        <f ca="1">$H$11*$H$6+(1-$H$11)*R53+$H$7*Rand!H42</f>
        <v>0.3824337378802859</v>
      </c>
      <c r="S54" s="82">
        <f ca="1">$H$11*$H$6+(1-$H$11)*S53+$H$7*Rand!I42</f>
        <v>0.31837662846436199</v>
      </c>
      <c r="T54" s="82">
        <f ca="1">$H$11*$H$6+(1-$H$11)*T53+$H$7*Rand!J42</f>
        <v>0.29253198425173377</v>
      </c>
      <c r="U54" s="83">
        <f ca="1">$H$11*$H$6+(1-$H$11)*U53+$H$7*Rand!K42</f>
        <v>0.22033209677550264</v>
      </c>
      <c r="V54" s="81">
        <f t="shared" ca="1" si="5"/>
        <v>0.27971075135040757</v>
      </c>
    </row>
    <row r="55" spans="5:22">
      <c r="E55">
        <v>-1.660321812800297</v>
      </c>
      <c r="G55">
        <f t="shared" si="3"/>
        <v>41</v>
      </c>
      <c r="H55" s="59">
        <f t="shared" si="4"/>
        <v>-0.1881133665575406</v>
      </c>
      <c r="I55" s="59">
        <f t="shared" si="2"/>
        <v>-0.13691312965577332</v>
      </c>
      <c r="J55" s="59">
        <f t="shared" si="0"/>
        <v>0.26917216666666671</v>
      </c>
      <c r="M55" s="1"/>
      <c r="N55" s="1"/>
      <c r="O55" s="1"/>
      <c r="R55" s="1"/>
      <c r="S55" s="1"/>
      <c r="T55" s="1"/>
    </row>
    <row r="56" spans="5:22">
      <c r="E56">
        <v>-1.7537336685785165</v>
      </c>
      <c r="G56">
        <f t="shared" si="3"/>
        <v>42</v>
      </c>
      <c r="H56" s="59">
        <f t="shared" si="4"/>
        <v>-0.1986968682205052</v>
      </c>
      <c r="I56" s="59">
        <f t="shared" si="2"/>
        <v>0.43595206513635748</v>
      </c>
      <c r="J56" s="59">
        <f t="shared" si="0"/>
        <v>0.26917216666666671</v>
      </c>
      <c r="M56" s="1"/>
      <c r="N56" s="1"/>
      <c r="O56" s="1"/>
      <c r="R56" s="1"/>
      <c r="S56" s="1"/>
      <c r="T56" s="1"/>
    </row>
    <row r="57" spans="5:22">
      <c r="E57">
        <v>-0.92353025239937581</v>
      </c>
      <c r="G57">
        <f t="shared" si="3"/>
        <v>43</v>
      </c>
      <c r="H57" s="59">
        <f t="shared" si="4"/>
        <v>-0.10463536861180645</v>
      </c>
      <c r="I57" s="59">
        <f t="shared" si="2"/>
        <v>1.4434889432138609E-2</v>
      </c>
      <c r="J57" s="59">
        <f t="shared" si="0"/>
        <v>0.26917216666666671</v>
      </c>
      <c r="M57" s="1"/>
      <c r="N57" s="1"/>
      <c r="O57" s="1"/>
      <c r="R57" s="1"/>
      <c r="S57" s="1"/>
      <c r="T57" s="1"/>
    </row>
    <row r="58" spans="5:22">
      <c r="E58">
        <v>0.57750444290858405</v>
      </c>
      <c r="G58">
        <f t="shared" si="3"/>
        <v>44</v>
      </c>
      <c r="H58" s="59">
        <f t="shared" si="4"/>
        <v>6.5430872569363446E-2</v>
      </c>
      <c r="I58" s="59">
        <f t="shared" si="2"/>
        <v>0.56386658874710549</v>
      </c>
      <c r="J58" s="59">
        <f t="shared" si="0"/>
        <v>0.26917216666666671</v>
      </c>
      <c r="M58" s="1"/>
      <c r="N58" s="1"/>
      <c r="O58" s="1"/>
      <c r="R58" s="1"/>
      <c r="S58" s="1"/>
      <c r="T58" s="1"/>
    </row>
    <row r="59" spans="5:22">
      <c r="E59">
        <v>-0.88067824864248889</v>
      </c>
      <c r="G59">
        <f t="shared" si="3"/>
        <v>45</v>
      </c>
      <c r="H59" s="59">
        <f t="shared" si="4"/>
        <v>-9.9780264843189054E-2</v>
      </c>
      <c r="I59" s="59">
        <f t="shared" si="2"/>
        <v>-9.5833078048917192E-2</v>
      </c>
      <c r="J59" s="59">
        <f t="shared" si="0"/>
        <v>0.26917216666666671</v>
      </c>
      <c r="M59" s="1"/>
      <c r="N59" s="1"/>
      <c r="O59" s="1"/>
      <c r="R59" s="1"/>
      <c r="S59" s="1"/>
      <c r="T59" s="1"/>
    </row>
    <row r="60" spans="5:22">
      <c r="E60">
        <v>-0.3994512831637469</v>
      </c>
      <c r="G60">
        <f t="shared" si="3"/>
        <v>46</v>
      </c>
      <c r="H60" s="59">
        <f t="shared" si="4"/>
        <v>-4.5257566980299584E-2</v>
      </c>
      <c r="I60" s="59">
        <f t="shared" si="2"/>
        <v>0.55241931993039262</v>
      </c>
      <c r="J60" s="59">
        <f t="shared" si="0"/>
        <v>0.26917216666666671</v>
      </c>
      <c r="M60" s="1"/>
      <c r="N60" s="1"/>
      <c r="O60" s="1"/>
      <c r="R60" s="1"/>
      <c r="S60" s="1"/>
      <c r="T60" s="1"/>
    </row>
    <row r="61" spans="5:22">
      <c r="E61">
        <v>-0.18689435657100162</v>
      </c>
      <c r="G61">
        <f t="shared" si="3"/>
        <v>47</v>
      </c>
      <c r="H61" s="59">
        <f t="shared" si="4"/>
        <v>-2.1175007359495096E-2</v>
      </c>
      <c r="I61" s="59">
        <f t="shared" si="2"/>
        <v>-6.9252786301816915E-3</v>
      </c>
      <c r="J61" s="59">
        <f t="shared" si="0"/>
        <v>0.26917216666666671</v>
      </c>
      <c r="M61" s="1"/>
      <c r="N61" s="1"/>
      <c r="O61" s="1"/>
      <c r="R61" s="1"/>
      <c r="S61" s="1"/>
      <c r="T61" s="1"/>
    </row>
    <row r="62" spans="5:22">
      <c r="E62">
        <v>0.70163474532212322</v>
      </c>
      <c r="G62">
        <f t="shared" si="3"/>
        <v>48</v>
      </c>
      <c r="H62" s="59">
        <f t="shared" si="4"/>
        <v>7.9494753980060229E-2</v>
      </c>
      <c r="I62" s="59">
        <f t="shared" si="2"/>
        <v>0.59715462141389053</v>
      </c>
      <c r="J62" s="59">
        <f t="shared" si="0"/>
        <v>0.26917216666666671</v>
      </c>
      <c r="M62" s="1"/>
      <c r="N62" s="1"/>
      <c r="O62" s="1"/>
      <c r="R62" s="1"/>
      <c r="S62" s="1"/>
      <c r="T62" s="1"/>
    </row>
    <row r="63" spans="5:22">
      <c r="E63">
        <v>1.6029257404662558</v>
      </c>
      <c r="G63">
        <f t="shared" si="3"/>
        <v>49</v>
      </c>
      <c r="H63" s="59">
        <f t="shared" si="4"/>
        <v>0.18161042940963526</v>
      </c>
      <c r="I63" s="59">
        <f t="shared" si="2"/>
        <v>0.15559838680380059</v>
      </c>
      <c r="J63" s="59">
        <f t="shared" si="0"/>
        <v>0.26917216666666671</v>
      </c>
      <c r="M63" s="1"/>
      <c r="N63" s="1"/>
      <c r="O63" s="1"/>
      <c r="R63" s="1"/>
      <c r="S63" s="1"/>
      <c r="T63" s="1"/>
    </row>
    <row r="64" spans="5:22">
      <c r="E64">
        <v>-1.5641244755841948</v>
      </c>
      <c r="G64">
        <f t="shared" si="3"/>
        <v>50</v>
      </c>
      <c r="H64" s="59">
        <f t="shared" si="4"/>
        <v>-0.1772142716844381</v>
      </c>
      <c r="I64" s="59">
        <f t="shared" si="2"/>
        <v>0.1941742968588081</v>
      </c>
      <c r="J64" s="59">
        <f t="shared" si="0"/>
        <v>0.26917216666666671</v>
      </c>
      <c r="M64" s="1"/>
      <c r="N64" s="1"/>
      <c r="O64" s="1"/>
      <c r="R64" s="1"/>
      <c r="S64" s="1"/>
      <c r="T64" s="1"/>
    </row>
    <row r="65" spans="5:20">
      <c r="E65">
        <v>-0.12163303667536901</v>
      </c>
      <c r="G65">
        <f t="shared" si="3"/>
        <v>51</v>
      </c>
      <c r="H65" s="59">
        <f t="shared" si="4"/>
        <v>-1.3780942849283983E-2</v>
      </c>
      <c r="I65" s="59">
        <f t="shared" si="2"/>
        <v>0.32288930664445548</v>
      </c>
      <c r="J65" s="59">
        <f t="shared" si="0"/>
        <v>0.26917216666666671</v>
      </c>
      <c r="M65" s="1"/>
      <c r="N65" s="1"/>
      <c r="O65" s="1"/>
      <c r="R65" s="1"/>
      <c r="S65" s="1"/>
      <c r="T65" s="1"/>
    </row>
    <row r="66" spans="5:20">
      <c r="E66">
        <v>-1.5249748128373097</v>
      </c>
      <c r="G66">
        <f t="shared" si="3"/>
        <v>52</v>
      </c>
      <c r="H66" s="59">
        <f t="shared" si="4"/>
        <v>-0.17277864071089341</v>
      </c>
      <c r="I66" s="59">
        <f t="shared" si="2"/>
        <v>4.8048099975763453E-2</v>
      </c>
      <c r="J66" s="59">
        <f t="shared" si="0"/>
        <v>0.26917216666666671</v>
      </c>
      <c r="M66" s="1"/>
      <c r="N66" s="1"/>
      <c r="O66" s="1"/>
      <c r="R66" s="1"/>
      <c r="S66" s="1"/>
      <c r="T66" s="1"/>
    </row>
    <row r="67" spans="5:20">
      <c r="E67">
        <v>1.5912474980177866</v>
      </c>
      <c r="G67">
        <f t="shared" si="3"/>
        <v>53</v>
      </c>
      <c r="H67" s="59">
        <f t="shared" si="4"/>
        <v>0.18028729224097303</v>
      </c>
      <c r="I67" s="59">
        <f t="shared" si="2"/>
        <v>0.64847111892945264</v>
      </c>
      <c r="J67" s="59">
        <f t="shared" si="0"/>
        <v>0.26917216666666671</v>
      </c>
      <c r="M67" s="1"/>
      <c r="N67" s="1"/>
      <c r="O67" s="1"/>
      <c r="R67" s="1"/>
      <c r="S67" s="1"/>
      <c r="T67" s="1"/>
    </row>
    <row r="68" spans="5:20">
      <c r="E68">
        <v>-0.60638874102271845</v>
      </c>
      <c r="G68">
        <f t="shared" si="3"/>
        <v>54</v>
      </c>
      <c r="H68" s="59">
        <f t="shared" si="4"/>
        <v>-6.8703444499101138E-2</v>
      </c>
      <c r="I68" s="59">
        <f t="shared" si="2"/>
        <v>-0.14090033486894171</v>
      </c>
      <c r="J68" s="59">
        <f t="shared" si="0"/>
        <v>0.26917216666666671</v>
      </c>
      <c r="M68" s="1"/>
      <c r="N68" s="1"/>
      <c r="O68" s="1"/>
      <c r="R68" s="1"/>
      <c r="S68" s="1"/>
      <c r="T68" s="1"/>
    </row>
    <row r="69" spans="5:20">
      <c r="E69">
        <v>-0.67009589550621773</v>
      </c>
      <c r="G69">
        <f t="shared" si="3"/>
        <v>55</v>
      </c>
      <c r="H69" s="59">
        <f t="shared" si="4"/>
        <v>-7.5921423092949691E-2</v>
      </c>
      <c r="I69" s="59">
        <f t="shared" si="2"/>
        <v>0.56231599495576456</v>
      </c>
      <c r="J69" s="59">
        <f t="shared" si="0"/>
        <v>0.26917216666666671</v>
      </c>
      <c r="M69" s="1"/>
      <c r="N69" s="1"/>
      <c r="O69" s="1"/>
      <c r="R69" s="1"/>
      <c r="S69" s="1"/>
      <c r="T69" s="1"/>
    </row>
    <row r="70" spans="5:20">
      <c r="E70">
        <v>-0.23831446022566327</v>
      </c>
      <c r="G70">
        <f t="shared" si="3"/>
        <v>56</v>
      </c>
      <c r="H70" s="59">
        <f t="shared" si="4"/>
        <v>-2.7000871196639985E-2</v>
      </c>
      <c r="I70" s="59">
        <f t="shared" si="2"/>
        <v>-2.1658149990161267E-2</v>
      </c>
      <c r="J70" s="59">
        <f t="shared" si="0"/>
        <v>0.26917216666666671</v>
      </c>
      <c r="M70" s="1"/>
      <c r="N70" s="1"/>
      <c r="O70" s="1"/>
      <c r="R70" s="1"/>
      <c r="S70" s="1"/>
      <c r="T70" s="1"/>
    </row>
    <row r="71" spans="5:20">
      <c r="E71">
        <v>-0.24597394664620048</v>
      </c>
      <c r="G71">
        <f t="shared" si="3"/>
        <v>57</v>
      </c>
      <c r="H71" s="59">
        <f t="shared" si="4"/>
        <v>-2.7868685957345249E-2</v>
      </c>
      <c r="I71" s="59">
        <f t="shared" si="2"/>
        <v>0.50305076570046658</v>
      </c>
      <c r="J71" s="59">
        <f t="shared" si="0"/>
        <v>0.26917216666666671</v>
      </c>
      <c r="M71" s="1"/>
      <c r="N71" s="1"/>
      <c r="O71" s="1"/>
      <c r="R71" s="1"/>
      <c r="S71" s="1"/>
      <c r="T71" s="1"/>
    </row>
    <row r="72" spans="5:20">
      <c r="E72">
        <v>2.3268078344557628</v>
      </c>
      <c r="G72">
        <f t="shared" si="3"/>
        <v>58</v>
      </c>
      <c r="H72" s="59">
        <f t="shared" si="4"/>
        <v>0.26362579332358688</v>
      </c>
      <c r="I72" s="59">
        <f t="shared" si="2"/>
        <v>0.32230722085983371</v>
      </c>
      <c r="J72" s="59">
        <f t="shared" si="0"/>
        <v>0.26917216666666671</v>
      </c>
      <c r="M72" s="1"/>
      <c r="N72" s="1"/>
      <c r="O72" s="1"/>
      <c r="R72" s="1"/>
      <c r="S72" s="1"/>
      <c r="T72" s="1"/>
    </row>
    <row r="73" spans="5:20">
      <c r="E73">
        <v>-0.40973259217050162</v>
      </c>
      <c r="G73">
        <f t="shared" si="3"/>
        <v>59</v>
      </c>
      <c r="H73" s="59">
        <f t="shared" si="4"/>
        <v>-4.6422432511167379E-2</v>
      </c>
      <c r="I73" s="59">
        <f t="shared" si="2"/>
        <v>0.17492818538164903</v>
      </c>
      <c r="J73" s="59">
        <f t="shared" si="0"/>
        <v>0.26917216666666671</v>
      </c>
      <c r="M73" s="1"/>
      <c r="N73" s="1"/>
      <c r="O73" s="1"/>
      <c r="R73" s="1"/>
      <c r="S73" s="1"/>
      <c r="T73" s="1"/>
    </row>
    <row r="74" spans="5:20">
      <c r="E74">
        <v>-0.7866741887224673</v>
      </c>
      <c r="G74">
        <f t="shared" si="3"/>
        <v>60</v>
      </c>
      <c r="H74" s="59">
        <f t="shared" si="4"/>
        <v>-8.9129666841463603E-2</v>
      </c>
      <c r="I74" s="59">
        <f t="shared" si="2"/>
        <v>0.26486208298171898</v>
      </c>
      <c r="J74" s="59">
        <f t="shared" si="0"/>
        <v>0.26917216666666671</v>
      </c>
      <c r="M74" s="1"/>
      <c r="N74" s="1"/>
      <c r="O74" s="1"/>
      <c r="R74" s="1"/>
      <c r="S74" s="1"/>
      <c r="T74" s="1"/>
    </row>
    <row r="75" spans="5:20">
      <c r="E75">
        <v>0.82766321943630028</v>
      </c>
      <c r="G75">
        <f t="shared" si="3"/>
        <v>61</v>
      </c>
      <c r="H75" s="59">
        <f t="shared" si="4"/>
        <v>9.3773696992765956E-2</v>
      </c>
      <c r="I75" s="59">
        <f t="shared" si="2"/>
        <v>0.36682493897588564</v>
      </c>
      <c r="J75" s="59">
        <f t="shared" si="0"/>
        <v>0.26917216666666671</v>
      </c>
    </row>
    <row r="76" spans="5:20">
      <c r="E76">
        <v>-1.1521092497047452</v>
      </c>
      <c r="G76">
        <f t="shared" si="3"/>
        <v>62</v>
      </c>
      <c r="H76" s="59">
        <f t="shared" si="4"/>
        <v>-0.13053321827923831</v>
      </c>
      <c r="I76" s="59">
        <f t="shared" si="2"/>
        <v>5.0751453309131389E-2</v>
      </c>
      <c r="J76" s="59">
        <f t="shared" si="0"/>
        <v>0.26917216666666671</v>
      </c>
    </row>
    <row r="77" spans="5:20">
      <c r="E77">
        <v>8.3436069529012141E-2</v>
      </c>
      <c r="G77">
        <f t="shared" si="3"/>
        <v>63</v>
      </c>
      <c r="H77" s="59">
        <f t="shared" si="4"/>
        <v>9.4532516590621635E-3</v>
      </c>
      <c r="I77" s="59">
        <f t="shared" si="2"/>
        <v>0.47520406034751067</v>
      </c>
      <c r="J77" s="59">
        <f t="shared" si="0"/>
        <v>0.26917216666666671</v>
      </c>
    </row>
    <row r="78" spans="5:20">
      <c r="E78">
        <v>2.1421591123805506</v>
      </c>
      <c r="G78">
        <f t="shared" si="3"/>
        <v>64</v>
      </c>
      <c r="H78" s="59">
        <f t="shared" si="4"/>
        <v>0.24270521487167096</v>
      </c>
      <c r="I78" s="59">
        <f t="shared" si="2"/>
        <v>0.32644867722557813</v>
      </c>
      <c r="J78" s="59">
        <f t="shared" ref="J78:J114" si="6">$H$6</f>
        <v>0.26917216666666671</v>
      </c>
    </row>
    <row r="79" spans="5:20">
      <c r="E79">
        <v>-0.52178311896196483</v>
      </c>
      <c r="G79">
        <f t="shared" si="3"/>
        <v>65</v>
      </c>
      <c r="H79" s="59">
        <f t="shared" si="4"/>
        <v>-5.9117683309407247E-2</v>
      </c>
      <c r="I79" s="59">
        <f t="shared" ref="I79:I114" si="7">$H$11*$H$6+(1-$H$11)*I78+H79</f>
        <v>0.15850562385423922</v>
      </c>
      <c r="J79" s="59">
        <f t="shared" si="6"/>
        <v>0.26917216666666671</v>
      </c>
    </row>
    <row r="80" spans="5:20">
      <c r="E80">
        <v>0.75149613610999411</v>
      </c>
      <c r="G80">
        <f t="shared" ref="G80:G114" si="8">G79+1</f>
        <v>66</v>
      </c>
      <c r="H80" s="59">
        <f t="shared" ref="H80:H114" si="9">$H$7*E80</f>
        <v>8.5144016677228498E-2</v>
      </c>
      <c r="I80" s="59">
        <f t="shared" si="7"/>
        <v>0.45391607187507993</v>
      </c>
      <c r="J80" s="59">
        <f t="shared" si="6"/>
        <v>0.26917216666666671</v>
      </c>
    </row>
    <row r="81" spans="5:10">
      <c r="E81">
        <v>0.45279749744230535</v>
      </c>
      <c r="G81">
        <f t="shared" si="8"/>
        <v>67</v>
      </c>
      <c r="H81" s="59">
        <f t="shared" si="9"/>
        <v>5.130165788103546E-2</v>
      </c>
      <c r="I81" s="59">
        <f t="shared" si="7"/>
        <v>0.15420430986013028</v>
      </c>
      <c r="J81" s="59">
        <f t="shared" si="6"/>
        <v>0.26917216666666671</v>
      </c>
    </row>
    <row r="82" spans="5:10">
      <c r="E82">
        <v>1.1109592598390372</v>
      </c>
      <c r="G82">
        <f t="shared" si="8"/>
        <v>68</v>
      </c>
      <c r="H82" s="59">
        <f t="shared" si="9"/>
        <v>0.1258709515621666</v>
      </c>
      <c r="I82" s="59">
        <f t="shared" si="7"/>
        <v>0.49851418935471609</v>
      </c>
      <c r="J82" s="59">
        <f t="shared" si="6"/>
        <v>0.26917216666666671</v>
      </c>
    </row>
    <row r="83" spans="5:10">
      <c r="E83">
        <v>1.1395744560199397</v>
      </c>
      <c r="G83">
        <f t="shared" si="8"/>
        <v>69</v>
      </c>
      <c r="H83" s="59">
        <f t="shared" si="9"/>
        <v>0.1291130344203176</v>
      </c>
      <c r="I83" s="59">
        <f t="shared" si="7"/>
        <v>0.19187738066773988</v>
      </c>
      <c r="J83" s="59">
        <f t="shared" si="6"/>
        <v>0.26917216666666671</v>
      </c>
    </row>
    <row r="84" spans="5:10">
      <c r="E84">
        <v>1.4174203302955366</v>
      </c>
      <c r="G84">
        <f t="shared" si="8"/>
        <v>70</v>
      </c>
      <c r="H84" s="59">
        <f t="shared" si="9"/>
        <v>0.16059278876140706</v>
      </c>
      <c r="I84" s="59">
        <f t="shared" si="7"/>
        <v>0.49933026282710791</v>
      </c>
      <c r="J84" s="59">
        <f t="shared" si="6"/>
        <v>0.26917216666666671</v>
      </c>
    </row>
    <row r="85" spans="5:10">
      <c r="E85">
        <v>0.97401013655813751</v>
      </c>
      <c r="G85">
        <f t="shared" si="8"/>
        <v>71</v>
      </c>
      <c r="H85" s="59">
        <f t="shared" si="9"/>
        <v>0.11035470620005597</v>
      </c>
      <c r="I85" s="59">
        <f t="shared" si="7"/>
        <v>0.17238458632232564</v>
      </c>
      <c r="J85" s="59">
        <f t="shared" si="6"/>
        <v>0.26917216666666671</v>
      </c>
    </row>
    <row r="86" spans="5:10">
      <c r="E86">
        <v>0.79965244053282114</v>
      </c>
      <c r="G86">
        <f t="shared" si="8"/>
        <v>72</v>
      </c>
      <c r="H86" s="59">
        <f t="shared" si="9"/>
        <v>9.0600094213588236E-2</v>
      </c>
      <c r="I86" s="59">
        <f t="shared" si="7"/>
        <v>0.4468810831901619</v>
      </c>
      <c r="J86" s="59">
        <f t="shared" si="6"/>
        <v>0.26917216666666671</v>
      </c>
    </row>
    <row r="87" spans="5:10">
      <c r="E87">
        <v>1.2297864042064965</v>
      </c>
      <c r="G87">
        <f t="shared" si="8"/>
        <v>73</v>
      </c>
      <c r="H87" s="59">
        <f t="shared" si="9"/>
        <v>0.13933398866319774</v>
      </c>
      <c r="I87" s="59">
        <f t="shared" si="7"/>
        <v>0.24856813045871878</v>
      </c>
      <c r="J87" s="59">
        <f t="shared" si="6"/>
        <v>0.26917216666666671</v>
      </c>
    </row>
    <row r="88" spans="5:10">
      <c r="E88">
        <v>0.76757012631824595</v>
      </c>
      <c r="G88">
        <f t="shared" si="8"/>
        <v>74</v>
      </c>
      <c r="H88" s="59">
        <f t="shared" si="9"/>
        <v>8.6965189168474261E-2</v>
      </c>
      <c r="I88" s="59">
        <f t="shared" si="7"/>
        <v>0.37468098842229414</v>
      </c>
      <c r="J88" s="59">
        <f t="shared" si="6"/>
        <v>0.26917216666666671</v>
      </c>
    </row>
    <row r="89" spans="5:10">
      <c r="E89">
        <v>0.47095169439902496</v>
      </c>
      <c r="G89">
        <f t="shared" si="8"/>
        <v>75</v>
      </c>
      <c r="H89" s="59">
        <f t="shared" si="9"/>
        <v>5.3358516425173586E-2</v>
      </c>
      <c r="I89" s="59">
        <f t="shared" si="7"/>
        <v>0.22757274351177564</v>
      </c>
      <c r="J89" s="59">
        <f t="shared" si="6"/>
        <v>0.26917216666666671</v>
      </c>
    </row>
    <row r="90" spans="5:10">
      <c r="E90">
        <v>1.3456311970241277</v>
      </c>
      <c r="G90">
        <f t="shared" si="8"/>
        <v>76</v>
      </c>
      <c r="H90" s="59">
        <f t="shared" si="9"/>
        <v>0.15245912730022565</v>
      </c>
      <c r="I90" s="59">
        <f t="shared" si="7"/>
        <v>0.45907077480629432</v>
      </c>
      <c r="J90" s="59">
        <f t="shared" si="6"/>
        <v>0.26917216666666671</v>
      </c>
    </row>
    <row r="91" spans="5:10">
      <c r="E91">
        <v>0.58471555778495765</v>
      </c>
      <c r="G91">
        <f t="shared" si="8"/>
        <v>77</v>
      </c>
      <c r="H91" s="59">
        <f t="shared" si="9"/>
        <v>6.624788712977564E-2</v>
      </c>
      <c r="I91" s="59">
        <f t="shared" si="7"/>
        <v>0.16451130647077755</v>
      </c>
      <c r="J91" s="59">
        <f t="shared" si="6"/>
        <v>0.26917216666666671</v>
      </c>
    </row>
    <row r="92" spans="5:10">
      <c r="E92">
        <v>-2.5164854969058332</v>
      </c>
      <c r="G92">
        <f t="shared" si="8"/>
        <v>78</v>
      </c>
      <c r="H92" s="59">
        <f t="shared" si="9"/>
        <v>-0.28511614740384084</v>
      </c>
      <c r="I92" s="59">
        <f t="shared" si="7"/>
        <v>7.825079343912611E-2</v>
      </c>
      <c r="J92" s="59">
        <f t="shared" si="6"/>
        <v>0.26917216666666671</v>
      </c>
    </row>
    <row r="93" spans="5:10">
      <c r="E93">
        <v>-0.72662426059140017</v>
      </c>
      <c r="G93">
        <f t="shared" si="8"/>
        <v>79</v>
      </c>
      <c r="H93" s="59">
        <f t="shared" si="9"/>
        <v>-8.2326049581734145E-2</v>
      </c>
      <c r="I93" s="59">
        <f t="shared" si="7"/>
        <v>0.35867535298971909</v>
      </c>
      <c r="J93" s="59">
        <f t="shared" si="6"/>
        <v>0.26917216666666671</v>
      </c>
    </row>
    <row r="94" spans="5:10">
      <c r="E94">
        <v>-0.5256732737867833</v>
      </c>
      <c r="G94">
        <f t="shared" si="8"/>
        <v>80</v>
      </c>
      <c r="H94" s="59">
        <f t="shared" si="9"/>
        <v>-5.9558435285852362E-2</v>
      </c>
      <c r="I94" s="59">
        <f t="shared" si="7"/>
        <v>0.12906086369006725</v>
      </c>
      <c r="J94" s="59">
        <f t="shared" si="6"/>
        <v>0.26917216666666671</v>
      </c>
    </row>
    <row r="95" spans="5:10">
      <c r="E95">
        <v>0.82993586138435371</v>
      </c>
      <c r="G95">
        <f t="shared" si="8"/>
        <v>81</v>
      </c>
      <c r="H95" s="59">
        <f t="shared" si="9"/>
        <v>9.4031185826877681E-2</v>
      </c>
      <c r="I95" s="59">
        <f t="shared" si="7"/>
        <v>0.48930352517248393</v>
      </c>
      <c r="J95" s="59">
        <f t="shared" si="6"/>
        <v>0.26917216666666671</v>
      </c>
    </row>
    <row r="96" spans="5:10">
      <c r="E96">
        <v>-2.1422214190565482E-2</v>
      </c>
      <c r="G96">
        <f t="shared" si="8"/>
        <v>82</v>
      </c>
      <c r="H96" s="59">
        <f t="shared" si="9"/>
        <v>-2.4271227417697583E-3</v>
      </c>
      <c r="I96" s="59">
        <f t="shared" si="7"/>
        <v>6.8626821269661464E-2</v>
      </c>
      <c r="J96" s="59">
        <f t="shared" si="6"/>
        <v>0.26917216666666671</v>
      </c>
    </row>
    <row r="97" spans="5:10">
      <c r="E97">
        <v>0.16008484155963704</v>
      </c>
      <c r="G97">
        <f t="shared" si="8"/>
        <v>83</v>
      </c>
      <c r="H97" s="59">
        <f t="shared" si="9"/>
        <v>1.8137506987168595E-2</v>
      </c>
      <c r="I97" s="59">
        <f t="shared" si="7"/>
        <v>0.46780048451114004</v>
      </c>
      <c r="J97" s="59">
        <f t="shared" si="6"/>
        <v>0.26917216666666671</v>
      </c>
    </row>
    <row r="98" spans="5:10">
      <c r="E98">
        <v>-0.56362930628237584</v>
      </c>
      <c r="G98">
        <f t="shared" si="8"/>
        <v>84</v>
      </c>
      <c r="H98" s="59">
        <f t="shared" si="9"/>
        <v>-6.3858828739017284E-2</v>
      </c>
      <c r="I98" s="59">
        <f t="shared" si="7"/>
        <v>2.654785186762347E-2</v>
      </c>
      <c r="J98" s="59">
        <f t="shared" si="6"/>
        <v>0.26917216666666671</v>
      </c>
    </row>
    <row r="99" spans="5:10">
      <c r="E99">
        <v>1.5766012129016458</v>
      </c>
      <c r="G99">
        <f t="shared" si="8"/>
        <v>85</v>
      </c>
      <c r="H99" s="59">
        <f t="shared" si="9"/>
        <v>0.17862787779522049</v>
      </c>
      <c r="I99" s="59">
        <f t="shared" si="7"/>
        <v>0.66616192778102612</v>
      </c>
      <c r="J99" s="59">
        <f t="shared" si="6"/>
        <v>0.26917216666666671</v>
      </c>
    </row>
    <row r="100" spans="5:10">
      <c r="E100">
        <v>-0.61169536365187449</v>
      </c>
      <c r="G100">
        <f t="shared" si="8"/>
        <v>86</v>
      </c>
      <c r="H100" s="59">
        <f t="shared" si="9"/>
        <v>-6.930468134374472E-2</v>
      </c>
      <c r="I100" s="59">
        <f t="shared" si="7"/>
        <v>-0.15742329968000141</v>
      </c>
      <c r="J100" s="59">
        <f t="shared" si="6"/>
        <v>0.26917216666666671</v>
      </c>
    </row>
    <row r="101" spans="5:10">
      <c r="E101">
        <v>-0.92686115608920128</v>
      </c>
      <c r="G101">
        <f t="shared" si="8"/>
        <v>87</v>
      </c>
      <c r="H101" s="59">
        <f t="shared" si="9"/>
        <v>-0.10501275780343262</v>
      </c>
      <c r="I101" s="59">
        <f t="shared" si="7"/>
        <v>0.54809532857523535</v>
      </c>
      <c r="J101" s="59">
        <f t="shared" si="6"/>
        <v>0.26917216666666671</v>
      </c>
    </row>
    <row r="102" spans="5:10">
      <c r="E102">
        <v>0.81530313389678155</v>
      </c>
      <c r="G102">
        <f t="shared" si="8"/>
        <v>88</v>
      </c>
      <c r="H102" s="59">
        <f t="shared" si="9"/>
        <v>9.2373307451501935E-2</v>
      </c>
      <c r="I102" s="59">
        <f t="shared" si="7"/>
        <v>0.11051462840045692</v>
      </c>
      <c r="J102" s="59">
        <f t="shared" si="6"/>
        <v>0.26917216666666671</v>
      </c>
    </row>
    <row r="103" spans="5:10">
      <c r="E103">
        <v>0.13303121921892569</v>
      </c>
      <c r="G103">
        <f t="shared" si="8"/>
        <v>89</v>
      </c>
      <c r="H103" s="59">
        <f t="shared" si="9"/>
        <v>1.5072349415393907E-2</v>
      </c>
      <c r="I103" s="59">
        <f t="shared" si="7"/>
        <v>0.42703630052164943</v>
      </c>
      <c r="J103" s="59">
        <f t="shared" si="6"/>
        <v>0.26917216666666671</v>
      </c>
    </row>
    <row r="104" spans="5:10">
      <c r="E104">
        <v>5.5525311110425385E-2</v>
      </c>
      <c r="G104">
        <f t="shared" si="8"/>
        <v>90</v>
      </c>
      <c r="H104" s="59">
        <f t="shared" si="9"/>
        <v>6.2909811348682556E-3</v>
      </c>
      <c r="I104" s="59">
        <f t="shared" si="7"/>
        <v>0.13338542733205055</v>
      </c>
      <c r="J104" s="59">
        <f t="shared" si="6"/>
        <v>0.26917216666666671</v>
      </c>
    </row>
    <row r="105" spans="5:10">
      <c r="E105">
        <v>0.51835915047086845</v>
      </c>
      <c r="G105">
        <f t="shared" si="8"/>
        <v>91</v>
      </c>
      <c r="H105" s="59">
        <f t="shared" si="9"/>
        <v>5.8729749937164941E-2</v>
      </c>
      <c r="I105" s="59">
        <f t="shared" si="7"/>
        <v>0.4501099820049862</v>
      </c>
      <c r="J105" s="59">
        <f t="shared" si="6"/>
        <v>0.26917216666666671</v>
      </c>
    </row>
    <row r="106" spans="5:10">
      <c r="E106">
        <v>-4.187106409482852E-2</v>
      </c>
      <c r="G106">
        <f t="shared" si="8"/>
        <v>92</v>
      </c>
      <c r="H106" s="59">
        <f t="shared" si="9"/>
        <v>-4.7439639517475509E-3</v>
      </c>
      <c r="I106" s="59">
        <f t="shared" si="7"/>
        <v>0.10158416891043164</v>
      </c>
      <c r="J106" s="59">
        <f t="shared" si="6"/>
        <v>0.26917216666666671</v>
      </c>
    </row>
    <row r="107" spans="5:10">
      <c r="E107">
        <v>0.32881448583407935</v>
      </c>
      <c r="G107">
        <f t="shared" si="8"/>
        <v>93</v>
      </c>
      <c r="H107" s="59">
        <f t="shared" si="9"/>
        <v>3.7254464421455649E-2</v>
      </c>
      <c r="I107" s="59">
        <f t="shared" si="7"/>
        <v>0.45725582906873391</v>
      </c>
      <c r="J107" s="59">
        <f t="shared" si="6"/>
        <v>0.26917216666666671</v>
      </c>
    </row>
    <row r="108" spans="5:10">
      <c r="E108">
        <v>0.93145681237945777</v>
      </c>
      <c r="G108">
        <f t="shared" si="8"/>
        <v>94</v>
      </c>
      <c r="H108" s="59">
        <f t="shared" si="9"/>
        <v>0.10553344263069717</v>
      </c>
      <c r="I108" s="59">
        <f t="shared" si="7"/>
        <v>0.20543031313550345</v>
      </c>
      <c r="J108" s="59">
        <f t="shared" si="6"/>
        <v>0.26917216666666671</v>
      </c>
    </row>
    <row r="109" spans="5:10">
      <c r="E109">
        <v>1.800780171586188</v>
      </c>
      <c r="G109">
        <f t="shared" si="8"/>
        <v>95</v>
      </c>
      <c r="H109" s="59">
        <f t="shared" si="9"/>
        <v>0.2040272059883419</v>
      </c>
      <c r="I109" s="59">
        <f t="shared" si="7"/>
        <v>0.53056704083305561</v>
      </c>
      <c r="J109" s="59">
        <f t="shared" si="6"/>
        <v>0.26917216666666671</v>
      </c>
    </row>
    <row r="110" spans="5:10">
      <c r="E110">
        <v>-0.38137565347599145</v>
      </c>
      <c r="G110">
        <f t="shared" si="8"/>
        <v>96</v>
      </c>
      <c r="H110" s="59">
        <f t="shared" si="9"/>
        <v>-4.3209610055927064E-2</v>
      </c>
      <c r="I110" s="59">
        <f t="shared" si="7"/>
        <v>-9.2928301390103468E-3</v>
      </c>
      <c r="J110" s="59">
        <f t="shared" si="6"/>
        <v>0.26917216666666671</v>
      </c>
    </row>
    <row r="111" spans="5:10">
      <c r="E111">
        <v>0.86441404086377061</v>
      </c>
      <c r="G111">
        <f t="shared" si="8"/>
        <v>97</v>
      </c>
      <c r="H111" s="59">
        <f t="shared" si="9"/>
        <v>9.7937540826640815E-2</v>
      </c>
      <c r="I111" s="59">
        <f t="shared" si="7"/>
        <v>0.61772820461841693</v>
      </c>
      <c r="J111" s="59">
        <f t="shared" si="6"/>
        <v>0.26917216666666671</v>
      </c>
    </row>
    <row r="112" spans="5:10">
      <c r="E112">
        <v>0.60672619012803275</v>
      </c>
      <c r="G112">
        <f t="shared" si="8"/>
        <v>98</v>
      </c>
      <c r="H112" s="59">
        <f t="shared" si="9"/>
        <v>6.8741677260215947E-2</v>
      </c>
      <c r="I112" s="59">
        <f t="shared" si="7"/>
        <v>2.421340977030749E-2</v>
      </c>
      <c r="J112" s="59">
        <f t="shared" si="6"/>
        <v>0.26917216666666671</v>
      </c>
    </row>
    <row r="113" spans="5:10">
      <c r="E113">
        <v>-1.1561412022721229</v>
      </c>
      <c r="G113">
        <f t="shared" si="8"/>
        <v>99</v>
      </c>
      <c r="H113" s="59">
        <f t="shared" si="9"/>
        <v>-0.13099003584641253</v>
      </c>
      <c r="I113" s="59">
        <f t="shared" si="7"/>
        <v>0.35864501202697752</v>
      </c>
      <c r="J113" s="59">
        <f t="shared" si="6"/>
        <v>0.26917216666666671</v>
      </c>
    </row>
    <row r="114" spans="5:10">
      <c r="E114">
        <v>-0.82276218760169617</v>
      </c>
      <c r="G114">
        <f t="shared" si="8"/>
        <v>100</v>
      </c>
      <c r="H114" s="59">
        <f t="shared" si="9"/>
        <v>-9.3218413317694496E-2</v>
      </c>
      <c r="I114" s="59">
        <f t="shared" si="7"/>
        <v>9.5428192524692521E-2</v>
      </c>
      <c r="J114" s="59">
        <f t="shared" si="6"/>
        <v>0.26917216666666671</v>
      </c>
    </row>
    <row r="115" spans="5:10">
      <c r="H115" s="59"/>
      <c r="I115" s="59"/>
      <c r="J115" s="59"/>
    </row>
    <row r="116" spans="5:10">
      <c r="H116" s="59"/>
      <c r="I116" s="59"/>
      <c r="J116" s="59"/>
    </row>
    <row r="117" spans="5:10">
      <c r="H117" s="59"/>
      <c r="I117" s="59"/>
      <c r="J117" s="59"/>
    </row>
    <row r="118" spans="5:10">
      <c r="H118" s="59"/>
      <c r="I118" s="59"/>
      <c r="J118" s="59"/>
    </row>
    <row r="119" spans="5:10">
      <c r="H119" s="59"/>
      <c r="I119" s="59"/>
      <c r="J119" s="59"/>
    </row>
    <row r="120" spans="5:10">
      <c r="H120" s="59"/>
      <c r="I120" s="59"/>
      <c r="J120" s="59"/>
    </row>
    <row r="121" spans="5:10">
      <c r="H121" s="59"/>
      <c r="I121" s="59"/>
      <c r="J121" s="59"/>
    </row>
    <row r="122" spans="5:10">
      <c r="H122" s="59"/>
      <c r="I122" s="59"/>
      <c r="J122" s="59"/>
    </row>
    <row r="123" spans="5:10">
      <c r="H123" s="59"/>
      <c r="I123" s="59"/>
      <c r="J123" s="59"/>
    </row>
    <row r="124" spans="5:10">
      <c r="H124" s="59"/>
      <c r="I124" s="59"/>
      <c r="J124" s="59"/>
    </row>
    <row r="125" spans="5:10">
      <c r="H125" s="59"/>
      <c r="I125" s="59"/>
      <c r="J125" s="59"/>
    </row>
    <row r="126" spans="5:10">
      <c r="H126" s="59"/>
      <c r="I126" s="59"/>
      <c r="J126" s="59"/>
    </row>
    <row r="127" spans="5:10">
      <c r="H127" s="59"/>
      <c r="I127" s="59"/>
      <c r="J127" s="59"/>
    </row>
    <row r="128" spans="5:10">
      <c r="H128" s="59"/>
      <c r="I128" s="59"/>
      <c r="J128" s="59"/>
    </row>
    <row r="129" spans="8:10">
      <c r="H129" s="59"/>
      <c r="I129" s="59"/>
      <c r="J129" s="59"/>
    </row>
    <row r="130" spans="8:10">
      <c r="H130" s="59"/>
      <c r="I130" s="59"/>
      <c r="J130" s="59"/>
    </row>
    <row r="131" spans="8:10">
      <c r="H131" s="59"/>
      <c r="I131" s="59"/>
      <c r="J131" s="59"/>
    </row>
    <row r="132" spans="8:10">
      <c r="H132" s="59"/>
      <c r="I132" s="59"/>
      <c r="J132" s="59"/>
    </row>
    <row r="133" spans="8:10">
      <c r="H133" s="59"/>
      <c r="I133" s="59"/>
      <c r="J133" s="59"/>
    </row>
    <row r="134" spans="8:10">
      <c r="H134" s="59"/>
      <c r="I134" s="59"/>
      <c r="J134" s="59"/>
    </row>
    <row r="135" spans="8:10">
      <c r="H135" s="59"/>
      <c r="I135" s="59"/>
      <c r="J135" s="59"/>
    </row>
    <row r="136" spans="8:10">
      <c r="H136" s="59"/>
      <c r="I136" s="59"/>
      <c r="J136" s="59"/>
    </row>
    <row r="137" spans="8:10">
      <c r="H137" s="59"/>
      <c r="I137" s="59"/>
      <c r="J137" s="59"/>
    </row>
    <row r="138" spans="8:10">
      <c r="H138" s="59"/>
      <c r="I138" s="59"/>
      <c r="J138" s="59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K44"/>
  <sheetViews>
    <sheetView workbookViewId="0">
      <selection activeCell="L14" sqref="L14"/>
    </sheetView>
  </sheetViews>
  <sheetFormatPr defaultRowHeight="15"/>
  <sheetData>
    <row r="1" spans="1:11">
      <c r="B1" t="s">
        <v>74</v>
      </c>
    </row>
    <row r="2" spans="1:11">
      <c r="A2" t="s">
        <v>79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</row>
    <row r="3" spans="1:11">
      <c r="A3">
        <v>1</v>
      </c>
      <c r="B3">
        <f ca="1">RAND()</f>
        <v>0.39958478001313491</v>
      </c>
      <c r="C3">
        <f t="shared" ref="C3:K18" ca="1" si="0">RAND()</f>
        <v>0.7460683886547177</v>
      </c>
      <c r="D3">
        <f t="shared" ca="1" si="0"/>
        <v>0.77407021835746348</v>
      </c>
      <c r="E3">
        <f t="shared" ca="1" si="0"/>
        <v>0.35858911409515493</v>
      </c>
      <c r="F3">
        <f t="shared" ca="1" si="0"/>
        <v>0.67213654175298343</v>
      </c>
      <c r="G3">
        <f t="shared" ca="1" si="0"/>
        <v>0.5140668064012146</v>
      </c>
      <c r="H3">
        <f t="shared" ca="1" si="0"/>
        <v>0.12049245312519918</v>
      </c>
      <c r="I3">
        <f t="shared" ca="1" si="0"/>
        <v>0.11154943169654397</v>
      </c>
      <c r="J3">
        <f t="shared" ca="1" si="0"/>
        <v>0.68752958133806152</v>
      </c>
      <c r="K3">
        <f t="shared" ca="1" si="0"/>
        <v>0.43030246202477329</v>
      </c>
    </row>
    <row r="4" spans="1:11">
      <c r="A4">
        <v>2</v>
      </c>
      <c r="B4">
        <f t="shared" ref="B4:K42" ca="1" si="1">RAND()</f>
        <v>0.98201815116665436</v>
      </c>
      <c r="C4">
        <f t="shared" ca="1" si="0"/>
        <v>0.64168183638216991</v>
      </c>
      <c r="D4">
        <f t="shared" ca="1" si="0"/>
        <v>5.4591542140592253E-2</v>
      </c>
      <c r="E4">
        <f t="shared" ca="1" si="0"/>
        <v>0.2492396541918922</v>
      </c>
      <c r="F4">
        <f t="shared" ca="1" si="0"/>
        <v>0.62500512412533116</v>
      </c>
      <c r="G4">
        <f t="shared" ca="1" si="0"/>
        <v>0.12704339617922522</v>
      </c>
      <c r="H4">
        <f t="shared" ca="1" si="0"/>
        <v>0.99907527065391544</v>
      </c>
      <c r="I4">
        <f t="shared" ca="1" si="0"/>
        <v>0.83066739664676437</v>
      </c>
      <c r="J4">
        <f t="shared" ca="1" si="0"/>
        <v>0.60672803784416729</v>
      </c>
      <c r="K4">
        <f t="shared" ca="1" si="0"/>
        <v>0.80707551820820012</v>
      </c>
    </row>
    <row r="5" spans="1:11">
      <c r="A5">
        <v>3</v>
      </c>
      <c r="B5">
        <f t="shared" ca="1" si="1"/>
        <v>0.92676805970805121</v>
      </c>
      <c r="C5">
        <f t="shared" ca="1" si="0"/>
        <v>0.12743716512651826</v>
      </c>
      <c r="D5">
        <f t="shared" ca="1" si="0"/>
        <v>0.12202705404242931</v>
      </c>
      <c r="E5">
        <f t="shared" ca="1" si="0"/>
        <v>0.66165107618630437</v>
      </c>
      <c r="F5">
        <f t="shared" ca="1" si="0"/>
        <v>0.58401666306014377</v>
      </c>
      <c r="G5">
        <f t="shared" ca="1" si="0"/>
        <v>0.38246255190705991</v>
      </c>
      <c r="H5">
        <f t="shared" ca="1" si="0"/>
        <v>0.65907069947578911</v>
      </c>
      <c r="I5">
        <f t="shared" ca="1" si="0"/>
        <v>0.34639443673273096</v>
      </c>
      <c r="J5">
        <f t="shared" ca="1" si="0"/>
        <v>0.15734491456186839</v>
      </c>
      <c r="K5">
        <f t="shared" ca="1" si="0"/>
        <v>0.59583685664945785</v>
      </c>
    </row>
    <row r="6" spans="1:11">
      <c r="A6">
        <v>4</v>
      </c>
      <c r="B6">
        <f t="shared" ca="1" si="1"/>
        <v>0.58637580286791557</v>
      </c>
      <c r="C6">
        <f t="shared" ca="1" si="0"/>
        <v>0.2734494371409415</v>
      </c>
      <c r="D6">
        <f t="shared" ca="1" si="0"/>
        <v>0.76653763407730668</v>
      </c>
      <c r="E6">
        <f t="shared" ca="1" si="0"/>
        <v>0.79506906843883129</v>
      </c>
      <c r="F6">
        <f t="shared" ca="1" si="0"/>
        <v>2.1744107677533542E-2</v>
      </c>
      <c r="G6">
        <f t="shared" ca="1" si="0"/>
        <v>0.25382576747346342</v>
      </c>
      <c r="H6">
        <f t="shared" ca="1" si="0"/>
        <v>9.3229039034086192E-2</v>
      </c>
      <c r="I6">
        <f t="shared" ca="1" si="0"/>
        <v>0.1278362787616345</v>
      </c>
      <c r="J6">
        <f t="shared" ca="1" si="0"/>
        <v>0.58832169967711234</v>
      </c>
      <c r="K6">
        <f t="shared" ca="1" si="0"/>
        <v>0.2716953888198308</v>
      </c>
    </row>
    <row r="7" spans="1:11">
      <c r="A7">
        <v>5</v>
      </c>
      <c r="B7">
        <f t="shared" ca="1" si="1"/>
        <v>0.36193909613837616</v>
      </c>
      <c r="C7">
        <f t="shared" ca="1" si="0"/>
        <v>0.82985193413037006</v>
      </c>
      <c r="D7">
        <f t="shared" ca="1" si="0"/>
        <v>8.443976380368845E-2</v>
      </c>
      <c r="E7">
        <f t="shared" ca="1" si="0"/>
        <v>0.94230279197450972</v>
      </c>
      <c r="F7">
        <f t="shared" ca="1" si="0"/>
        <v>0.80973107775794184</v>
      </c>
      <c r="G7">
        <f t="shared" ca="1" si="0"/>
        <v>0.96059233990599147</v>
      </c>
      <c r="H7">
        <f t="shared" ca="1" si="0"/>
        <v>0.31613656663194067</v>
      </c>
      <c r="I7">
        <f t="shared" ca="1" si="0"/>
        <v>0.69078666063069871</v>
      </c>
      <c r="J7">
        <f t="shared" ca="1" si="0"/>
        <v>0.32734106079638381</v>
      </c>
      <c r="K7">
        <f t="shared" ca="1" si="0"/>
        <v>0.85406372141202769</v>
      </c>
    </row>
    <row r="8" spans="1:11">
      <c r="A8">
        <v>6</v>
      </c>
      <c r="B8">
        <f t="shared" ca="1" si="1"/>
        <v>0.78218966429508452</v>
      </c>
      <c r="C8">
        <f t="shared" ca="1" si="0"/>
        <v>0.59337387891909721</v>
      </c>
      <c r="D8">
        <f t="shared" ca="1" si="0"/>
        <v>0.73732949360502875</v>
      </c>
      <c r="E8">
        <f t="shared" ca="1" si="0"/>
        <v>0.28154547787196926</v>
      </c>
      <c r="F8">
        <f t="shared" ca="1" si="0"/>
        <v>0.7019764804581432</v>
      </c>
      <c r="G8">
        <f t="shared" ca="1" si="0"/>
        <v>0.35174511693732047</v>
      </c>
      <c r="H8">
        <f t="shared" ca="1" si="0"/>
        <v>8.9437208878461405E-2</v>
      </c>
      <c r="I8">
        <f t="shared" ca="1" si="0"/>
        <v>0.61133721981736322</v>
      </c>
      <c r="J8">
        <f t="shared" ca="1" si="0"/>
        <v>0.87264910557337427</v>
      </c>
      <c r="K8">
        <f t="shared" ca="1" si="0"/>
        <v>0.97890219143324142</v>
      </c>
    </row>
    <row r="9" spans="1:11">
      <c r="A9">
        <v>7</v>
      </c>
      <c r="B9">
        <f t="shared" ca="1" si="1"/>
        <v>0.61715026201036771</v>
      </c>
      <c r="C9">
        <f t="shared" ca="1" si="0"/>
        <v>0.39183636545077949</v>
      </c>
      <c r="D9">
        <f t="shared" ca="1" si="0"/>
        <v>0.26449387514731626</v>
      </c>
      <c r="E9">
        <f t="shared" ca="1" si="0"/>
        <v>0.60877992464715369</v>
      </c>
      <c r="F9">
        <f t="shared" ca="1" si="0"/>
        <v>0.25023237464963888</v>
      </c>
      <c r="G9">
        <f t="shared" ca="1" si="0"/>
        <v>0.96225963713713991</v>
      </c>
      <c r="H9">
        <f t="shared" ca="1" si="0"/>
        <v>0.47779624822660516</v>
      </c>
      <c r="I9">
        <f t="shared" ca="1" si="0"/>
        <v>0.88233071995432955</v>
      </c>
      <c r="J9">
        <f t="shared" ca="1" si="0"/>
        <v>0.92619957989674995</v>
      </c>
      <c r="K9">
        <f t="shared" ca="1" si="0"/>
        <v>0.43740952136033551</v>
      </c>
    </row>
    <row r="10" spans="1:11">
      <c r="A10">
        <v>8</v>
      </c>
      <c r="B10">
        <f t="shared" ca="1" si="1"/>
        <v>0.43572925199055801</v>
      </c>
      <c r="C10">
        <f t="shared" ca="1" si="0"/>
        <v>0.59680371057920656</v>
      </c>
      <c r="D10">
        <f t="shared" ca="1" si="0"/>
        <v>0.75674890908397785</v>
      </c>
      <c r="E10">
        <f t="shared" ca="1" si="0"/>
        <v>0.80318025855761643</v>
      </c>
      <c r="F10">
        <f t="shared" ca="1" si="0"/>
        <v>0.23775233172930244</v>
      </c>
      <c r="G10">
        <f t="shared" ca="1" si="0"/>
        <v>0.42431237724149895</v>
      </c>
      <c r="H10">
        <f t="shared" ca="1" si="0"/>
        <v>0.17773052295283787</v>
      </c>
      <c r="I10">
        <f t="shared" ca="1" si="0"/>
        <v>0.18364953843182441</v>
      </c>
      <c r="J10">
        <f t="shared" ca="1" si="0"/>
        <v>0.65965507850728256</v>
      </c>
      <c r="K10">
        <f t="shared" ca="1" si="0"/>
        <v>0.88117453927761202</v>
      </c>
    </row>
    <row r="11" spans="1:11">
      <c r="A11">
        <v>9</v>
      </c>
      <c r="B11">
        <f t="shared" ca="1" si="1"/>
        <v>8.6591031961156473E-2</v>
      </c>
      <c r="C11">
        <f t="shared" ca="1" si="0"/>
        <v>0.35161739511633616</v>
      </c>
      <c r="D11">
        <f t="shared" ca="1" si="0"/>
        <v>9.4076261143939632E-2</v>
      </c>
      <c r="E11">
        <f t="shared" ca="1" si="0"/>
        <v>0.99359245079009195</v>
      </c>
      <c r="F11">
        <f t="shared" ca="1" si="0"/>
        <v>0.61514691508666375</v>
      </c>
      <c r="G11">
        <f t="shared" ca="1" si="0"/>
        <v>0.78596508399131082</v>
      </c>
      <c r="H11">
        <f t="shared" ca="1" si="0"/>
        <v>0.10504172130730094</v>
      </c>
      <c r="I11">
        <f t="shared" ca="1" si="0"/>
        <v>0.79536215590030412</v>
      </c>
      <c r="J11">
        <f t="shared" ca="1" si="0"/>
        <v>0.82845296063726082</v>
      </c>
      <c r="K11">
        <f t="shared" ca="1" si="0"/>
        <v>0.50789013738383826</v>
      </c>
    </row>
    <row r="12" spans="1:11">
      <c r="A12">
        <v>10</v>
      </c>
      <c r="B12">
        <f t="shared" ca="1" si="1"/>
        <v>0.430358934377713</v>
      </c>
      <c r="C12">
        <f t="shared" ca="1" si="0"/>
        <v>0.49115624708949923</v>
      </c>
      <c r="D12">
        <f t="shared" ca="1" si="0"/>
        <v>0.56904050023112074</v>
      </c>
      <c r="E12">
        <f t="shared" ca="1" si="0"/>
        <v>0.62519150185588246</v>
      </c>
      <c r="F12">
        <f t="shared" ca="1" si="0"/>
        <v>0.97708629721069373</v>
      </c>
      <c r="G12">
        <f t="shared" ca="1" si="0"/>
        <v>0.37500166384682121</v>
      </c>
      <c r="H12">
        <f t="shared" ca="1" si="0"/>
        <v>0.20440224804288598</v>
      </c>
      <c r="I12">
        <f t="shared" ca="1" si="0"/>
        <v>0.23770671895105799</v>
      </c>
      <c r="J12">
        <f t="shared" ca="1" si="0"/>
        <v>0.57850854380633021</v>
      </c>
      <c r="K12">
        <f t="shared" ca="1" si="0"/>
        <v>3.1145712994927077E-2</v>
      </c>
    </row>
    <row r="13" spans="1:11">
      <c r="A13">
        <v>11</v>
      </c>
      <c r="B13">
        <f t="shared" ca="1" si="1"/>
        <v>0.75052366786151881</v>
      </c>
      <c r="C13">
        <f t="shared" ca="1" si="0"/>
        <v>0.42797226760121099</v>
      </c>
      <c r="D13">
        <f t="shared" ca="1" si="0"/>
        <v>0.28120919194098271</v>
      </c>
      <c r="E13">
        <f t="shared" ca="1" si="0"/>
        <v>0.31001469999514075</v>
      </c>
      <c r="F13">
        <f t="shared" ca="1" si="0"/>
        <v>0.79434695533023025</v>
      </c>
      <c r="G13">
        <f t="shared" ca="1" si="0"/>
        <v>0.14234084589601403</v>
      </c>
      <c r="H13">
        <f t="shared" ca="1" si="0"/>
        <v>0.82200672892550797</v>
      </c>
      <c r="I13">
        <f t="shared" ca="1" si="0"/>
        <v>0.55570787206974326</v>
      </c>
      <c r="J13">
        <f t="shared" ca="1" si="0"/>
        <v>0.5960676015700459</v>
      </c>
      <c r="K13">
        <f t="shared" ca="1" si="0"/>
        <v>0.45777047682398475</v>
      </c>
    </row>
    <row r="14" spans="1:11">
      <c r="A14">
        <v>12</v>
      </c>
      <c r="B14">
        <f t="shared" ca="1" si="1"/>
        <v>0.83213093136399796</v>
      </c>
      <c r="C14">
        <f t="shared" ca="1" si="0"/>
        <v>0.62484302911180611</v>
      </c>
      <c r="D14">
        <f t="shared" ca="1" si="0"/>
        <v>0.39387612076976342</v>
      </c>
      <c r="E14">
        <f t="shared" ca="1" si="0"/>
        <v>0.82190945588029063</v>
      </c>
      <c r="F14">
        <f t="shared" ca="1" si="0"/>
        <v>0.17042037165995283</v>
      </c>
      <c r="G14">
        <f t="shared" ca="1" si="0"/>
        <v>0.74665713308802739</v>
      </c>
      <c r="H14">
        <f t="shared" ca="1" si="0"/>
        <v>0.7679709407491293</v>
      </c>
      <c r="I14">
        <f t="shared" ca="1" si="0"/>
        <v>0.67482465224880017</v>
      </c>
      <c r="J14">
        <f t="shared" ca="1" si="0"/>
        <v>0.5915973297391024</v>
      </c>
      <c r="K14">
        <f t="shared" ca="1" si="0"/>
        <v>0.11898404258653406</v>
      </c>
    </row>
    <row r="15" spans="1:11">
      <c r="A15">
        <v>13</v>
      </c>
      <c r="B15">
        <f t="shared" ca="1" si="1"/>
        <v>0.76695204010715545</v>
      </c>
      <c r="C15">
        <f t="shared" ca="1" si="0"/>
        <v>0.7505646356903517</v>
      </c>
      <c r="D15">
        <f t="shared" ca="1" si="0"/>
        <v>0.76709392279774669</v>
      </c>
      <c r="E15">
        <f t="shared" ca="1" si="0"/>
        <v>0.66637626291394381</v>
      </c>
      <c r="F15">
        <f t="shared" ca="1" si="0"/>
        <v>0.69146549663866264</v>
      </c>
      <c r="G15">
        <f t="shared" ca="1" si="0"/>
        <v>0.42321457879036295</v>
      </c>
      <c r="H15">
        <f t="shared" ca="1" si="0"/>
        <v>0.31251017981990348</v>
      </c>
      <c r="I15">
        <f t="shared" ca="1" si="0"/>
        <v>0.71114092240105031</v>
      </c>
      <c r="J15">
        <f t="shared" ca="1" si="0"/>
        <v>0.21704424182166981</v>
      </c>
      <c r="K15">
        <f t="shared" ca="1" si="0"/>
        <v>0.13178145126216845</v>
      </c>
    </row>
    <row r="16" spans="1:11">
      <c r="A16">
        <v>14</v>
      </c>
      <c r="B16">
        <f t="shared" ca="1" si="1"/>
        <v>0.63458920810106489</v>
      </c>
      <c r="C16">
        <f t="shared" ca="1" si="0"/>
        <v>0.30165043126793822</v>
      </c>
      <c r="D16">
        <f t="shared" ca="1" si="0"/>
        <v>0.9454191257642679</v>
      </c>
      <c r="E16">
        <f t="shared" ca="1" si="0"/>
        <v>0.7834517875846978</v>
      </c>
      <c r="F16">
        <f t="shared" ca="1" si="0"/>
        <v>0.11303020575241884</v>
      </c>
      <c r="G16">
        <f t="shared" ca="1" si="0"/>
        <v>0.39763974975945082</v>
      </c>
      <c r="H16">
        <f t="shared" ca="1" si="0"/>
        <v>0.71368821013160488</v>
      </c>
      <c r="I16">
        <f t="shared" ca="1" si="0"/>
        <v>0.78272118277910963</v>
      </c>
      <c r="J16">
        <f t="shared" ca="1" si="0"/>
        <v>0.91672569251113534</v>
      </c>
      <c r="K16">
        <f t="shared" ca="1" si="0"/>
        <v>0.63069183761110725</v>
      </c>
    </row>
    <row r="17" spans="1:11">
      <c r="A17">
        <v>15</v>
      </c>
      <c r="B17">
        <f t="shared" ca="1" si="1"/>
        <v>0.58915494516191913</v>
      </c>
      <c r="C17">
        <f t="shared" ca="1" si="0"/>
        <v>0.53045066916125383</v>
      </c>
      <c r="D17">
        <f t="shared" ca="1" si="0"/>
        <v>0.26083234626753216</v>
      </c>
      <c r="E17">
        <f t="shared" ca="1" si="0"/>
        <v>0.31632749137015015</v>
      </c>
      <c r="F17">
        <f t="shared" ca="1" si="0"/>
        <v>0.54353305844134425</v>
      </c>
      <c r="G17">
        <f t="shared" ca="1" si="0"/>
        <v>0.62005540316173491</v>
      </c>
      <c r="H17">
        <f t="shared" ca="1" si="0"/>
        <v>0.57645965966383805</v>
      </c>
      <c r="I17">
        <f t="shared" ca="1" si="0"/>
        <v>0.76991382444364209</v>
      </c>
      <c r="J17">
        <f t="shared" ca="1" si="0"/>
        <v>0.4299717781823702</v>
      </c>
      <c r="K17">
        <f t="shared" ca="1" si="0"/>
        <v>0.91282935170388679</v>
      </c>
    </row>
    <row r="18" spans="1:11">
      <c r="A18">
        <v>16</v>
      </c>
      <c r="B18">
        <f t="shared" ca="1" si="1"/>
        <v>0.76640463467728814</v>
      </c>
      <c r="C18">
        <f t="shared" ca="1" si="0"/>
        <v>0.63818176125270742</v>
      </c>
      <c r="D18">
        <f t="shared" ca="1" si="0"/>
        <v>0.21304979377871924</v>
      </c>
      <c r="E18">
        <f t="shared" ca="1" si="0"/>
        <v>0.30180328061087458</v>
      </c>
      <c r="F18">
        <f t="shared" ca="1" si="0"/>
        <v>0.40850979860968639</v>
      </c>
      <c r="G18">
        <f t="shared" ca="1" si="0"/>
        <v>0.50700169662765404</v>
      </c>
      <c r="H18">
        <f t="shared" ca="1" si="0"/>
        <v>0.51915164498106758</v>
      </c>
      <c r="I18">
        <f t="shared" ca="1" si="0"/>
        <v>7.6604503906887444E-2</v>
      </c>
      <c r="J18">
        <f t="shared" ca="1" si="0"/>
        <v>0.88936991511768793</v>
      </c>
      <c r="K18">
        <f t="shared" ca="1" si="0"/>
        <v>3.9546021045434809E-2</v>
      </c>
    </row>
    <row r="19" spans="1:11">
      <c r="A19">
        <v>17</v>
      </c>
      <c r="B19">
        <f t="shared" ca="1" si="1"/>
        <v>1.7933124133520995E-2</v>
      </c>
      <c r="C19">
        <f t="shared" ca="1" si="1"/>
        <v>0.61974478161332214</v>
      </c>
      <c r="D19">
        <f t="shared" ca="1" si="1"/>
        <v>0.60005756658644849</v>
      </c>
      <c r="E19">
        <f t="shared" ca="1" si="1"/>
        <v>0.75330364197704225</v>
      </c>
      <c r="F19">
        <f t="shared" ca="1" si="1"/>
        <v>0.86991124089509908</v>
      </c>
      <c r="G19">
        <f t="shared" ca="1" si="1"/>
        <v>0.26957530924377426</v>
      </c>
      <c r="H19">
        <f t="shared" ca="1" si="1"/>
        <v>0.99715121433720455</v>
      </c>
      <c r="I19">
        <f t="shared" ca="1" si="1"/>
        <v>3.7921273198207262E-2</v>
      </c>
      <c r="J19">
        <f t="shared" ca="1" si="1"/>
        <v>0.52625130563258171</v>
      </c>
      <c r="K19">
        <f t="shared" ca="1" si="1"/>
        <v>0.99442919945773767</v>
      </c>
    </row>
    <row r="20" spans="1:11">
      <c r="A20">
        <v>18</v>
      </c>
      <c r="B20">
        <f t="shared" ca="1" si="1"/>
        <v>0.64776966663599378</v>
      </c>
      <c r="C20">
        <f t="shared" ca="1" si="1"/>
        <v>0.40642455658539783</v>
      </c>
      <c r="D20">
        <f t="shared" ca="1" si="1"/>
        <v>0.64671591176495946</v>
      </c>
      <c r="E20">
        <f t="shared" ca="1" si="1"/>
        <v>0.27749787732655928</v>
      </c>
      <c r="F20">
        <f t="shared" ca="1" si="1"/>
        <v>0.7242169591250287</v>
      </c>
      <c r="G20">
        <f t="shared" ca="1" si="1"/>
        <v>0.60828969673738742</v>
      </c>
      <c r="H20">
        <f t="shared" ca="1" si="1"/>
        <v>0.28516220733539122</v>
      </c>
      <c r="I20">
        <f t="shared" ca="1" si="1"/>
        <v>0.41050801569527628</v>
      </c>
      <c r="J20">
        <f t="shared" ca="1" si="1"/>
        <v>0.83098599647878868</v>
      </c>
      <c r="K20">
        <f t="shared" ca="1" si="1"/>
        <v>0.73797528256922984</v>
      </c>
    </row>
    <row r="21" spans="1:11">
      <c r="A21">
        <v>19</v>
      </c>
      <c r="B21">
        <f t="shared" ca="1" si="1"/>
        <v>0.24195026728487612</v>
      </c>
      <c r="C21">
        <f t="shared" ca="1" si="1"/>
        <v>1.6889088918682127E-2</v>
      </c>
      <c r="D21">
        <f t="shared" ca="1" si="1"/>
        <v>0.88105998802880858</v>
      </c>
      <c r="E21">
        <f t="shared" ca="1" si="1"/>
        <v>0.99160021901693618</v>
      </c>
      <c r="F21">
        <f t="shared" ca="1" si="1"/>
        <v>0.31990971667122015</v>
      </c>
      <c r="G21">
        <f t="shared" ca="1" si="1"/>
        <v>0.50546314174063434</v>
      </c>
      <c r="H21">
        <f t="shared" ca="1" si="1"/>
        <v>0.5306460632808645</v>
      </c>
      <c r="I21">
        <f t="shared" ca="1" si="1"/>
        <v>0.72363694297532155</v>
      </c>
      <c r="J21">
        <f t="shared" ca="1" si="1"/>
        <v>0.63619888878707798</v>
      </c>
      <c r="K21">
        <f t="shared" ca="1" si="1"/>
        <v>4.1796950087092277E-2</v>
      </c>
    </row>
    <row r="22" spans="1:11">
      <c r="A22">
        <v>20</v>
      </c>
      <c r="B22">
        <f t="shared" ca="1" si="1"/>
        <v>0.15420765898334765</v>
      </c>
      <c r="C22">
        <f t="shared" ca="1" si="1"/>
        <v>0.66211175852452842</v>
      </c>
      <c r="D22">
        <f t="shared" ca="1" si="1"/>
        <v>0.15036943674261982</v>
      </c>
      <c r="E22">
        <f t="shared" ca="1" si="1"/>
        <v>0.34475518364217339</v>
      </c>
      <c r="F22">
        <f t="shared" ca="1" si="1"/>
        <v>0.17323670075055997</v>
      </c>
      <c r="G22">
        <f t="shared" ca="1" si="1"/>
        <v>0.39231126885458623</v>
      </c>
      <c r="H22">
        <f t="shared" ca="1" si="1"/>
        <v>0.8904494209142122</v>
      </c>
      <c r="I22">
        <f t="shared" ca="1" si="1"/>
        <v>0.46795592381763296</v>
      </c>
      <c r="J22">
        <f t="shared" ca="1" si="1"/>
        <v>0.58095137160783672</v>
      </c>
      <c r="K22">
        <f t="shared" ca="1" si="1"/>
        <v>0.17315213555469544</v>
      </c>
    </row>
    <row r="23" spans="1:11">
      <c r="A23">
        <v>21</v>
      </c>
      <c r="B23">
        <f t="shared" ca="1" si="1"/>
        <v>0.62946481391869469</v>
      </c>
      <c r="C23">
        <f t="shared" ca="1" si="1"/>
        <v>0.3872799121971966</v>
      </c>
      <c r="D23">
        <f t="shared" ca="1" si="1"/>
        <v>0.84116055418443469</v>
      </c>
      <c r="E23">
        <f t="shared" ca="1" si="1"/>
        <v>0.82599311302646328</v>
      </c>
      <c r="F23">
        <f t="shared" ca="1" si="1"/>
        <v>0.78403826087359629</v>
      </c>
      <c r="G23">
        <f t="shared" ca="1" si="1"/>
        <v>0.77986535417965031</v>
      </c>
      <c r="H23">
        <f t="shared" ca="1" si="1"/>
        <v>0.93407967511664824</v>
      </c>
      <c r="I23">
        <f t="shared" ca="1" si="1"/>
        <v>0.80177300566863519</v>
      </c>
      <c r="J23">
        <f t="shared" ca="1" si="1"/>
        <v>0.8372719592409279</v>
      </c>
      <c r="K23">
        <f t="shared" ca="1" si="1"/>
        <v>0.18466225575866813</v>
      </c>
    </row>
    <row r="24" spans="1:11">
      <c r="A24">
        <v>22</v>
      </c>
      <c r="B24">
        <f t="shared" ca="1" si="1"/>
        <v>0.35510421024901628</v>
      </c>
      <c r="C24">
        <f t="shared" ca="1" si="1"/>
        <v>0.5537078094959309</v>
      </c>
      <c r="D24">
        <f t="shared" ca="1" si="1"/>
        <v>0.75039735455845258</v>
      </c>
      <c r="E24">
        <f t="shared" ca="1" si="1"/>
        <v>0.31868512632186619</v>
      </c>
      <c r="F24">
        <f t="shared" ca="1" si="1"/>
        <v>0.43010555304313969</v>
      </c>
      <c r="G24">
        <f t="shared" ca="1" si="1"/>
        <v>0.95589265925864453</v>
      </c>
      <c r="H24">
        <f t="shared" ca="1" si="1"/>
        <v>0.92642004574642134</v>
      </c>
      <c r="I24">
        <f t="shared" ca="1" si="1"/>
        <v>0.62414804438372462</v>
      </c>
      <c r="J24">
        <f t="shared" ca="1" si="1"/>
        <v>0.33756721776625542</v>
      </c>
      <c r="K24">
        <f t="shared" ca="1" si="1"/>
        <v>0.89701174680131257</v>
      </c>
    </row>
    <row r="25" spans="1:11">
      <c r="A25">
        <v>23</v>
      </c>
      <c r="B25">
        <f t="shared" ca="1" si="1"/>
        <v>0.99143238505293807</v>
      </c>
      <c r="C25">
        <f t="shared" ca="1" si="1"/>
        <v>0.23174268395294173</v>
      </c>
      <c r="D25">
        <f t="shared" ca="1" si="1"/>
        <v>4.6879473884477996E-2</v>
      </c>
      <c r="E25">
        <f t="shared" ca="1" si="1"/>
        <v>0.90738721037903147</v>
      </c>
      <c r="F25">
        <f t="shared" ca="1" si="1"/>
        <v>0.74988254990373715</v>
      </c>
      <c r="G25">
        <f t="shared" ca="1" si="1"/>
        <v>0.36448273431847</v>
      </c>
      <c r="H25">
        <f t="shared" ca="1" si="1"/>
        <v>1.8940431220457299E-2</v>
      </c>
      <c r="I25">
        <f t="shared" ca="1" si="1"/>
        <v>0.48030221995901723</v>
      </c>
      <c r="J25">
        <f t="shared" ca="1" si="1"/>
        <v>0.10267585628307985</v>
      </c>
      <c r="K25">
        <f t="shared" ca="1" si="1"/>
        <v>8.6504259134407846E-3</v>
      </c>
    </row>
    <row r="26" spans="1:11">
      <c r="A26">
        <v>24</v>
      </c>
      <c r="B26">
        <f t="shared" ca="1" si="1"/>
        <v>0.75694965899494027</v>
      </c>
      <c r="C26">
        <f t="shared" ca="1" si="1"/>
        <v>0.75594486989510035</v>
      </c>
      <c r="D26">
        <f t="shared" ca="1" si="1"/>
        <v>0.84502889954765337</v>
      </c>
      <c r="E26">
        <f t="shared" ca="1" si="1"/>
        <v>0.52372028355733757</v>
      </c>
      <c r="F26">
        <f t="shared" ca="1" si="1"/>
        <v>0.87042001041037609</v>
      </c>
      <c r="G26">
        <f t="shared" ca="1" si="1"/>
        <v>0.78013410892538815</v>
      </c>
      <c r="H26">
        <f t="shared" ca="1" si="1"/>
        <v>0.44114336217114225</v>
      </c>
      <c r="I26">
        <f t="shared" ca="1" si="1"/>
        <v>0.60482418385157821</v>
      </c>
      <c r="J26">
        <f t="shared" ca="1" si="1"/>
        <v>0.39473054171447775</v>
      </c>
      <c r="K26">
        <f t="shared" ca="1" si="1"/>
        <v>0.29188981310614892</v>
      </c>
    </row>
    <row r="27" spans="1:11">
      <c r="A27">
        <v>25</v>
      </c>
      <c r="B27">
        <f t="shared" ca="1" si="1"/>
        <v>0.71780900958530847</v>
      </c>
      <c r="C27">
        <f t="shared" ca="1" si="1"/>
        <v>0.90119335136119805</v>
      </c>
      <c r="D27">
        <f t="shared" ca="1" si="1"/>
        <v>0.20692204279844972</v>
      </c>
      <c r="E27">
        <f t="shared" ca="1" si="1"/>
        <v>0.55193523447675763</v>
      </c>
      <c r="F27">
        <f t="shared" ca="1" si="1"/>
        <v>0.83553223107211938</v>
      </c>
      <c r="G27">
        <f t="shared" ca="1" si="1"/>
        <v>0.14078126616957931</v>
      </c>
      <c r="H27">
        <f t="shared" ca="1" si="1"/>
        <v>0.76491348216923361</v>
      </c>
      <c r="I27">
        <f t="shared" ca="1" si="1"/>
        <v>0.8589998180470646</v>
      </c>
      <c r="J27">
        <f t="shared" ca="1" si="1"/>
        <v>0.40270272728465906</v>
      </c>
      <c r="K27">
        <f t="shared" ca="1" si="1"/>
        <v>6.5421593390302846E-2</v>
      </c>
    </row>
    <row r="28" spans="1:11">
      <c r="A28">
        <v>26</v>
      </c>
      <c r="B28">
        <f t="shared" ca="1" si="1"/>
        <v>0.26102689234291265</v>
      </c>
      <c r="C28">
        <f t="shared" ca="1" si="1"/>
        <v>0.99743535530497862</v>
      </c>
      <c r="D28">
        <f t="shared" ca="1" si="1"/>
        <v>0.1235260458848142</v>
      </c>
      <c r="E28">
        <f t="shared" ca="1" si="1"/>
        <v>0.24337906331283787</v>
      </c>
      <c r="F28">
        <f t="shared" ca="1" si="1"/>
        <v>0.71318247308597349</v>
      </c>
      <c r="G28">
        <f t="shared" ca="1" si="1"/>
        <v>0.18598161290205262</v>
      </c>
      <c r="H28">
        <f t="shared" ca="1" si="1"/>
        <v>0.12882299870562375</v>
      </c>
      <c r="I28">
        <f t="shared" ca="1" si="1"/>
        <v>0.40846535629156655</v>
      </c>
      <c r="J28">
        <f t="shared" ca="1" si="1"/>
        <v>0.92908292762179023</v>
      </c>
      <c r="K28">
        <f t="shared" ca="1" si="1"/>
        <v>0.49860309740902498</v>
      </c>
    </row>
    <row r="29" spans="1:11">
      <c r="A29">
        <v>27</v>
      </c>
      <c r="B29">
        <f t="shared" ca="1" si="1"/>
        <v>0.81434766421380544</v>
      </c>
      <c r="C29">
        <f t="shared" ca="1" si="1"/>
        <v>0.24908214224556513</v>
      </c>
      <c r="D29">
        <f t="shared" ca="1" si="1"/>
        <v>0.22259328950393531</v>
      </c>
      <c r="E29">
        <f t="shared" ca="1" si="1"/>
        <v>0.6549312374529539</v>
      </c>
      <c r="F29">
        <f t="shared" ca="1" si="1"/>
        <v>0.81005505057045779</v>
      </c>
      <c r="G29">
        <f t="shared" ca="1" si="1"/>
        <v>0.79688953994574563</v>
      </c>
      <c r="H29">
        <f t="shared" ca="1" si="1"/>
        <v>0.44641179463844516</v>
      </c>
      <c r="I29">
        <f t="shared" ca="1" si="1"/>
        <v>0.62954650224000197</v>
      </c>
      <c r="J29">
        <f t="shared" ca="1" si="1"/>
        <v>0.35278422255674369</v>
      </c>
      <c r="K29">
        <f t="shared" ca="1" si="1"/>
        <v>0.7086074362751722</v>
      </c>
    </row>
    <row r="30" spans="1:11">
      <c r="A30">
        <v>28</v>
      </c>
      <c r="B30">
        <f t="shared" ca="1" si="1"/>
        <v>0.11225395490978052</v>
      </c>
      <c r="C30">
        <f t="shared" ca="1" si="1"/>
        <v>0.32404843705138919</v>
      </c>
      <c r="D30">
        <f t="shared" ca="1" si="1"/>
        <v>1.3137755802915763E-2</v>
      </c>
      <c r="E30">
        <f t="shared" ca="1" si="1"/>
        <v>4.7970012740239598E-2</v>
      </c>
      <c r="F30">
        <f t="shared" ca="1" si="1"/>
        <v>0.55010651949517442</v>
      </c>
      <c r="G30">
        <f t="shared" ca="1" si="1"/>
        <v>0.20283170399409323</v>
      </c>
      <c r="H30">
        <f t="shared" ca="1" si="1"/>
        <v>0.41607993176516267</v>
      </c>
      <c r="I30">
        <f t="shared" ca="1" si="1"/>
        <v>0.40420075866298544</v>
      </c>
      <c r="J30">
        <f t="shared" ca="1" si="1"/>
        <v>0.81697586520693788</v>
      </c>
      <c r="K30">
        <f t="shared" ca="1" si="1"/>
        <v>0.47459053251731187</v>
      </c>
    </row>
    <row r="31" spans="1:11">
      <c r="A31">
        <v>29</v>
      </c>
      <c r="B31">
        <f t="shared" ca="1" si="1"/>
        <v>0.57059991200244387</v>
      </c>
      <c r="C31">
        <f t="shared" ca="1" si="1"/>
        <v>0.61879891005347809</v>
      </c>
      <c r="D31">
        <f t="shared" ca="1" si="1"/>
        <v>0.55218330634709156</v>
      </c>
      <c r="E31">
        <f t="shared" ca="1" si="1"/>
        <v>0.86629091076813891</v>
      </c>
      <c r="F31">
        <f t="shared" ca="1" si="1"/>
        <v>0.15571333226367345</v>
      </c>
      <c r="G31">
        <f t="shared" ca="1" si="1"/>
        <v>0.83942216069394404</v>
      </c>
      <c r="H31">
        <f t="shared" ca="1" si="1"/>
        <v>0.24373609984220046</v>
      </c>
      <c r="I31">
        <f t="shared" ca="1" si="1"/>
        <v>0.97423103405732636</v>
      </c>
      <c r="J31">
        <f t="shared" ca="1" si="1"/>
        <v>0.37974622477059938</v>
      </c>
      <c r="K31">
        <f t="shared" ca="1" si="1"/>
        <v>0.16411286019272531</v>
      </c>
    </row>
    <row r="32" spans="1:11">
      <c r="A32">
        <v>30</v>
      </c>
      <c r="B32">
        <f t="shared" ca="1" si="1"/>
        <v>0.84429873534420108</v>
      </c>
      <c r="C32">
        <f t="shared" ca="1" si="1"/>
        <v>0.40995299485468717</v>
      </c>
      <c r="D32">
        <f t="shared" ca="1" si="1"/>
        <v>0.19528242951999353</v>
      </c>
      <c r="E32">
        <f t="shared" ca="1" si="1"/>
        <v>0.87152563945434491</v>
      </c>
      <c r="F32">
        <f t="shared" ca="1" si="1"/>
        <v>0.83255344840903289</v>
      </c>
      <c r="G32">
        <f t="shared" ca="1" si="1"/>
        <v>0.38385830238883822</v>
      </c>
      <c r="H32">
        <f t="shared" ca="1" si="1"/>
        <v>0.85045921074771602</v>
      </c>
      <c r="I32">
        <f t="shared" ca="1" si="1"/>
        <v>0.72428189073950477</v>
      </c>
      <c r="J32">
        <f t="shared" ca="1" si="1"/>
        <v>0.33824733219489933</v>
      </c>
      <c r="K32">
        <f t="shared" ca="1" si="1"/>
        <v>0.3035270390938325</v>
      </c>
    </row>
    <row r="33" spans="1:11">
      <c r="A33">
        <v>31</v>
      </c>
      <c r="B33">
        <f t="shared" ca="1" si="1"/>
        <v>9.4633691859247193E-5</v>
      </c>
      <c r="C33">
        <f t="shared" ca="1" si="1"/>
        <v>0.65741055473479704</v>
      </c>
      <c r="D33">
        <f t="shared" ca="1" si="1"/>
        <v>0.44216230918988764</v>
      </c>
      <c r="E33">
        <f t="shared" ca="1" si="1"/>
        <v>0.96029643512781715</v>
      </c>
      <c r="F33">
        <f t="shared" ca="1" si="1"/>
        <v>0.54209722849043995</v>
      </c>
      <c r="G33">
        <f t="shared" ca="1" si="1"/>
        <v>0.65690652765536406</v>
      </c>
      <c r="H33">
        <f t="shared" ca="1" si="1"/>
        <v>0.3963835323427185</v>
      </c>
      <c r="I33">
        <f t="shared" ca="1" si="1"/>
        <v>0.27345741165520954</v>
      </c>
      <c r="J33">
        <f t="shared" ca="1" si="1"/>
        <v>0.2192429307809709</v>
      </c>
      <c r="K33">
        <f t="shared" ca="1" si="1"/>
        <v>0.17366006805803291</v>
      </c>
    </row>
    <row r="34" spans="1:11">
      <c r="A34">
        <v>32</v>
      </c>
      <c r="B34">
        <f t="shared" ca="1" si="1"/>
        <v>0.26235920262491952</v>
      </c>
      <c r="C34">
        <f t="shared" ca="1" si="1"/>
        <v>0.4207981129519931</v>
      </c>
      <c r="D34">
        <f t="shared" ca="1" si="1"/>
        <v>0.39298203164800238</v>
      </c>
      <c r="E34">
        <f t="shared" ca="1" si="1"/>
        <v>0.17823443976056375</v>
      </c>
      <c r="F34">
        <f t="shared" ca="1" si="1"/>
        <v>0.30702122625583428</v>
      </c>
      <c r="G34">
        <f t="shared" ca="1" si="1"/>
        <v>0.69005731576204266</v>
      </c>
      <c r="H34">
        <f t="shared" ca="1" si="1"/>
        <v>0.95283988469215508</v>
      </c>
      <c r="I34">
        <f t="shared" ca="1" si="1"/>
        <v>0.83808759672356548</v>
      </c>
      <c r="J34">
        <f t="shared" ca="1" si="1"/>
        <v>0.25228722077011057</v>
      </c>
      <c r="K34">
        <f t="shared" ca="1" si="1"/>
        <v>0.18909445279092463</v>
      </c>
    </row>
    <row r="35" spans="1:11">
      <c r="A35">
        <v>33</v>
      </c>
      <c r="B35">
        <f t="shared" ca="1" si="1"/>
        <v>0.81482754698003212</v>
      </c>
      <c r="C35">
        <f t="shared" ca="1" si="1"/>
        <v>0.65887107297099701</v>
      </c>
      <c r="D35">
        <f t="shared" ca="1" si="1"/>
        <v>0.76813446374483529</v>
      </c>
      <c r="E35">
        <f t="shared" ca="1" si="1"/>
        <v>0.60434421606067978</v>
      </c>
      <c r="F35">
        <f t="shared" ca="1" si="1"/>
        <v>0.87148082063473797</v>
      </c>
      <c r="G35">
        <f t="shared" ca="1" si="1"/>
        <v>0.80929291126209812</v>
      </c>
      <c r="H35">
        <f t="shared" ca="1" si="1"/>
        <v>0.31799778504552201</v>
      </c>
      <c r="I35">
        <f t="shared" ca="1" si="1"/>
        <v>0.60812065063738618</v>
      </c>
      <c r="J35">
        <f t="shared" ca="1" si="1"/>
        <v>0.81125991108292439</v>
      </c>
      <c r="K35">
        <f t="shared" ca="1" si="1"/>
        <v>0.64329860555839868</v>
      </c>
    </row>
    <row r="36" spans="1:11">
      <c r="A36">
        <v>34</v>
      </c>
      <c r="B36">
        <f t="shared" ca="1" si="1"/>
        <v>0.17801497714325443</v>
      </c>
      <c r="C36">
        <f t="shared" ca="1" si="1"/>
        <v>0.51682289091851974</v>
      </c>
      <c r="D36">
        <f t="shared" ca="1" si="1"/>
        <v>9.1787317488027043E-2</v>
      </c>
      <c r="E36">
        <f t="shared" ca="1" si="1"/>
        <v>0.52741950267332793</v>
      </c>
      <c r="F36">
        <f t="shared" ca="1" si="1"/>
        <v>0.39261478848795583</v>
      </c>
      <c r="G36">
        <f t="shared" ca="1" si="1"/>
        <v>0.95257339645594286</v>
      </c>
      <c r="H36">
        <f t="shared" ca="1" si="1"/>
        <v>0.75510904251676347</v>
      </c>
      <c r="I36">
        <f t="shared" ca="1" si="1"/>
        <v>0.40945095005552012</v>
      </c>
      <c r="J36">
        <f t="shared" ca="1" si="1"/>
        <v>0.13512928099922417</v>
      </c>
      <c r="K36">
        <f t="shared" ca="1" si="1"/>
        <v>0.90516471880167826</v>
      </c>
    </row>
    <row r="37" spans="1:11">
      <c r="A37">
        <v>35</v>
      </c>
      <c r="B37">
        <f t="shared" ca="1" si="1"/>
        <v>0.91826613867384044</v>
      </c>
      <c r="C37">
        <f t="shared" ca="1" si="1"/>
        <v>0.70971003331775862</v>
      </c>
      <c r="D37">
        <f t="shared" ca="1" si="1"/>
        <v>0.94540631194344282</v>
      </c>
      <c r="E37">
        <f t="shared" ca="1" si="1"/>
        <v>7.305004782302249E-2</v>
      </c>
      <c r="F37">
        <f t="shared" ca="1" si="1"/>
        <v>0.80918043398011053</v>
      </c>
      <c r="G37">
        <f t="shared" ca="1" si="1"/>
        <v>0.63478147599578794</v>
      </c>
      <c r="H37">
        <f t="shared" ca="1" si="1"/>
        <v>0.98630583633650581</v>
      </c>
      <c r="I37">
        <f t="shared" ca="1" si="1"/>
        <v>0.41741645788552439</v>
      </c>
      <c r="J37">
        <f t="shared" ca="1" si="1"/>
        <v>0.12087912219348329</v>
      </c>
      <c r="K37">
        <f t="shared" ca="1" si="1"/>
        <v>0.52442535434417104</v>
      </c>
    </row>
    <row r="38" spans="1:11">
      <c r="A38">
        <v>36</v>
      </c>
      <c r="B38">
        <f t="shared" ca="1" si="1"/>
        <v>0.53290380348166488</v>
      </c>
      <c r="C38">
        <f t="shared" ca="1" si="1"/>
        <v>0.30732188002406202</v>
      </c>
      <c r="D38">
        <f t="shared" ca="1" si="1"/>
        <v>0.64055906280092212</v>
      </c>
      <c r="E38">
        <f t="shared" ca="1" si="1"/>
        <v>0.86700231391192251</v>
      </c>
      <c r="F38">
        <f t="shared" ca="1" si="1"/>
        <v>0.67721517883562066</v>
      </c>
      <c r="G38">
        <f t="shared" ca="1" si="1"/>
        <v>0.30664116804385921</v>
      </c>
      <c r="H38">
        <f t="shared" ca="1" si="1"/>
        <v>0.64667288126953748</v>
      </c>
      <c r="I38">
        <f t="shared" ca="1" si="1"/>
        <v>0.28101283178505287</v>
      </c>
      <c r="J38">
        <f t="shared" ca="1" si="1"/>
        <v>0.71647422187534815</v>
      </c>
      <c r="K38">
        <f t="shared" ca="1" si="1"/>
        <v>0.15998084892614539</v>
      </c>
    </row>
    <row r="39" spans="1:11">
      <c r="A39">
        <v>37</v>
      </c>
      <c r="B39">
        <f t="shared" ca="1" si="1"/>
        <v>0.31092064284417109</v>
      </c>
      <c r="C39">
        <f t="shared" ca="1" si="1"/>
        <v>0.84595103386775272</v>
      </c>
      <c r="D39">
        <f t="shared" ca="1" si="1"/>
        <v>8.0699151876832964E-3</v>
      </c>
      <c r="E39">
        <f t="shared" ca="1" si="1"/>
        <v>8.1512266593557481E-2</v>
      </c>
      <c r="F39">
        <f t="shared" ca="1" si="1"/>
        <v>0.40423479281405728</v>
      </c>
      <c r="G39">
        <f t="shared" ca="1" si="1"/>
        <v>0.41338745653942466</v>
      </c>
      <c r="H39">
        <f t="shared" ca="1" si="1"/>
        <v>0.82854152569934025</v>
      </c>
      <c r="I39">
        <f t="shared" ca="1" si="1"/>
        <v>8.281465137327082E-3</v>
      </c>
      <c r="J39">
        <f t="shared" ca="1" si="1"/>
        <v>9.4050134189455292E-2</v>
      </c>
      <c r="K39">
        <f t="shared" ca="1" si="1"/>
        <v>0.75412097537132095</v>
      </c>
    </row>
    <row r="40" spans="1:11">
      <c r="A40">
        <v>38</v>
      </c>
      <c r="B40">
        <f t="shared" ca="1" si="1"/>
        <v>9.8854164154806634E-2</v>
      </c>
      <c r="C40">
        <f t="shared" ca="1" si="1"/>
        <v>0.57493651045580707</v>
      </c>
      <c r="D40">
        <f t="shared" ca="1" si="1"/>
        <v>0.23341481593680546</v>
      </c>
      <c r="E40">
        <f t="shared" ca="1" si="1"/>
        <v>0.95773696944208675</v>
      </c>
      <c r="F40">
        <f t="shared" ca="1" si="1"/>
        <v>0.60657778580690458</v>
      </c>
      <c r="G40">
        <f t="shared" ca="1" si="1"/>
        <v>0.65983534511859965</v>
      </c>
      <c r="H40">
        <f t="shared" ca="1" si="1"/>
        <v>0.68868839859770592</v>
      </c>
      <c r="I40">
        <f t="shared" ca="1" si="1"/>
        <v>0.90129833397193693</v>
      </c>
      <c r="J40">
        <f t="shared" ca="1" si="1"/>
        <v>0.29809779647819123</v>
      </c>
      <c r="K40">
        <f t="shared" ca="1" si="1"/>
        <v>0.14899090038832163</v>
      </c>
    </row>
    <row r="41" spans="1:11">
      <c r="A41">
        <v>39</v>
      </c>
      <c r="B41">
        <f t="shared" ca="1" si="1"/>
        <v>0.4231304838750749</v>
      </c>
      <c r="C41">
        <f t="shared" ca="1" si="1"/>
        <v>0.38703277516833223</v>
      </c>
      <c r="D41">
        <f t="shared" ca="1" si="1"/>
        <v>0.72099684030023115</v>
      </c>
      <c r="E41">
        <f t="shared" ca="1" si="1"/>
        <v>8.9874440006827427E-3</v>
      </c>
      <c r="F41">
        <f t="shared" ca="1" si="1"/>
        <v>0.13289915423056264</v>
      </c>
      <c r="G41">
        <f t="shared" ca="1" si="1"/>
        <v>0.3376414160186707</v>
      </c>
      <c r="H41">
        <f t="shared" ca="1" si="1"/>
        <v>4.1268013415688642E-2</v>
      </c>
      <c r="I41">
        <f t="shared" ca="1" si="1"/>
        <v>0.94351254916839178</v>
      </c>
      <c r="J41">
        <f t="shared" ca="1" si="1"/>
        <v>0.70488254149962337</v>
      </c>
      <c r="K41">
        <f t="shared" ca="1" si="1"/>
        <v>0.87908684072822485</v>
      </c>
    </row>
    <row r="42" spans="1:11">
      <c r="A42">
        <v>40</v>
      </c>
      <c r="B42">
        <f t="shared" ca="1" si="1"/>
        <v>2.3888295748140331E-2</v>
      </c>
      <c r="C42">
        <f t="shared" ca="1" si="1"/>
        <v>0.2978002657093346</v>
      </c>
      <c r="D42">
        <f t="shared" ca="1" si="1"/>
        <v>0.5227175139927358</v>
      </c>
      <c r="E42">
        <f t="shared" ca="1" si="1"/>
        <v>0.10541744192446911</v>
      </c>
      <c r="F42">
        <f t="shared" ca="1" si="1"/>
        <v>0.80307662257717505</v>
      </c>
      <c r="G42">
        <f t="shared" ca="1" si="1"/>
        <v>0.31141933163981461</v>
      </c>
      <c r="H42">
        <f t="shared" ca="1" si="1"/>
        <v>0.53287271293400162</v>
      </c>
      <c r="I42">
        <f t="shared" ca="1" si="1"/>
        <v>0.65345093171429891</v>
      </c>
      <c r="J42">
        <f t="shared" ca="1" si="1"/>
        <v>0.15982562624726704</v>
      </c>
      <c r="K42">
        <f t="shared" ca="1" si="1"/>
        <v>0.57260447363531064</v>
      </c>
    </row>
    <row r="43" spans="1:11">
      <c r="B43" t="s">
        <v>16</v>
      </c>
      <c r="C43" t="s">
        <v>122</v>
      </c>
      <c r="D43" t="s">
        <v>123</v>
      </c>
    </row>
    <row r="44" spans="1:11">
      <c r="B44">
        <f ca="1">SUM(B3:K42)</f>
        <v>207.25957272771274</v>
      </c>
      <c r="C44">
        <f ca="1">AVERAGE(B3:K42)</f>
        <v>0.51814893181928179</v>
      </c>
      <c r="D44">
        <f ca="1">STDEV(B3:K42)</f>
        <v>0.28127935191664699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:A5"/>
  <sheetViews>
    <sheetView workbookViewId="0">
      <selection activeCell="A6" sqref="A6"/>
    </sheetView>
  </sheetViews>
  <sheetFormatPr defaultRowHeight="15"/>
  <sheetData>
    <row r="1" spans="1:1">
      <c r="A1" t="s">
        <v>144</v>
      </c>
    </row>
    <row r="3" spans="1:1">
      <c r="A3" t="s">
        <v>3</v>
      </c>
    </row>
    <row r="4" spans="1:1">
      <c r="A4" t="s">
        <v>145</v>
      </c>
    </row>
    <row r="5" spans="1:1">
      <c r="A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dimension ref="A1:BI37"/>
  <sheetViews>
    <sheetView workbookViewId="0">
      <selection activeCell="L23" sqref="L23"/>
    </sheetView>
  </sheetViews>
  <sheetFormatPr defaultRowHeight="15"/>
  <sheetData>
    <row r="1" spans="1:61">
      <c r="A1" t="s">
        <v>159</v>
      </c>
    </row>
    <row r="6" spans="1:61">
      <c r="B6" t="str">
        <f>Input!B6</f>
        <v>June</v>
      </c>
      <c r="C6" t="str">
        <f>Input!C6</f>
        <v>May</v>
      </c>
      <c r="D6" t="str">
        <f>Input!D6</f>
        <v>September</v>
      </c>
      <c r="E6" t="str">
        <f>Input!E6</f>
        <v>November</v>
      </c>
      <c r="F6" t="str">
        <f>Input!F6</f>
        <v>March</v>
      </c>
      <c r="G6" t="str">
        <f>Input!G6</f>
        <v>May</v>
      </c>
      <c r="H6" t="str">
        <f>Input!H6</f>
        <v>September</v>
      </c>
      <c r="I6" t="str">
        <f>Input!I6</f>
        <v>October</v>
      </c>
      <c r="J6" t="str">
        <f>Input!J6</f>
        <v>September</v>
      </c>
      <c r="K6" t="str">
        <f>Input!K6</f>
        <v>May</v>
      </c>
      <c r="L6" t="str">
        <f>Input!L6</f>
        <v>September</v>
      </c>
      <c r="M6" t="str">
        <f>Input!M6</f>
        <v>October</v>
      </c>
      <c r="N6" t="str">
        <f>Input!N6</f>
        <v>March</v>
      </c>
      <c r="O6" t="str">
        <f>Input!O6</f>
        <v>May</v>
      </c>
      <c r="P6" t="str">
        <f>Input!P6</f>
        <v>September</v>
      </c>
      <c r="Q6" t="str">
        <f>Input!Q6</f>
        <v>November</v>
      </c>
      <c r="R6" t="str">
        <f>Input!R6</f>
        <v>March</v>
      </c>
      <c r="S6" t="str">
        <f>Input!S6</f>
        <v>May</v>
      </c>
      <c r="T6" t="str">
        <f>Input!T6</f>
        <v>September</v>
      </c>
      <c r="U6" t="str">
        <f>Input!U6</f>
        <v>October</v>
      </c>
      <c r="V6" t="str">
        <f>Input!V6</f>
        <v>March</v>
      </c>
      <c r="W6" t="str">
        <f>Input!W6</f>
        <v>May</v>
      </c>
      <c r="X6" t="str">
        <f>Input!X6</f>
        <v>September</v>
      </c>
      <c r="Y6" t="str">
        <f>Input!Y6</f>
        <v>October</v>
      </c>
      <c r="Z6" t="str">
        <f>Input!Z6</f>
        <v>March</v>
      </c>
      <c r="AA6" t="str">
        <f>Input!AA6</f>
        <v>May</v>
      </c>
      <c r="AB6" t="str">
        <f>Input!AB6</f>
        <v>September</v>
      </c>
      <c r="AC6" t="str">
        <f>Input!AC6</f>
        <v>November</v>
      </c>
      <c r="AD6" t="str">
        <f>Input!AD6</f>
        <v>March</v>
      </c>
      <c r="AE6" t="str">
        <f>Input!AE6</f>
        <v>May</v>
      </c>
      <c r="AF6" t="str">
        <f>Input!AF6</f>
        <v>September</v>
      </c>
      <c r="AG6" t="str">
        <f>Input!AG6</f>
        <v>November</v>
      </c>
      <c r="AH6" t="str">
        <f>Input!AH6</f>
        <v>March</v>
      </c>
      <c r="AI6" t="str">
        <f>Input!AI6</f>
        <v>May</v>
      </c>
      <c r="AJ6" t="str">
        <f>Input!AJ6</f>
        <v>August</v>
      </c>
      <c r="AK6" t="str">
        <f>Input!AK6</f>
        <v>November</v>
      </c>
      <c r="AL6" t="str">
        <f>Input!AL6</f>
        <v>March</v>
      </c>
      <c r="AM6" t="str">
        <f>Input!AM6</f>
        <v>May</v>
      </c>
      <c r="AN6" t="str">
        <f>Input!AN6</f>
        <v>August</v>
      </c>
      <c r="AO6" t="str">
        <f>Input!AO6</f>
        <v>November</v>
      </c>
      <c r="AP6" t="str">
        <f>Input!AP6</f>
        <v>March</v>
      </c>
      <c r="AQ6" t="str">
        <f>Input!AQ6</f>
        <v>May</v>
      </c>
      <c r="AR6" t="str">
        <f>Input!AR6</f>
        <v>August</v>
      </c>
      <c r="AS6" t="str">
        <f>Input!AS6</f>
        <v>November</v>
      </c>
      <c r="AT6" t="str">
        <f>Input!AT6</f>
        <v>January</v>
      </c>
      <c r="AU6" t="str">
        <f>Input!AU6</f>
        <v>April</v>
      </c>
      <c r="AV6" t="str">
        <f>Input!AV6</f>
        <v>July</v>
      </c>
      <c r="AW6" t="str">
        <f>Input!AW6</f>
        <v>October</v>
      </c>
      <c r="AX6" t="str">
        <f>Input!AX6</f>
        <v>January</v>
      </c>
      <c r="AY6" t="str">
        <f>Input!AY6</f>
        <v>April</v>
      </c>
      <c r="AZ6" t="str">
        <f>Input!AZ6</f>
        <v>July</v>
      </c>
      <c r="BA6" t="str">
        <f>Input!BA6</f>
        <v>November</v>
      </c>
      <c r="BB6" t="str">
        <f>Input!BB6</f>
        <v>February</v>
      </c>
      <c r="BC6" t="str">
        <f>Input!BC6</f>
        <v>May</v>
      </c>
      <c r="BD6" t="str">
        <f>Input!BD6</f>
        <v>August</v>
      </c>
      <c r="BE6" t="str">
        <f>Input!BE6</f>
        <v>November</v>
      </c>
      <c r="BF6" t="str">
        <f>Input!BF6</f>
        <v>February</v>
      </c>
      <c r="BG6" t="str">
        <f>Input!BG6</f>
        <v>May</v>
      </c>
      <c r="BH6" t="str">
        <f>Input!BH6</f>
        <v>August</v>
      </c>
      <c r="BI6" t="str">
        <f>Input!BI6</f>
        <v>November</v>
      </c>
    </row>
    <row r="7" spans="1:61">
      <c r="A7" t="str">
        <f>Input!A7</f>
        <v>qtr</v>
      </c>
      <c r="B7">
        <f>Input!B7</f>
        <v>2</v>
      </c>
      <c r="C7">
        <f>Input!C7</f>
        <v>2</v>
      </c>
      <c r="D7">
        <f>Input!D7</f>
        <v>3</v>
      </c>
      <c r="E7">
        <f>Input!E7</f>
        <v>4</v>
      </c>
      <c r="F7">
        <f>Input!F7</f>
        <v>1</v>
      </c>
      <c r="G7">
        <f>Input!G7</f>
        <v>2</v>
      </c>
      <c r="H7">
        <f>Input!H7</f>
        <v>3</v>
      </c>
      <c r="I7">
        <f>Input!I7</f>
        <v>4</v>
      </c>
      <c r="J7">
        <f>Input!J7</f>
        <v>3</v>
      </c>
      <c r="K7">
        <f>Input!K7</f>
        <v>2</v>
      </c>
      <c r="L7">
        <f>Input!L7</f>
        <v>3</v>
      </c>
      <c r="M7">
        <f>Input!M7</f>
        <v>4</v>
      </c>
      <c r="N7">
        <f>Input!N7</f>
        <v>1</v>
      </c>
      <c r="O7">
        <f>Input!O7</f>
        <v>2</v>
      </c>
      <c r="P7">
        <f>Input!P7</f>
        <v>3</v>
      </c>
      <c r="Q7">
        <f>Input!Q7</f>
        <v>4</v>
      </c>
      <c r="R7">
        <f>Input!R7</f>
        <v>1</v>
      </c>
      <c r="S7">
        <f>Input!S7</f>
        <v>2</v>
      </c>
      <c r="T7">
        <f>Input!T7</f>
        <v>3</v>
      </c>
      <c r="U7">
        <f>Input!U7</f>
        <v>4</v>
      </c>
      <c r="V7">
        <f>Input!V7</f>
        <v>1</v>
      </c>
      <c r="W7">
        <f>Input!W7</f>
        <v>2</v>
      </c>
      <c r="X7">
        <f>Input!X7</f>
        <v>3</v>
      </c>
      <c r="Y7">
        <f>Input!Y7</f>
        <v>4</v>
      </c>
      <c r="Z7">
        <f>Input!Z7</f>
        <v>1</v>
      </c>
      <c r="AA7">
        <f>Input!AA7</f>
        <v>2</v>
      </c>
      <c r="AB7">
        <f>Input!AB7</f>
        <v>3</v>
      </c>
      <c r="AC7">
        <f>Input!AC7</f>
        <v>4</v>
      </c>
      <c r="AD7">
        <f>Input!AD7</f>
        <v>1</v>
      </c>
      <c r="AE7">
        <f>Input!AE7</f>
        <v>2</v>
      </c>
      <c r="AF7">
        <f>Input!AF7</f>
        <v>3</v>
      </c>
      <c r="AG7">
        <f>Input!AG7</f>
        <v>4</v>
      </c>
      <c r="AH7">
        <f>Input!AH7</f>
        <v>1</v>
      </c>
      <c r="AI7">
        <f>Input!AI7</f>
        <v>2</v>
      </c>
      <c r="AJ7">
        <f>Input!AJ7</f>
        <v>3</v>
      </c>
      <c r="AK7">
        <f>Input!AK7</f>
        <v>4</v>
      </c>
      <c r="AL7">
        <f>Input!AL7</f>
        <v>1</v>
      </c>
      <c r="AM7">
        <f>Input!AM7</f>
        <v>2</v>
      </c>
      <c r="AN7">
        <f>Input!AN7</f>
        <v>3</v>
      </c>
      <c r="AO7">
        <f>Input!AO7</f>
        <v>4</v>
      </c>
      <c r="AP7">
        <f>Input!AP7</f>
        <v>1</v>
      </c>
      <c r="AQ7">
        <f>Input!AQ7</f>
        <v>2</v>
      </c>
      <c r="AR7">
        <f>Input!AR7</f>
        <v>3</v>
      </c>
      <c r="AS7">
        <f>Input!AS7</f>
        <v>4</v>
      </c>
      <c r="AT7">
        <f>Input!AT7</f>
        <v>1</v>
      </c>
      <c r="AU7">
        <f>Input!AU7</f>
        <v>2</v>
      </c>
      <c r="AV7">
        <f>Input!AV7</f>
        <v>3</v>
      </c>
      <c r="AW7">
        <f>Input!AW7</f>
        <v>4</v>
      </c>
      <c r="AX7">
        <f>Input!AX7</f>
        <v>1</v>
      </c>
      <c r="AY7">
        <f>Input!AY7</f>
        <v>2</v>
      </c>
      <c r="AZ7">
        <f>Input!AZ7</f>
        <v>3</v>
      </c>
      <c r="BA7">
        <f>Input!BA7</f>
        <v>4</v>
      </c>
      <c r="BB7">
        <f>Input!BB7</f>
        <v>1</v>
      </c>
      <c r="BC7">
        <f>Input!BC7</f>
        <v>2</v>
      </c>
      <c r="BD7">
        <f>Input!BD7</f>
        <v>3</v>
      </c>
      <c r="BE7">
        <f>Input!BE7</f>
        <v>4</v>
      </c>
      <c r="BF7">
        <f>Input!BF7</f>
        <v>1</v>
      </c>
      <c r="BG7">
        <f>Input!BG7</f>
        <v>2</v>
      </c>
      <c r="BH7">
        <f>Input!BH7</f>
        <v>3</v>
      </c>
      <c r="BI7">
        <f>Input!BI7</f>
        <v>4</v>
      </c>
    </row>
    <row r="8" spans="1:61">
      <c r="A8" t="str">
        <f>Input!A8</f>
        <v>year</v>
      </c>
      <c r="B8" t="str">
        <f>Input!B8</f>
        <v>2006</v>
      </c>
      <c r="C8" t="str">
        <f>Input!C8</f>
        <v>2005</v>
      </c>
      <c r="D8" t="str">
        <f>Input!D8</f>
        <v>2006</v>
      </c>
      <c r="E8" t="str">
        <f>Input!E8</f>
        <v>2005</v>
      </c>
      <c r="F8" t="str">
        <f>Input!F8</f>
        <v>2007</v>
      </c>
      <c r="G8" t="str">
        <f>Input!G8</f>
        <v>2006</v>
      </c>
      <c r="H8" t="str">
        <f>Input!H8</f>
        <v>2007</v>
      </c>
      <c r="I8" t="str">
        <f>Input!I8</f>
        <v>2006</v>
      </c>
      <c r="J8" t="str">
        <f>Input!J8</f>
        <v>2008</v>
      </c>
      <c r="K8" t="str">
        <f>Input!K8</f>
        <v>2007</v>
      </c>
      <c r="L8" t="str">
        <f>Input!L8</f>
        <v>2008</v>
      </c>
      <c r="M8" t="str">
        <f>Input!M8</f>
        <v>2007</v>
      </c>
      <c r="N8" t="str">
        <f>Input!N8</f>
        <v>2009</v>
      </c>
      <c r="O8" t="str">
        <f>Input!O8</f>
        <v>2008</v>
      </c>
      <c r="P8" t="str">
        <f>Input!P8</f>
        <v>2009</v>
      </c>
      <c r="Q8" t="str">
        <f>Input!Q8</f>
        <v>2008</v>
      </c>
      <c r="R8" t="str">
        <f>Input!R8</f>
        <v>2010</v>
      </c>
      <c r="S8" t="str">
        <f>Input!S8</f>
        <v>2009</v>
      </c>
      <c r="T8" t="str">
        <f>Input!T8</f>
        <v>2010</v>
      </c>
      <c r="U8" t="str">
        <f>Input!U8</f>
        <v>2009</v>
      </c>
      <c r="V8" t="str">
        <f>Input!V8</f>
        <v>2011</v>
      </c>
      <c r="W8" t="str">
        <f>Input!W8</f>
        <v>2010</v>
      </c>
      <c r="X8" t="str">
        <f>Input!X8</f>
        <v>2011</v>
      </c>
      <c r="Y8" t="str">
        <f>Input!Y8</f>
        <v>2010</v>
      </c>
      <c r="Z8" t="str">
        <f>Input!Z8</f>
        <v>2012</v>
      </c>
      <c r="AA8" t="str">
        <f>Input!AA8</f>
        <v>2011</v>
      </c>
      <c r="AB8" t="str">
        <f>Input!AB8</f>
        <v>2012</v>
      </c>
      <c r="AC8" t="str">
        <f>Input!AC8</f>
        <v>2011</v>
      </c>
      <c r="AD8" t="str">
        <f>Input!AD8</f>
        <v>2013</v>
      </c>
      <c r="AE8" t="str">
        <f>Input!AE8</f>
        <v>2012</v>
      </c>
      <c r="AF8" t="str">
        <f>Input!AF8</f>
        <v>2012</v>
      </c>
      <c r="AG8" t="str">
        <f>Input!AG8</f>
        <v>2012</v>
      </c>
      <c r="AH8" t="str">
        <f>Input!AH8</f>
        <v>2014</v>
      </c>
      <c r="AI8" t="str">
        <f>Input!AI8</f>
        <v>2013</v>
      </c>
      <c r="AJ8" t="str">
        <f>Input!AJ8</f>
        <v>2013</v>
      </c>
      <c r="AK8" t="str">
        <f>Input!AK8</f>
        <v>2013</v>
      </c>
      <c r="AL8" t="str">
        <f>Input!AL8</f>
        <v>2014</v>
      </c>
      <c r="AM8" t="str">
        <f>Input!AM8</f>
        <v>2014</v>
      </c>
      <c r="AN8" t="str">
        <f>Input!AN8</f>
        <v>2014</v>
      </c>
      <c r="AO8" t="str">
        <f>Input!AO8</f>
        <v>2014</v>
      </c>
      <c r="AP8" t="str">
        <f>Input!AP8</f>
        <v>2015</v>
      </c>
      <c r="AQ8" t="str">
        <f>Input!AQ8</f>
        <v>2015</v>
      </c>
      <c r="AR8" t="str">
        <f>Input!AR8</f>
        <v>2015</v>
      </c>
      <c r="AS8" t="str">
        <f>Input!AS8</f>
        <v>2015</v>
      </c>
      <c r="AT8" t="str">
        <f>Input!AT8</f>
        <v>2015</v>
      </c>
      <c r="AU8" t="str">
        <f>Input!AU8</f>
        <v>2015</v>
      </c>
      <c r="AV8" t="str">
        <f>Input!AV8</f>
        <v>2015</v>
      </c>
      <c r="AW8" t="str">
        <f>Input!AW8</f>
        <v>2015</v>
      </c>
      <c r="AX8" t="str">
        <f>Input!AX8</f>
        <v>2016</v>
      </c>
      <c r="AY8" t="str">
        <f>Input!AY8</f>
        <v>2016</v>
      </c>
      <c r="AZ8" t="str">
        <f>Input!AZ8</f>
        <v>2016</v>
      </c>
      <c r="BA8" t="str">
        <f>Input!BA8</f>
        <v>2016</v>
      </c>
      <c r="BB8" t="str">
        <f>Input!BB8</f>
        <v>2017</v>
      </c>
      <c r="BC8" t="str">
        <f>Input!BC8</f>
        <v>2017</v>
      </c>
      <c r="BD8" t="str">
        <f>Input!BD8</f>
        <v>2017</v>
      </c>
      <c r="BE8" t="str">
        <f>Input!BE8</f>
        <v>2017</v>
      </c>
      <c r="BF8" t="str">
        <f>Input!BF8</f>
        <v>2018</v>
      </c>
      <c r="BG8" t="str">
        <f>Input!BG8</f>
        <v>2018</v>
      </c>
      <c r="BH8" t="str">
        <f>Input!BH8</f>
        <v>2018</v>
      </c>
      <c r="BI8" t="str">
        <f>Input!BI8</f>
        <v>2018</v>
      </c>
    </row>
    <row r="9" spans="1:61">
      <c r="B9">
        <f>Input!B9</f>
        <v>38890</v>
      </c>
      <c r="C9">
        <f>Input!C9</f>
        <v>38481</v>
      </c>
      <c r="D9">
        <f>Input!D9</f>
        <v>38989</v>
      </c>
      <c r="E9">
        <f>Input!E9</f>
        <v>38663</v>
      </c>
      <c r="F9">
        <f>Input!F9</f>
        <v>39171</v>
      </c>
      <c r="G9">
        <f>Input!G9</f>
        <v>38841</v>
      </c>
      <c r="H9">
        <f>Input!H9</f>
        <v>39337</v>
      </c>
      <c r="I9">
        <f>Input!I9</f>
        <v>39020</v>
      </c>
      <c r="J9">
        <f>Input!J9</f>
        <v>39709</v>
      </c>
      <c r="K9">
        <f>Input!K9</f>
        <v>39217</v>
      </c>
      <c r="L9">
        <f>Input!L9</f>
        <v>39714</v>
      </c>
      <c r="M9">
        <f>Input!M9</f>
        <v>39385</v>
      </c>
      <c r="N9">
        <f>Input!N9</f>
        <v>39902</v>
      </c>
      <c r="O9">
        <f>Input!O9</f>
        <v>39573</v>
      </c>
      <c r="P9">
        <f>Input!P9</f>
        <v>40080</v>
      </c>
      <c r="Q9">
        <f>Input!Q9</f>
        <v>39758</v>
      </c>
      <c r="R9">
        <f>Input!R9</f>
        <v>40262</v>
      </c>
      <c r="S9">
        <f>Input!S9</f>
        <v>39940</v>
      </c>
      <c r="T9">
        <f>Input!T9</f>
        <v>40437</v>
      </c>
      <c r="U9">
        <f>Input!U9</f>
        <v>40115</v>
      </c>
      <c r="V9">
        <f>Input!V9</f>
        <v>40633</v>
      </c>
      <c r="W9">
        <f>Input!W9</f>
        <v>40304</v>
      </c>
      <c r="X9">
        <f>Input!X9</f>
        <v>40813</v>
      </c>
      <c r="Y9">
        <f>Input!Y9</f>
        <v>40479</v>
      </c>
      <c r="Z9">
        <f>Input!Z9</f>
        <v>40997</v>
      </c>
      <c r="AA9">
        <f>Input!AA9</f>
        <v>40667</v>
      </c>
      <c r="AB9">
        <f>Input!AB9</f>
        <v>41179</v>
      </c>
      <c r="AC9">
        <f>Input!AC9</f>
        <v>40849</v>
      </c>
      <c r="AD9">
        <f>Input!AD9</f>
        <v>41354</v>
      </c>
      <c r="AE9">
        <f>Input!AE9</f>
        <v>41038</v>
      </c>
      <c r="AF9">
        <f>Input!AF9</f>
        <v>41179</v>
      </c>
      <c r="AG9">
        <f>Input!AG9</f>
        <v>41221</v>
      </c>
      <c r="AH9">
        <f>Input!AH9</f>
        <v>41725</v>
      </c>
      <c r="AI9">
        <f>Input!AI9</f>
        <v>41402</v>
      </c>
      <c r="AJ9">
        <f>Input!AJ9</f>
        <v>41493</v>
      </c>
      <c r="AK9">
        <f>Input!AK9</f>
        <v>41584</v>
      </c>
      <c r="AL9">
        <f>Input!AL9</f>
        <v>41725</v>
      </c>
      <c r="AM9">
        <f>Input!AM9</f>
        <v>41773</v>
      </c>
      <c r="AN9">
        <f>Input!AN9</f>
        <v>41864</v>
      </c>
      <c r="AO9">
        <f>Input!AO9</f>
        <v>41955</v>
      </c>
      <c r="AP9">
        <f>Input!AP9</f>
        <v>42090</v>
      </c>
      <c r="AQ9">
        <f>Input!AQ9</f>
        <v>42138</v>
      </c>
      <c r="AR9">
        <f>Input!AR9</f>
        <v>42229</v>
      </c>
      <c r="AS9">
        <f>Input!AS9</f>
        <v>42320</v>
      </c>
      <c r="AT9">
        <f>Input!AT9</f>
        <v>42017</v>
      </c>
      <c r="AU9">
        <f>Input!AU9</f>
        <v>42111</v>
      </c>
      <c r="AV9">
        <f>Input!AV9</f>
        <v>42205</v>
      </c>
      <c r="AW9">
        <f>Input!AW9</f>
        <v>42299</v>
      </c>
      <c r="AX9">
        <f>Input!AX9</f>
        <v>42393</v>
      </c>
      <c r="AY9">
        <f>Input!AY9</f>
        <v>42487</v>
      </c>
      <c r="AZ9">
        <f>Input!AZ9</f>
        <v>42581</v>
      </c>
      <c r="BA9">
        <f>Input!BA9</f>
        <v>42675</v>
      </c>
      <c r="BB9">
        <f>Input!BB9</f>
        <v>42769</v>
      </c>
      <c r="BC9">
        <f>Input!BC9</f>
        <v>42863</v>
      </c>
      <c r="BD9">
        <f>Input!BD9</f>
        <v>42957</v>
      </c>
      <c r="BE9">
        <f>Input!BE9</f>
        <v>43051</v>
      </c>
      <c r="BF9">
        <f>Input!BF9</f>
        <v>43145</v>
      </c>
      <c r="BG9">
        <f>Input!BG9</f>
        <v>43239</v>
      </c>
      <c r="BH9">
        <f>Input!BH9</f>
        <v>43333</v>
      </c>
      <c r="BI9">
        <f>Input!BI9</f>
        <v>43427</v>
      </c>
    </row>
    <row r="10" spans="1:61">
      <c r="A10" t="str">
        <f>Input!A10</f>
        <v>IQ_TOTAL_REV</v>
      </c>
      <c r="B10">
        <f>Input!B10</f>
        <v>1.72</v>
      </c>
      <c r="C10">
        <f>Input!C10</f>
        <v>1.873</v>
      </c>
      <c r="D10">
        <f>Input!D10</f>
        <v>2.0030000000000001</v>
      </c>
      <c r="E10">
        <f>Input!E10</f>
        <v>0.68700000000000006</v>
      </c>
      <c r="F10">
        <f>Input!F10</f>
        <v>1.2849999999999999</v>
      </c>
      <c r="G10">
        <f>Input!G10</f>
        <v>1.4350000000000001</v>
      </c>
      <c r="H10">
        <f>Input!H10</f>
        <v>1.577</v>
      </c>
      <c r="I10">
        <f>Input!I10</f>
        <v>2.0739999999999998</v>
      </c>
      <c r="J10">
        <f>Input!J10</f>
        <v>3.3820000000000001</v>
      </c>
      <c r="K10">
        <f>Input!K10</f>
        <v>3.9049999999999998</v>
      </c>
      <c r="L10">
        <f>Input!L10</f>
        <v>4.6079999999999997</v>
      </c>
      <c r="M10">
        <f>Input!M10</f>
        <v>5.24</v>
      </c>
      <c r="N10">
        <f>Input!N10</f>
        <v>5.7350000000000003</v>
      </c>
      <c r="O10">
        <f>Input!O10</f>
        <v>6.95</v>
      </c>
      <c r="P10">
        <f>Input!P10</f>
        <v>8.0079999999999991</v>
      </c>
      <c r="Q10">
        <f>Input!Q10</f>
        <v>9.0229999999999997</v>
      </c>
      <c r="R10">
        <f>Input!R10</f>
        <v>9.5850000000000009</v>
      </c>
      <c r="S10">
        <f>Input!S10</f>
        <v>9.8480000000000008</v>
      </c>
      <c r="T10">
        <f>Input!T10</f>
        <v>6.673</v>
      </c>
      <c r="U10">
        <f>Input!U10</f>
        <v>10.651</v>
      </c>
      <c r="V10">
        <f>Input!V10</f>
        <v>12.874000000000001</v>
      </c>
      <c r="W10">
        <f>Input!W10</f>
        <v>13.587999999999999</v>
      </c>
      <c r="X10">
        <f>Input!X10</f>
        <v>14.897</v>
      </c>
      <c r="Y10">
        <f>Input!Y10</f>
        <v>16.376999999999999</v>
      </c>
      <c r="Z10">
        <f>Input!Z10</f>
        <v>17.135999999999999</v>
      </c>
      <c r="AA10">
        <f>Input!AA10</f>
        <v>13.179</v>
      </c>
      <c r="AB10">
        <f>Input!AB10</f>
        <v>17.306000000000001</v>
      </c>
      <c r="AC10">
        <f>Input!AC10</f>
        <v>18.702999999999999</v>
      </c>
      <c r="AD10">
        <f>Input!AD10</f>
        <v>14.269</v>
      </c>
      <c r="AE10">
        <f>Input!AE10</f>
        <v>14.414999999999999</v>
      </c>
      <c r="AF10">
        <f>Input!AF10</f>
        <v>15.798</v>
      </c>
      <c r="AG10">
        <f>Input!AG10</f>
        <v>9.2870000000000008</v>
      </c>
      <c r="AH10">
        <f>Input!AH10</f>
        <v>15.207000000000001</v>
      </c>
      <c r="AI10">
        <f>Input!AI10</f>
        <v>15.295999999999999</v>
      </c>
      <c r="AJ10">
        <f>Input!AJ10</f>
        <v>16.652999999999999</v>
      </c>
      <c r="AK10">
        <f>Input!AK10</f>
        <v>18.803999999999998</v>
      </c>
      <c r="AL10">
        <f>Input!AL10</f>
        <v>20.097000000000001</v>
      </c>
      <c r="AM10">
        <f>Input!AM10</f>
        <v>20.288</v>
      </c>
      <c r="AN10">
        <f>Input!AN10</f>
        <v>22.102</v>
      </c>
      <c r="AO10">
        <f>Input!AO10</f>
        <v>19.241</v>
      </c>
    </row>
    <row r="11" spans="1:61">
      <c r="A11" t="str">
        <f>Input!A11</f>
        <v>IQ_EBITDA_MARGIN</v>
      </c>
      <c r="B11">
        <f>Input!B11</f>
        <v>-1.0773250000000001</v>
      </c>
      <c r="C11">
        <f>Input!C11</f>
        <v>-0.99279200000000001</v>
      </c>
      <c r="D11">
        <f>Input!D11</f>
        <v>-1.158012</v>
      </c>
      <c r="E11" t="str">
        <f>Input!E11</f>
        <v/>
      </c>
      <c r="F11">
        <f>Input!F11</f>
        <v>-1.320233</v>
      </c>
      <c r="G11">
        <f>Input!G11</f>
        <v>-1.810627</v>
      </c>
      <c r="H11">
        <f>Input!H11</f>
        <v>-1.377615</v>
      </c>
      <c r="I11">
        <f>Input!I11</f>
        <v>-0.93117099999999997</v>
      </c>
      <c r="J11">
        <f>Input!J11</f>
        <v>-0.354597</v>
      </c>
      <c r="K11">
        <f>Input!K11</f>
        <v>-0.257938</v>
      </c>
      <c r="L11">
        <f>Input!L11</f>
        <v>-0.42285099999999998</v>
      </c>
      <c r="M11">
        <f>Input!M11</f>
        <v>-5.9017E-2</v>
      </c>
      <c r="N11">
        <f>Input!N11</f>
        <v>-2.6983E-2</v>
      </c>
      <c r="O11">
        <f>Input!O11</f>
        <v>-0.157805</v>
      </c>
      <c r="P11">
        <f>Input!P11</f>
        <v>3.6088000000000002E-2</v>
      </c>
      <c r="Q11">
        <f>Input!Q11</f>
        <v>8.4034999999999999E-2</v>
      </c>
      <c r="R11">
        <f>Input!R11</f>
        <v>0.13888800000000001</v>
      </c>
      <c r="S11">
        <f>Input!S11</f>
        <v>0.18493600000000002</v>
      </c>
      <c r="T11">
        <f>Input!T11</f>
        <v>-2.4575999999999997E-2</v>
      </c>
      <c r="U11">
        <f>Input!U11</f>
        <v>0.22263100000000002</v>
      </c>
      <c r="V11">
        <f>Input!V11</f>
        <v>0.29644999999999999</v>
      </c>
      <c r="W11">
        <f>Input!W11</f>
        <v>0.330291</v>
      </c>
      <c r="X11">
        <f>Input!X11</f>
        <v>0.36698599999999998</v>
      </c>
      <c r="Y11">
        <f>Input!Y11</f>
        <v>0.42480299999999999</v>
      </c>
      <c r="Z11">
        <f>Input!Z11</f>
        <v>0.39238999999999996</v>
      </c>
      <c r="AA11">
        <f>Input!AA11</f>
        <v>0.22824100000000003</v>
      </c>
      <c r="AB11">
        <f>Input!AB11</f>
        <v>0.402808</v>
      </c>
      <c r="AC11">
        <f>Input!AC11</f>
        <v>0.39287799999999995</v>
      </c>
      <c r="AD11">
        <f>Input!AD11</f>
        <v>0.25208400000000003</v>
      </c>
      <c r="AE11">
        <f>Input!AE11</f>
        <v>0.32452300000000001</v>
      </c>
      <c r="AF11">
        <f>Input!AF11</f>
        <v>0.318268</v>
      </c>
      <c r="AG11">
        <f>Input!AG11</f>
        <v>-2.8103E-2</v>
      </c>
      <c r="AH11">
        <f>Input!AH11</f>
        <v>0.29164200000000001</v>
      </c>
      <c r="AI11">
        <f>Input!AI11</f>
        <v>0.206263</v>
      </c>
      <c r="AJ11">
        <f>Input!AJ11</f>
        <v>0.28649400000000003</v>
      </c>
      <c r="AK11">
        <f>Input!AK11</f>
        <v>0.32966299999999998</v>
      </c>
      <c r="AL11">
        <f>Input!AL11</f>
        <v>0.304921</v>
      </c>
      <c r="AM11">
        <f>Input!AM11</f>
        <v>0.28558700000000004</v>
      </c>
      <c r="AN11">
        <f>Input!AN11</f>
        <v>0.30567299999999997</v>
      </c>
      <c r="AO11">
        <f>Input!AO11</f>
        <v>0.22639099999999998</v>
      </c>
    </row>
    <row r="12" spans="1:61">
      <c r="A12" t="str">
        <f>Input!A12</f>
        <v>IQ_EBITDA</v>
      </c>
      <c r="B12">
        <f>Input!B12</f>
        <v>-1.8529990000000001</v>
      </c>
      <c r="C12">
        <f>Input!C12</f>
        <v>-1.859499416</v>
      </c>
      <c r="D12">
        <f>Input!D12</f>
        <v>-2.3194980360000002</v>
      </c>
      <c r="E12" t="str">
        <f>Input!E12</f>
        <v/>
      </c>
      <c r="F12">
        <f>Input!F12</f>
        <v>-1.696499405</v>
      </c>
      <c r="G12">
        <f>Input!G12</f>
        <v>-2.5982497449999999</v>
      </c>
      <c r="H12">
        <f>Input!H12</f>
        <v>-2.1724988550000002</v>
      </c>
      <c r="I12">
        <f>Input!I12</f>
        <v>-1.9312486539999998</v>
      </c>
      <c r="J12">
        <f>Input!J12</f>
        <v>-1.199247054</v>
      </c>
      <c r="K12">
        <f>Input!K12</f>
        <v>-1.0072478899999999</v>
      </c>
      <c r="L12">
        <f>Input!L12</f>
        <v>-1.9484974079999997</v>
      </c>
      <c r="M12">
        <f>Input!M12</f>
        <v>-0.30924908000000001</v>
      </c>
      <c r="N12">
        <f>Input!N12</f>
        <v>-0.15474750500000001</v>
      </c>
      <c r="O12">
        <f>Input!O12</f>
        <v>-1.09674475</v>
      </c>
      <c r="P12">
        <f>Input!P12</f>
        <v>0.28899270399999999</v>
      </c>
      <c r="Q12">
        <f>Input!Q12</f>
        <v>0.758247805</v>
      </c>
      <c r="R12">
        <f>Input!R12</f>
        <v>1.3312414800000003</v>
      </c>
      <c r="S12">
        <f>Input!S12</f>
        <v>1.8212497280000004</v>
      </c>
      <c r="T12">
        <f>Input!T12</f>
        <v>-0.16399564799999999</v>
      </c>
      <c r="U12">
        <f>Input!U12</f>
        <v>2.3712427810000003</v>
      </c>
      <c r="V12">
        <f>Input!V12</f>
        <v>3.8164973</v>
      </c>
      <c r="W12">
        <f>Input!W12</f>
        <v>4.4879941079999996</v>
      </c>
      <c r="X12">
        <f>Input!X12</f>
        <v>5.4669904420000002</v>
      </c>
      <c r="Y12">
        <f>Input!Y12</f>
        <v>6.9569987309999997</v>
      </c>
      <c r="Z12">
        <f>Input!Z12</f>
        <v>6.7239950399999993</v>
      </c>
      <c r="AA12">
        <f>Input!AA12</f>
        <v>3.0079881390000005</v>
      </c>
      <c r="AB12">
        <f>Input!AB12</f>
        <v>6.9709952480000004</v>
      </c>
      <c r="AC12">
        <f>Input!AC12</f>
        <v>7.3479972339999984</v>
      </c>
      <c r="AD12">
        <f>Input!AD12</f>
        <v>3.5969865960000003</v>
      </c>
      <c r="AE12">
        <f>Input!AE12</f>
        <v>4.677999045</v>
      </c>
      <c r="AF12">
        <f>Input!AF12</f>
        <v>5.0279978639999996</v>
      </c>
      <c r="AG12">
        <f>Input!AG12</f>
        <v>-0.26099256100000001</v>
      </c>
      <c r="AH12">
        <f>Input!AH12</f>
        <v>4.4349998940000006</v>
      </c>
      <c r="AI12">
        <f>Input!AI12</f>
        <v>3.154998848</v>
      </c>
      <c r="AJ12">
        <f>Input!AJ12</f>
        <v>4.7709845819999996</v>
      </c>
      <c r="AK12">
        <f>Input!AK12</f>
        <v>6.1989830519999991</v>
      </c>
      <c r="AL12">
        <f>Input!AL12</f>
        <v>6.127997337</v>
      </c>
      <c r="AM12">
        <f>Input!AM12</f>
        <v>5.7939890560000009</v>
      </c>
      <c r="AN12">
        <f>Input!AN12</f>
        <v>6.7559846459999999</v>
      </c>
      <c r="AO12">
        <f>Input!AO12</f>
        <v>4.3559892309999997</v>
      </c>
    </row>
    <row r="13" spans="1:61">
      <c r="A13" t="str">
        <f>Input!A13</f>
        <v>IQ_TEV_EBITDA</v>
      </c>
      <c r="B13" t="str">
        <f>Input!B13</f>
        <v/>
      </c>
      <c r="C13" t="str">
        <f>Input!C13</f>
        <v/>
      </c>
      <c r="D13" t="str">
        <f>Input!D13</f>
        <v/>
      </c>
      <c r="E13" t="str">
        <f>Input!E13</f>
        <v/>
      </c>
      <c r="F13" t="str">
        <f>Input!F13</f>
        <v/>
      </c>
      <c r="G13" t="str">
        <f>Input!G13</f>
        <v/>
      </c>
      <c r="H13" t="str">
        <f>Input!H13</f>
        <v/>
      </c>
      <c r="I13" t="str">
        <f>Input!I13</f>
        <v/>
      </c>
      <c r="J13" t="str">
        <f>Input!J13</f>
        <v/>
      </c>
      <c r="K13" t="str">
        <f>Input!K13</f>
        <v/>
      </c>
      <c r="L13" t="str">
        <f>Input!L13</f>
        <v/>
      </c>
      <c r="M13" t="str">
        <f>Input!M13</f>
        <v/>
      </c>
      <c r="N13">
        <f>Input!N13</f>
        <v>125.51311</v>
      </c>
      <c r="O13" t="str">
        <f>Input!O13</f>
        <v/>
      </c>
      <c r="P13">
        <f>Input!P13</f>
        <v>63.191609999999997</v>
      </c>
      <c r="Q13" t="str">
        <f>Input!Q13</f>
        <v/>
      </c>
      <c r="R13">
        <f>Input!R13</f>
        <v>50.030500000000004</v>
      </c>
      <c r="S13">
        <f>Input!S13</f>
        <v>56.752139999999997</v>
      </c>
      <c r="T13">
        <f>Input!T13</f>
        <v>34.621200000000002</v>
      </c>
      <c r="U13">
        <f>Input!U13</f>
        <v>38.972050000000003</v>
      </c>
      <c r="V13">
        <f>Input!V13</f>
        <v>27.222529999999999</v>
      </c>
      <c r="W13">
        <f>Input!W13</f>
        <v>31.186160000000001</v>
      </c>
      <c r="X13">
        <f>Input!X13</f>
        <v>33.832509999999999</v>
      </c>
      <c r="Y13">
        <f>Input!Y13</f>
        <v>26.3765</v>
      </c>
      <c r="Z13">
        <f>Input!Z13</f>
        <v>50.209290000000003</v>
      </c>
      <c r="AA13">
        <f>Input!AA13</f>
        <v>33.120449999999998</v>
      </c>
      <c r="AB13">
        <f>Input!AB13</f>
        <v>36.091679999999997</v>
      </c>
      <c r="AC13">
        <f>Input!AC13</f>
        <v>30.171980000000001</v>
      </c>
      <c r="AD13">
        <f>Input!AD13</f>
        <v>38.46564</v>
      </c>
      <c r="AE13">
        <f>Input!AE13</f>
        <v>47.047800000000002</v>
      </c>
      <c r="AF13">
        <f>Input!AF13</f>
        <v>36.091679999999997</v>
      </c>
      <c r="AG13">
        <f>Input!AG13</f>
        <v>59.901649999999997</v>
      </c>
      <c r="AH13">
        <f>Input!AH13</f>
        <v>26.60305</v>
      </c>
      <c r="AI13">
        <f>Input!AI13</f>
        <v>46.115130000000001</v>
      </c>
      <c r="AJ13">
        <f>Input!AJ13</f>
        <v>59.125869999999999</v>
      </c>
      <c r="AK13">
        <f>Input!AK13</f>
        <v>29.96048</v>
      </c>
      <c r="AL13">
        <f>Input!AL13</f>
        <v>26.60305</v>
      </c>
      <c r="AM13">
        <f>Input!AM13</f>
        <v>24.44135</v>
      </c>
      <c r="AN13">
        <f>Input!AN13</f>
        <v>20.622530000000001</v>
      </c>
      <c r="AO13">
        <f>Input!AO13</f>
        <v>15.90823</v>
      </c>
    </row>
    <row r="14" spans="1:61">
      <c r="A14" t="str">
        <f>Input!A14</f>
        <v>EV</v>
      </c>
      <c r="B14" t="str">
        <f>Input!B14</f>
        <v/>
      </c>
      <c r="C14" t="str">
        <f>Input!C14</f>
        <v/>
      </c>
      <c r="D14" t="str">
        <f>Input!D14</f>
        <v/>
      </c>
      <c r="E14" t="str">
        <f>Input!E14</f>
        <v/>
      </c>
      <c r="F14" t="str">
        <f>Input!F14</f>
        <v/>
      </c>
      <c r="G14" t="str">
        <f>Input!G14</f>
        <v/>
      </c>
      <c r="H14" t="str">
        <f>Input!H14</f>
        <v/>
      </c>
      <c r="I14" t="str">
        <f>Input!I14</f>
        <v/>
      </c>
      <c r="J14" t="str">
        <f>Input!J14</f>
        <v/>
      </c>
      <c r="K14" t="str">
        <f>Input!K14</f>
        <v/>
      </c>
      <c r="L14" t="str">
        <f>Input!L14</f>
        <v/>
      </c>
      <c r="M14" t="str">
        <f>Input!M14</f>
        <v/>
      </c>
      <c r="N14">
        <f>Input!N14</f>
        <v>-77.6913624691622</v>
      </c>
      <c r="O14" t="str">
        <f>Input!O14</f>
        <v/>
      </c>
      <c r="P14">
        <f>Input!P14</f>
        <v>73.047656976053759</v>
      </c>
      <c r="Q14" t="str">
        <f>Input!Q14</f>
        <v/>
      </c>
      <c r="R14">
        <f>Input!R14</f>
        <v>266.4107074605601</v>
      </c>
      <c r="S14">
        <f>Input!S14</f>
        <v>413.43927815367175</v>
      </c>
      <c r="T14">
        <f>Input!T14</f>
        <v>-22.7109045141504</v>
      </c>
      <c r="U14">
        <f>Input!U14</f>
        <v>369.64876889308425</v>
      </c>
      <c r="V14">
        <f>Input!V14</f>
        <v>415.578848976676</v>
      </c>
      <c r="W14">
        <f>Input!W14</f>
        <v>559.85320932458114</v>
      </c>
      <c r="X14">
        <f>Input!X14</f>
        <v>739.84803519547768</v>
      </c>
      <c r="Y14">
        <f>Input!Y14</f>
        <v>734.00510811288598</v>
      </c>
      <c r="Z14">
        <f>Input!Z14</f>
        <v>1350.4280676876863</v>
      </c>
      <c r="AA14">
        <f>Input!AA14</f>
        <v>398.50368303337024</v>
      </c>
      <c r="AB14">
        <f>Input!AB14</f>
        <v>1006.3797190893465</v>
      </c>
      <c r="AC14">
        <f>Input!AC14</f>
        <v>886.81450233721307</v>
      </c>
      <c r="AD14">
        <f>Input!AD14</f>
        <v>553.44156594624576</v>
      </c>
      <c r="AE14">
        <f>Input!AE14</f>
        <v>880.35825387740408</v>
      </c>
      <c r="AF14">
        <f>Input!AF14</f>
        <v>725.87555979268598</v>
      </c>
      <c r="AG14">
        <f>Input!AG14</f>
        <v>-62.535540166502599</v>
      </c>
      <c r="AH14">
        <f>Input!AH14</f>
        <v>471.93809572030688</v>
      </c>
      <c r="AI14">
        <f>Input!AI14</f>
        <v>581.97272810148093</v>
      </c>
      <c r="AJ14">
        <f>Input!AJ14</f>
        <v>1128.3544566693452</v>
      </c>
      <c r="AK14">
        <f>Input!AK14</f>
        <v>742.89803099913979</v>
      </c>
      <c r="AL14">
        <f>Input!AL14</f>
        <v>652.09367822431136</v>
      </c>
      <c r="AM14">
        <f>Input!AM14</f>
        <v>566.45165765546244</v>
      </c>
      <c r="AN14">
        <f>Input!AN14</f>
        <v>557.30198416669759</v>
      </c>
      <c r="AO14">
        <f>Input!AO14</f>
        <v>277.18431425708451</v>
      </c>
    </row>
    <row r="18" spans="1:41">
      <c r="A18" t="s">
        <v>160</v>
      </c>
      <c r="B18">
        <f>LOG(B10,10)</f>
        <v>0.2355284469075489</v>
      </c>
      <c r="C18">
        <f t="shared" ref="C18:AO18" si="0">LOG(C10,10)</f>
        <v>0.27253777737523732</v>
      </c>
      <c r="D18">
        <f t="shared" si="0"/>
        <v>0.30168094929357625</v>
      </c>
      <c r="E18">
        <f t="shared" si="0"/>
        <v>-0.16304326294044952</v>
      </c>
      <c r="F18">
        <f t="shared" si="0"/>
        <v>0.1089031276673133</v>
      </c>
      <c r="G18">
        <f t="shared" si="0"/>
        <v>0.15685190107001112</v>
      </c>
      <c r="H18">
        <f t="shared" si="0"/>
        <v>0.19783169332890285</v>
      </c>
      <c r="I18">
        <f t="shared" si="0"/>
        <v>0.31680875205302211</v>
      </c>
      <c r="J18">
        <f t="shared" si="0"/>
        <v>0.52917360326172291</v>
      </c>
      <c r="K18">
        <f t="shared" si="0"/>
        <v>0.59162103821331902</v>
      </c>
      <c r="L18">
        <f t="shared" si="0"/>
        <v>0.66351247041515549</v>
      </c>
      <c r="M18">
        <f t="shared" si="0"/>
        <v>0.71933128698372661</v>
      </c>
      <c r="N18">
        <f t="shared" si="0"/>
        <v>0.75853342223728648</v>
      </c>
      <c r="O18">
        <f t="shared" si="0"/>
        <v>0.84198480459011382</v>
      </c>
      <c r="P18">
        <f t="shared" si="0"/>
        <v>0.9035240644712621</v>
      </c>
      <c r="Q18">
        <f t="shared" si="0"/>
        <v>0.95535095736765974</v>
      </c>
      <c r="R18">
        <f t="shared" si="0"/>
        <v>0.98159211721408135</v>
      </c>
      <c r="S18">
        <f t="shared" si="0"/>
        <v>0.99334803992325982</v>
      </c>
      <c r="T18">
        <f t="shared" si="0"/>
        <v>0.82432112485077114</v>
      </c>
      <c r="U18">
        <f t="shared" si="0"/>
        <v>1.0273903846849692</v>
      </c>
      <c r="V18">
        <f t="shared" si="0"/>
        <v>1.1097135047929503</v>
      </c>
      <c r="W18">
        <f t="shared" si="0"/>
        <v>1.1331555381979903</v>
      </c>
      <c r="X18">
        <f t="shared" si="0"/>
        <v>1.1730988177662283</v>
      </c>
      <c r="Y18">
        <f t="shared" si="0"/>
        <v>1.2142343490256235</v>
      </c>
      <c r="Z18">
        <f t="shared" si="0"/>
        <v>1.2339094534877804</v>
      </c>
      <c r="AA18">
        <f t="shared" si="0"/>
        <v>1.1198824579849829</v>
      </c>
      <c r="AB18">
        <f t="shared" si="0"/>
        <v>1.2381966993790139</v>
      </c>
      <c r="AC18">
        <f t="shared" si="0"/>
        <v>1.2719112738598957</v>
      </c>
      <c r="AD18">
        <f t="shared" si="0"/>
        <v>1.1543935379569974</v>
      </c>
      <c r="AE18">
        <f t="shared" si="0"/>
        <v>1.1588146467242264</v>
      </c>
      <c r="AF18">
        <f t="shared" si="0"/>
        <v>1.1986021094897117</v>
      </c>
      <c r="AG18">
        <f t="shared" si="0"/>
        <v>0.96787544554803318</v>
      </c>
      <c r="AH18">
        <f t="shared" si="0"/>
        <v>1.1820435459430643</v>
      </c>
      <c r="AI18">
        <f t="shared" si="0"/>
        <v>1.1845778749320246</v>
      </c>
      <c r="AJ18">
        <f t="shared" si="0"/>
        <v>1.2214924820515229</v>
      </c>
      <c r="AK18">
        <f t="shared" si="0"/>
        <v>1.2742502425162148</v>
      </c>
      <c r="AL18">
        <f t="shared" si="0"/>
        <v>1.3031312325107627</v>
      </c>
      <c r="AM18">
        <f t="shared" si="0"/>
        <v>1.3072392362016385</v>
      </c>
      <c r="AN18">
        <f t="shared" si="0"/>
        <v>1.3444315745748623</v>
      </c>
      <c r="AO18">
        <f t="shared" si="0"/>
        <v>1.2842276395934809</v>
      </c>
    </row>
    <row r="19" spans="1:41">
      <c r="A19" t="s">
        <v>161</v>
      </c>
      <c r="B19">
        <f>C18</f>
        <v>0.27253777737523732</v>
      </c>
      <c r="C19">
        <f t="shared" ref="C19:AN19" si="1">D18</f>
        <v>0.30168094929357625</v>
      </c>
      <c r="D19">
        <f t="shared" si="1"/>
        <v>-0.16304326294044952</v>
      </c>
      <c r="E19">
        <f t="shared" si="1"/>
        <v>0.1089031276673133</v>
      </c>
      <c r="F19">
        <f t="shared" si="1"/>
        <v>0.15685190107001112</v>
      </c>
      <c r="G19">
        <f t="shared" si="1"/>
        <v>0.19783169332890285</v>
      </c>
      <c r="H19">
        <f t="shared" si="1"/>
        <v>0.31680875205302211</v>
      </c>
      <c r="I19">
        <f t="shared" si="1"/>
        <v>0.52917360326172291</v>
      </c>
      <c r="J19">
        <f t="shared" si="1"/>
        <v>0.59162103821331902</v>
      </c>
      <c r="K19">
        <f t="shared" si="1"/>
        <v>0.66351247041515549</v>
      </c>
      <c r="L19">
        <f t="shared" si="1"/>
        <v>0.71933128698372661</v>
      </c>
      <c r="M19">
        <f t="shared" si="1"/>
        <v>0.75853342223728648</v>
      </c>
      <c r="N19">
        <f t="shared" si="1"/>
        <v>0.84198480459011382</v>
      </c>
      <c r="O19">
        <f t="shared" si="1"/>
        <v>0.9035240644712621</v>
      </c>
      <c r="P19">
        <f t="shared" si="1"/>
        <v>0.95535095736765974</v>
      </c>
      <c r="Q19">
        <f t="shared" si="1"/>
        <v>0.98159211721408135</v>
      </c>
      <c r="R19">
        <f t="shared" si="1"/>
        <v>0.99334803992325982</v>
      </c>
      <c r="S19">
        <f t="shared" si="1"/>
        <v>0.82432112485077114</v>
      </c>
      <c r="T19">
        <f t="shared" si="1"/>
        <v>1.0273903846849692</v>
      </c>
      <c r="U19">
        <f t="shared" si="1"/>
        <v>1.1097135047929503</v>
      </c>
      <c r="V19">
        <f t="shared" si="1"/>
        <v>1.1331555381979903</v>
      </c>
      <c r="W19">
        <f t="shared" si="1"/>
        <v>1.1730988177662283</v>
      </c>
      <c r="X19">
        <f t="shared" si="1"/>
        <v>1.2142343490256235</v>
      </c>
      <c r="Y19">
        <f t="shared" si="1"/>
        <v>1.2339094534877804</v>
      </c>
      <c r="Z19">
        <f t="shared" si="1"/>
        <v>1.1198824579849829</v>
      </c>
      <c r="AA19">
        <f t="shared" si="1"/>
        <v>1.2381966993790139</v>
      </c>
      <c r="AB19">
        <f t="shared" si="1"/>
        <v>1.2719112738598957</v>
      </c>
      <c r="AC19">
        <f t="shared" si="1"/>
        <v>1.1543935379569974</v>
      </c>
      <c r="AD19">
        <f t="shared" si="1"/>
        <v>1.1588146467242264</v>
      </c>
      <c r="AE19">
        <f t="shared" si="1"/>
        <v>1.1986021094897117</v>
      </c>
      <c r="AF19">
        <f t="shared" si="1"/>
        <v>0.96787544554803318</v>
      </c>
      <c r="AG19">
        <f t="shared" si="1"/>
        <v>1.1820435459430643</v>
      </c>
      <c r="AH19">
        <f t="shared" si="1"/>
        <v>1.1845778749320246</v>
      </c>
      <c r="AI19">
        <f t="shared" si="1"/>
        <v>1.2214924820515229</v>
      </c>
      <c r="AJ19">
        <f t="shared" si="1"/>
        <v>1.2742502425162148</v>
      </c>
      <c r="AK19">
        <f t="shared" si="1"/>
        <v>1.3031312325107627</v>
      </c>
      <c r="AL19">
        <f t="shared" si="1"/>
        <v>1.3072392362016385</v>
      </c>
      <c r="AM19">
        <f t="shared" si="1"/>
        <v>1.3444315745748623</v>
      </c>
      <c r="AN19">
        <f t="shared" si="1"/>
        <v>1.2842276395934809</v>
      </c>
    </row>
    <row r="21" spans="1:41">
      <c r="A21" t="s">
        <v>1</v>
      </c>
      <c r="B21">
        <f>SLOPE(B19:AN19,B18:AN18)</f>
        <v>0.93474807208276633</v>
      </c>
    </row>
    <row r="22" spans="1:41">
      <c r="A22" t="s">
        <v>2</v>
      </c>
      <c r="B22">
        <f>INTERCEPT(B19:AN19,B18:AN18)</f>
        <v>8.3788963535702421E-2</v>
      </c>
    </row>
    <row r="24" spans="1:41">
      <c r="A24" t="s">
        <v>162</v>
      </c>
      <c r="B24">
        <f>$B$21*B18+$B$22</f>
        <v>0.30394872520318195</v>
      </c>
      <c r="C24">
        <f t="shared" ref="C24:AN24" si="2">$B$21*C18+$B$22</f>
        <v>0.33854312550692767</v>
      </c>
      <c r="D24">
        <f t="shared" si="2"/>
        <v>0.36578464927197163</v>
      </c>
      <c r="E24">
        <f t="shared" si="2"/>
        <v>-6.8615412163966299E-2</v>
      </c>
      <c r="F24">
        <f t="shared" si="2"/>
        <v>0.18558595216650692</v>
      </c>
      <c r="G24">
        <f t="shared" si="2"/>
        <v>0.23040597566341212</v>
      </c>
      <c r="H24">
        <f t="shared" si="2"/>
        <v>0.26871175747176346</v>
      </c>
      <c r="I24">
        <f t="shared" si="2"/>
        <v>0.37992533373621196</v>
      </c>
      <c r="J24">
        <f t="shared" si="2"/>
        <v>0.57843296898168861</v>
      </c>
      <c r="K24">
        <f t="shared" si="2"/>
        <v>0.63680558840920698</v>
      </c>
      <c r="L24">
        <f t="shared" si="2"/>
        <v>0.70400596605914256</v>
      </c>
      <c r="M24">
        <f t="shared" si="2"/>
        <v>0.75618249723255593</v>
      </c>
      <c r="N24">
        <f t="shared" si="2"/>
        <v>0.79282661758234896</v>
      </c>
      <c r="O24">
        <f t="shared" si="2"/>
        <v>0.87083263634929609</v>
      </c>
      <c r="P24">
        <f t="shared" si="2"/>
        <v>0.92835634088059971</v>
      </c>
      <c r="Q24">
        <f t="shared" si="2"/>
        <v>0.97680142909754741</v>
      </c>
      <c r="R24">
        <f t="shared" si="2"/>
        <v>1.0013303026732059</v>
      </c>
      <c r="S24">
        <f t="shared" si="2"/>
        <v>1.0123191287611644</v>
      </c>
      <c r="T24">
        <f t="shared" si="2"/>
        <v>0.8543215457670581</v>
      </c>
      <c r="U24">
        <f t="shared" si="2"/>
        <v>1.0441401448963492</v>
      </c>
      <c r="V24">
        <f t="shared" si="2"/>
        <v>1.1210915227051226</v>
      </c>
      <c r="W24">
        <f t="shared" si="2"/>
        <v>1.1430039182361833</v>
      </c>
      <c r="X24">
        <f t="shared" si="2"/>
        <v>1.1803408218052569</v>
      </c>
      <c r="Y24">
        <f t="shared" si="2"/>
        <v>1.2187921803440767</v>
      </c>
      <c r="Z24">
        <f t="shared" si="2"/>
        <v>1.2371834463081051</v>
      </c>
      <c r="AA24">
        <f t="shared" si="2"/>
        <v>1.1305969320964748</v>
      </c>
      <c r="AB24">
        <f t="shared" si="2"/>
        <v>1.2411909411394801</v>
      </c>
      <c r="AC24">
        <f t="shared" si="2"/>
        <v>1.2727055746365754</v>
      </c>
      <c r="AD24">
        <f t="shared" si="2"/>
        <v>1.1628560975658093</v>
      </c>
      <c r="AE24">
        <f t="shared" si="2"/>
        <v>1.1669887204624452</v>
      </c>
      <c r="AF24">
        <f t="shared" si="2"/>
        <v>1.2041799745755473</v>
      </c>
      <c r="AG24">
        <f t="shared" si="2"/>
        <v>0.98850867027797495</v>
      </c>
      <c r="AH24">
        <f t="shared" si="2"/>
        <v>1.1887018892238586</v>
      </c>
      <c r="AI24">
        <f t="shared" si="2"/>
        <v>1.1910708483603125</v>
      </c>
      <c r="AJ24">
        <f t="shared" si="2"/>
        <v>1.2255767061969567</v>
      </c>
      <c r="AK24">
        <f t="shared" si="2"/>
        <v>1.2748919210787317</v>
      </c>
      <c r="AL24">
        <f t="shared" si="2"/>
        <v>1.301888370795977</v>
      </c>
      <c r="AM24">
        <f t="shared" si="2"/>
        <v>1.305728319326132</v>
      </c>
      <c r="AN24">
        <f t="shared" si="2"/>
        <v>1.3404937859167529</v>
      </c>
    </row>
    <row r="25" spans="1:41">
      <c r="B25">
        <f>10^B24</f>
        <v>2.0134865143833012</v>
      </c>
      <c r="C25">
        <f t="shared" ref="C25:AN25" si="3">10^C24</f>
        <v>2.180434903947865</v>
      </c>
      <c r="D25">
        <f t="shared" si="3"/>
        <v>2.3215853217580538</v>
      </c>
      <c r="E25">
        <f t="shared" si="3"/>
        <v>0.8538559081932483</v>
      </c>
      <c r="F25">
        <f t="shared" si="3"/>
        <v>1.5331546063049597</v>
      </c>
      <c r="G25">
        <f t="shared" si="3"/>
        <v>1.6998319018345853</v>
      </c>
      <c r="H25">
        <f t="shared" si="3"/>
        <v>1.8565718338891863</v>
      </c>
      <c r="I25">
        <f t="shared" si="3"/>
        <v>2.3984205340988525</v>
      </c>
      <c r="J25">
        <f t="shared" si="3"/>
        <v>3.7882006039642122</v>
      </c>
      <c r="K25">
        <f t="shared" si="3"/>
        <v>4.3331686100535292</v>
      </c>
      <c r="L25">
        <f t="shared" si="3"/>
        <v>5.0583161074573759</v>
      </c>
      <c r="M25">
        <f t="shared" si="3"/>
        <v>5.7040391443973002</v>
      </c>
      <c r="N25">
        <f t="shared" si="3"/>
        <v>6.2062121554124072</v>
      </c>
      <c r="O25">
        <f t="shared" si="3"/>
        <v>7.427328564850046</v>
      </c>
      <c r="P25">
        <f t="shared" si="3"/>
        <v>8.4792285390617774</v>
      </c>
      <c r="Q25">
        <f t="shared" si="3"/>
        <v>9.4798492046250189</v>
      </c>
      <c r="R25">
        <f t="shared" si="3"/>
        <v>10.030678312966277</v>
      </c>
      <c r="S25">
        <f t="shared" si="3"/>
        <v>10.28771983835383</v>
      </c>
      <c r="T25">
        <f t="shared" si="3"/>
        <v>7.1502552538428894</v>
      </c>
      <c r="U25">
        <f t="shared" si="3"/>
        <v>11.069809441712902</v>
      </c>
      <c r="V25">
        <f t="shared" si="3"/>
        <v>13.215741118067433</v>
      </c>
      <c r="W25">
        <f t="shared" si="3"/>
        <v>13.899651715229535</v>
      </c>
      <c r="X25">
        <f t="shared" si="3"/>
        <v>15.147495139230422</v>
      </c>
      <c r="Y25">
        <f t="shared" si="3"/>
        <v>16.549778299255706</v>
      </c>
      <c r="Z25">
        <f t="shared" si="3"/>
        <v>17.265670411689818</v>
      </c>
      <c r="AA25">
        <f t="shared" si="3"/>
        <v>13.508182892896302</v>
      </c>
      <c r="AB25">
        <f t="shared" si="3"/>
        <v>17.425728414733474</v>
      </c>
      <c r="AC25">
        <f t="shared" si="3"/>
        <v>18.737238060947458</v>
      </c>
      <c r="AD25">
        <f t="shared" si="3"/>
        <v>14.549768975984884</v>
      </c>
      <c r="AE25">
        <f t="shared" si="3"/>
        <v>14.688881270464204</v>
      </c>
      <c r="AF25">
        <f t="shared" si="3"/>
        <v>16.00221033665774</v>
      </c>
      <c r="AG25">
        <f t="shared" si="3"/>
        <v>9.7388722787061202</v>
      </c>
      <c r="AH25">
        <f t="shared" si="3"/>
        <v>15.441941015596347</v>
      </c>
      <c r="AI25">
        <f t="shared" si="3"/>
        <v>15.526402783056875</v>
      </c>
      <c r="AJ25">
        <f t="shared" si="3"/>
        <v>16.810348081370446</v>
      </c>
      <c r="AK25">
        <f t="shared" si="3"/>
        <v>18.831803811816659</v>
      </c>
      <c r="AL25">
        <f t="shared" si="3"/>
        <v>20.039568726214682</v>
      </c>
      <c r="AM25">
        <f t="shared" si="3"/>
        <v>20.217540386370359</v>
      </c>
      <c r="AN25">
        <f t="shared" si="3"/>
        <v>21.902504887427014</v>
      </c>
    </row>
    <row r="26" spans="1:41">
      <c r="A26" t="s">
        <v>0</v>
      </c>
      <c r="B26">
        <f>B10-B25</f>
        <v>-0.2934865143833012</v>
      </c>
      <c r="C26">
        <f t="shared" ref="C26:AN26" si="4">C10-C25</f>
        <v>-0.30743490394786499</v>
      </c>
      <c r="D26">
        <f t="shared" si="4"/>
        <v>-0.31858532175805365</v>
      </c>
      <c r="E26">
        <f t="shared" si="4"/>
        <v>-0.16685590819324825</v>
      </c>
      <c r="F26">
        <f t="shared" si="4"/>
        <v>-0.24815460630495978</v>
      </c>
      <c r="G26">
        <f t="shared" si="4"/>
        <v>-0.26483190183458527</v>
      </c>
      <c r="H26">
        <f t="shared" si="4"/>
        <v>-0.27957183388918638</v>
      </c>
      <c r="I26">
        <f t="shared" si="4"/>
        <v>-0.32442053409885263</v>
      </c>
      <c r="J26">
        <f t="shared" si="4"/>
        <v>-0.40620060396421209</v>
      </c>
      <c r="K26">
        <f t="shared" si="4"/>
        <v>-0.42816861005352935</v>
      </c>
      <c r="L26">
        <f t="shared" si="4"/>
        <v>-0.45031610745737627</v>
      </c>
      <c r="M26">
        <f t="shared" si="4"/>
        <v>-0.46403914439729999</v>
      </c>
      <c r="N26">
        <f t="shared" si="4"/>
        <v>-0.47121215541240691</v>
      </c>
      <c r="O26">
        <f t="shared" si="4"/>
        <v>-0.47732856485004582</v>
      </c>
      <c r="P26">
        <f t="shared" si="4"/>
        <v>-0.47122853906177831</v>
      </c>
      <c r="Q26">
        <f t="shared" si="4"/>
        <v>-0.45684920462501921</v>
      </c>
      <c r="R26">
        <f t="shared" si="4"/>
        <v>-0.44567831296627602</v>
      </c>
      <c r="S26">
        <f t="shared" si="4"/>
        <v>-0.43971983835382922</v>
      </c>
      <c r="T26">
        <f t="shared" si="4"/>
        <v>-0.47725525384288936</v>
      </c>
      <c r="U26">
        <f t="shared" si="4"/>
        <v>-0.41880944171290224</v>
      </c>
      <c r="V26">
        <f t="shared" si="4"/>
        <v>-0.34174111806743213</v>
      </c>
      <c r="W26">
        <f t="shared" si="4"/>
        <v>-0.3116517152295355</v>
      </c>
      <c r="X26">
        <f t="shared" si="4"/>
        <v>-0.25049513923042177</v>
      </c>
      <c r="Y26">
        <f t="shared" si="4"/>
        <v>-0.17277829925570742</v>
      </c>
      <c r="Z26">
        <f t="shared" si="4"/>
        <v>-0.12967041168981908</v>
      </c>
      <c r="AA26">
        <f t="shared" si="4"/>
        <v>-0.32918289289630209</v>
      </c>
      <c r="AB26">
        <f t="shared" si="4"/>
        <v>-0.11972841473347273</v>
      </c>
      <c r="AC26">
        <f t="shared" si="4"/>
        <v>-3.4238060947458848E-2</v>
      </c>
      <c r="AD26">
        <f t="shared" si="4"/>
        <v>-0.28076897598488415</v>
      </c>
      <c r="AE26">
        <f t="shared" si="4"/>
        <v>-0.27388127046420507</v>
      </c>
      <c r="AF26">
        <f t="shared" si="4"/>
        <v>-0.20421033665773969</v>
      </c>
      <c r="AG26">
        <f t="shared" si="4"/>
        <v>-0.45187227870611935</v>
      </c>
      <c r="AH26">
        <f t="shared" si="4"/>
        <v>-0.2349410155963465</v>
      </c>
      <c r="AI26">
        <f t="shared" si="4"/>
        <v>-0.230402783056876</v>
      </c>
      <c r="AJ26">
        <f t="shared" si="4"/>
        <v>-0.15734808137044709</v>
      </c>
      <c r="AK26">
        <f t="shared" si="4"/>
        <v>-2.7803811816660584E-2</v>
      </c>
      <c r="AL26">
        <f t="shared" si="4"/>
        <v>5.7431273785319092E-2</v>
      </c>
      <c r="AM26">
        <f t="shared" si="4"/>
        <v>7.0459613629640927E-2</v>
      </c>
      <c r="AN26">
        <f t="shared" si="4"/>
        <v>0.19949511257298624</v>
      </c>
    </row>
    <row r="27" spans="1:41">
      <c r="A27" t="s">
        <v>164</v>
      </c>
      <c r="B27">
        <f>SUM(B26:AN26)</f>
        <v>-10.833475906823098</v>
      </c>
    </row>
    <row r="28" spans="1:41">
      <c r="A28" t="s">
        <v>163</v>
      </c>
    </row>
    <row r="29" spans="1:41">
      <c r="A29" t="s">
        <v>1</v>
      </c>
      <c r="B29">
        <f>SLOPE(C10:AO10,B10:AN10)</f>
        <v>0.94038741647901758</v>
      </c>
    </row>
    <row r="30" spans="1:41">
      <c r="A30" t="s">
        <v>2</v>
      </c>
      <c r="B30">
        <f>INTERCEPT(C10:AO10,B10:AN10)</f>
        <v>1.0645469268043382</v>
      </c>
    </row>
    <row r="32" spans="1:41">
      <c r="A32" t="s">
        <v>162</v>
      </c>
      <c r="B32">
        <f>$B$29*B10+$B$30</f>
        <v>2.6820132831482484</v>
      </c>
      <c r="C32">
        <f t="shared" ref="C32:AN32" si="5">$B$29*C10+$B$30</f>
        <v>2.8258925578695382</v>
      </c>
      <c r="D32">
        <f t="shared" si="5"/>
        <v>2.9481429220118107</v>
      </c>
      <c r="E32">
        <f t="shared" si="5"/>
        <v>1.7105930819254231</v>
      </c>
      <c r="F32">
        <f t="shared" si="5"/>
        <v>2.272944756979876</v>
      </c>
      <c r="G32">
        <f t="shared" si="5"/>
        <v>2.4140028694517284</v>
      </c>
      <c r="H32">
        <f t="shared" si="5"/>
        <v>2.5475378825917487</v>
      </c>
      <c r="I32">
        <f t="shared" si="5"/>
        <v>3.0149104285818202</v>
      </c>
      <c r="J32">
        <f t="shared" si="5"/>
        <v>4.2449371693363762</v>
      </c>
      <c r="K32">
        <f t="shared" si="5"/>
        <v>4.7367597881549015</v>
      </c>
      <c r="L32">
        <f t="shared" si="5"/>
        <v>5.3978521419396506</v>
      </c>
      <c r="M32">
        <f t="shared" si="5"/>
        <v>5.9921769891543901</v>
      </c>
      <c r="N32">
        <f t="shared" si="5"/>
        <v>6.4576687603115044</v>
      </c>
      <c r="O32">
        <f t="shared" si="5"/>
        <v>7.6002394713335102</v>
      </c>
      <c r="P32">
        <f t="shared" si="5"/>
        <v>8.5951693579683095</v>
      </c>
      <c r="Q32">
        <f t="shared" si="5"/>
        <v>9.549662585694513</v>
      </c>
      <c r="R32">
        <f t="shared" si="5"/>
        <v>10.078160313755722</v>
      </c>
      <c r="S32">
        <f t="shared" si="5"/>
        <v>10.325482204289704</v>
      </c>
      <c r="T32">
        <f t="shared" si="5"/>
        <v>7.3397521569688227</v>
      </c>
      <c r="U32">
        <f t="shared" si="5"/>
        <v>11.080613299722355</v>
      </c>
      <c r="V32">
        <f t="shared" si="5"/>
        <v>13.17109452655521</v>
      </c>
      <c r="W32">
        <f t="shared" si="5"/>
        <v>13.842531141921228</v>
      </c>
      <c r="X32">
        <f t="shared" si="5"/>
        <v>15.073498270092264</v>
      </c>
      <c r="Y32">
        <f t="shared" si="5"/>
        <v>16.465271646481206</v>
      </c>
      <c r="Z32">
        <f t="shared" si="5"/>
        <v>17.179025695588784</v>
      </c>
      <c r="AA32">
        <f t="shared" si="5"/>
        <v>13.457912688581311</v>
      </c>
      <c r="AB32">
        <f t="shared" si="5"/>
        <v>17.338891556390216</v>
      </c>
      <c r="AC32">
        <f t="shared" si="5"/>
        <v>18.652612777211402</v>
      </c>
      <c r="AD32">
        <f t="shared" si="5"/>
        <v>14.48293497254344</v>
      </c>
      <c r="AE32">
        <f t="shared" si="5"/>
        <v>14.620231535349376</v>
      </c>
      <c r="AF32">
        <f t="shared" si="5"/>
        <v>15.920787332339858</v>
      </c>
      <c r="AG32">
        <f t="shared" si="5"/>
        <v>9.7979248636449761</v>
      </c>
      <c r="AH32">
        <f t="shared" si="5"/>
        <v>15.36501836920076</v>
      </c>
      <c r="AI32">
        <f t="shared" si="5"/>
        <v>15.448712849267391</v>
      </c>
      <c r="AJ32">
        <f t="shared" si="5"/>
        <v>16.724818573429417</v>
      </c>
      <c r="AK32">
        <f t="shared" si="5"/>
        <v>18.747591906275787</v>
      </c>
      <c r="AL32">
        <f t="shared" si="5"/>
        <v>19.963512835783156</v>
      </c>
      <c r="AM32">
        <f t="shared" si="5"/>
        <v>20.143126832330644</v>
      </c>
      <c r="AN32">
        <f t="shared" si="5"/>
        <v>21.848989605823583</v>
      </c>
    </row>
    <row r="33" spans="1:40">
      <c r="A33" t="str">
        <f>A26</f>
        <v>Residuals</v>
      </c>
      <c r="B33">
        <f>B10-B32</f>
        <v>-0.96201328314824841</v>
      </c>
      <c r="C33">
        <f t="shared" ref="C33:AN33" si="6">C10-C32</f>
        <v>-0.95289255786953819</v>
      </c>
      <c r="D33">
        <f t="shared" si="6"/>
        <v>-0.9451429220118106</v>
      </c>
      <c r="E33">
        <f t="shared" si="6"/>
        <v>-1.0235930819254231</v>
      </c>
      <c r="F33">
        <f t="shared" si="6"/>
        <v>-0.98794475697987605</v>
      </c>
      <c r="G33">
        <f t="shared" si="6"/>
        <v>-0.97900286945172832</v>
      </c>
      <c r="H33">
        <f t="shared" si="6"/>
        <v>-0.97053788259174878</v>
      </c>
      <c r="I33">
        <f t="shared" si="6"/>
        <v>-0.94091042858182039</v>
      </c>
      <c r="J33">
        <f t="shared" si="6"/>
        <v>-0.8629371693363761</v>
      </c>
      <c r="K33">
        <f t="shared" si="6"/>
        <v>-0.8317597881549017</v>
      </c>
      <c r="L33">
        <f t="shared" si="6"/>
        <v>-0.78985214193965092</v>
      </c>
      <c r="M33">
        <f t="shared" si="6"/>
        <v>-0.75217698915438991</v>
      </c>
      <c r="N33">
        <f t="shared" si="6"/>
        <v>-0.72266876031150407</v>
      </c>
      <c r="O33">
        <f t="shared" si="6"/>
        <v>-0.65023947133351001</v>
      </c>
      <c r="P33">
        <f t="shared" si="6"/>
        <v>-0.58716935796831038</v>
      </c>
      <c r="Q33">
        <f t="shared" si="6"/>
        <v>-0.5266625856945133</v>
      </c>
      <c r="R33">
        <f t="shared" si="6"/>
        <v>-0.49316031375572145</v>
      </c>
      <c r="S33">
        <f t="shared" si="6"/>
        <v>-0.47748220428970356</v>
      </c>
      <c r="T33">
        <f t="shared" si="6"/>
        <v>-0.66675215696882262</v>
      </c>
      <c r="U33">
        <f t="shared" si="6"/>
        <v>-0.42961329972235518</v>
      </c>
      <c r="V33">
        <f t="shared" si="6"/>
        <v>-0.29709452655520963</v>
      </c>
      <c r="W33">
        <f t="shared" si="6"/>
        <v>-0.25453114192122861</v>
      </c>
      <c r="X33">
        <f t="shared" si="6"/>
        <v>-0.17649827009226371</v>
      </c>
      <c r="Y33">
        <f t="shared" si="6"/>
        <v>-8.8271646481207E-2</v>
      </c>
      <c r="Z33">
        <f t="shared" si="6"/>
        <v>-4.3025695588784885E-2</v>
      </c>
      <c r="AA33">
        <f t="shared" si="6"/>
        <v>-0.27891268858131113</v>
      </c>
      <c r="AB33">
        <f t="shared" si="6"/>
        <v>-3.2891556390215015E-2</v>
      </c>
      <c r="AC33">
        <f t="shared" si="6"/>
        <v>5.0387222788597086E-2</v>
      </c>
      <c r="AD33">
        <f t="shared" si="6"/>
        <v>-0.21393497254343963</v>
      </c>
      <c r="AE33">
        <f t="shared" si="6"/>
        <v>-0.20523153534937677</v>
      </c>
      <c r="AF33">
        <f t="shared" si="6"/>
        <v>-0.12278733233985761</v>
      </c>
      <c r="AG33">
        <f t="shared" si="6"/>
        <v>-0.51092486364497525</v>
      </c>
      <c r="AH33">
        <f t="shared" si="6"/>
        <v>-0.15801836920075907</v>
      </c>
      <c r="AI33">
        <f t="shared" si="6"/>
        <v>-0.1527128492673917</v>
      </c>
      <c r="AJ33">
        <f t="shared" si="6"/>
        <v>-7.1818573429418109E-2</v>
      </c>
      <c r="AK33">
        <f t="shared" si="6"/>
        <v>5.6408093724211739E-2</v>
      </c>
      <c r="AL33">
        <f t="shared" si="6"/>
        <v>0.13348716421684514</v>
      </c>
      <c r="AM33">
        <f t="shared" si="6"/>
        <v>0.14487316766935621</v>
      </c>
      <c r="AN33">
        <f t="shared" si="6"/>
        <v>0.25301039417641746</v>
      </c>
    </row>
    <row r="34" spans="1:40">
      <c r="A34" t="s">
        <v>164</v>
      </c>
      <c r="B34">
        <f>SUM(B33:AN33)</f>
        <v>-17.520999999999965</v>
      </c>
    </row>
    <row r="37" spans="1:40">
      <c r="A37" t="s">
        <v>165</v>
      </c>
      <c r="B37" t="b">
        <f>IF(ABS(B27)&lt;ABS(B34),TRUE,FALSE)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</vt:i4>
      </vt:variant>
    </vt:vector>
  </HeadingPairs>
  <TitlesOfParts>
    <vt:vector size="20" baseType="lpstr">
      <vt:lpstr>References</vt:lpstr>
      <vt:lpstr>todo</vt:lpstr>
      <vt:lpstr>Input</vt:lpstr>
      <vt:lpstr>Projections</vt:lpstr>
      <vt:lpstr>Residuals</vt:lpstr>
      <vt:lpstr>Paths</vt:lpstr>
      <vt:lpstr>Policies</vt:lpstr>
      <vt:lpstr>De-seasonalization</vt:lpstr>
      <vt:lpstr>Jumps</vt:lpstr>
      <vt:lpstr>Mean_Reversion</vt:lpstr>
      <vt:lpstr>Rand</vt:lpstr>
      <vt:lpstr>convert</vt:lpstr>
      <vt:lpstr>Riskfactors</vt:lpstr>
      <vt:lpstr>Transform</vt:lpstr>
      <vt:lpstr>alpha</vt:lpstr>
      <vt:lpstr>jumpMean</vt:lpstr>
      <vt:lpstr>jumpProb</vt:lpstr>
      <vt:lpstr>jumpStdDev</vt:lpstr>
      <vt:lpstr>sigma</vt:lpstr>
      <vt:lpstr>ticker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</dc:creator>
  <cp:lastModifiedBy>shivgan</cp:lastModifiedBy>
  <dcterms:created xsi:type="dcterms:W3CDTF">2013-06-27T19:57:22Z</dcterms:created>
  <dcterms:modified xsi:type="dcterms:W3CDTF">2014-12-21T17:25:32Z</dcterms:modified>
</cp:coreProperties>
</file>