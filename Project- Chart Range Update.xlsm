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Sheet1 (2)" sheetId="4" r:id="rId1"/>
    <sheet name="Sheet1" sheetId="1" r:id="rId2"/>
    <sheet name="Sheet2" sheetId="2" r:id="rId3"/>
    <sheet name="Sheet3" sheetId="3" r:id="rId4"/>
  </sheets>
  <functionGroups builtInGroupCount="17"/>
  <definedNames>
    <definedName name="chartadd">'Sheet1 (2)'!$E$3</definedName>
    <definedName name="solver_adj" localSheetId="2" hidden="1">Sheet2!$B$1:$B$20</definedName>
    <definedName name="solver_cvg" localSheetId="2" hidden="1">0.0001</definedName>
    <definedName name="solver_drv" localSheetId="2" hidden="1">2</definedName>
    <definedName name="solver_eng" localSheetId="2" hidden="1">2</definedName>
    <definedName name="solver_est" localSheetId="2" hidden="1">1</definedName>
    <definedName name="solver_itr" localSheetId="2" hidden="1">2147483647</definedName>
    <definedName name="solver_lhs0" localSheetId="2" hidden="1">Sheet2!$B$1</definedName>
    <definedName name="solver_lhs1" localSheetId="2" hidden="1">Sheet2!$B$1:$B$20</definedName>
    <definedName name="solver_lhs2" localSheetId="2" hidden="1">Sheet2!$B$2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Sheet2!$J$5</definedName>
    <definedName name="solver_pre" localSheetId="2" hidden="1">0.000001</definedName>
    <definedName name="solver_rbv" localSheetId="2" hidden="1">2</definedName>
    <definedName name="solver_rel0" localSheetId="2" hidden="1">2</definedName>
    <definedName name="solver_rel1" localSheetId="2" hidden="1">5</definedName>
    <definedName name="solver_rel2" localSheetId="2" hidden="1">2</definedName>
    <definedName name="solver_rhs0" localSheetId="2" hidden="1">"="</definedName>
    <definedName name="solver_rhs1" localSheetId="2" hidden="1">binary</definedName>
    <definedName name="solver_rhs2" localSheetId="2" hidden="1">"="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</definedNames>
  <calcPr calcId="144525"/>
</workbook>
</file>

<file path=xl/calcChain.xml><?xml version="1.0" encoding="utf-8"?>
<calcChain xmlns="http://schemas.openxmlformats.org/spreadsheetml/2006/main">
  <c r="D2" i="4" l="1"/>
  <c r="D3" i="4"/>
  <c r="E3" i="4" l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1" i="2"/>
  <c r="I4" i="2" l="1"/>
  <c r="J5" i="2" s="1"/>
  <c r="E11" i="1"/>
  <c r="E10" i="1"/>
  <c r="E3" i="1"/>
  <c r="E4" i="1"/>
  <c r="E5" i="1"/>
  <c r="E6" i="1"/>
  <c r="E7" i="1"/>
  <c r="E8" i="1"/>
  <c r="E9" i="1"/>
  <c r="E2" i="1"/>
  <c r="K4" i="1" a="1"/>
  <c r="K4" i="1" s="1"/>
  <c r="O9" i="1" l="1"/>
  <c r="M9" i="1"/>
  <c r="K9" i="1"/>
  <c r="N8" i="1"/>
  <c r="L8" i="1"/>
  <c r="O7" i="1"/>
  <c r="M7" i="1"/>
  <c r="K7" i="1"/>
  <c r="N6" i="1"/>
  <c r="L6" i="1"/>
  <c r="O5" i="1"/>
  <c r="M5" i="1"/>
  <c r="K5" i="1"/>
  <c r="N4" i="1"/>
  <c r="L4" i="1"/>
  <c r="N9" i="1"/>
  <c r="L9" i="1"/>
  <c r="O8" i="1"/>
  <c r="M8" i="1"/>
  <c r="K8" i="1"/>
  <c r="N7" i="1"/>
  <c r="L7" i="1"/>
  <c r="O6" i="1"/>
  <c r="M6" i="1"/>
  <c r="K6" i="1"/>
  <c r="N5" i="1"/>
  <c r="L5" i="1"/>
  <c r="O4" i="1"/>
  <c r="M4" i="1"/>
</calcChain>
</file>

<file path=xl/sharedStrings.xml><?xml version="1.0" encoding="utf-8"?>
<sst xmlns="http://schemas.openxmlformats.org/spreadsheetml/2006/main" count="12" uniqueCount="7">
  <si>
    <t>y</t>
  </si>
  <si>
    <t>x1</t>
  </si>
  <si>
    <t>x2</t>
  </si>
  <si>
    <t>x3</t>
  </si>
  <si>
    <t>yhat</t>
  </si>
  <si>
    <t>slope</t>
  </si>
  <si>
    <t>2^20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</si>
</sst>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9" fontId="0" fillId="0" borderId="0" xfId="1" applyFont="1"/>
    <xf numFmtId="2" fontId="0" fillId="0" borderId="0" xfId="1" applyNumberFormat="1" applyFont="1"/>
    <xf numFmtId="2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1</xdr:row>
      <xdr:rowOff>161926</xdr:rowOff>
    </xdr:from>
    <xdr:to>
      <xdr:col>12</xdr:col>
      <xdr:colOff>152400</xdr:colOff>
      <xdr:row>4</xdr:row>
      <xdr:rowOff>66676</xdr:rowOff>
    </xdr:to>
    <xdr:sp macro="[0]!chartmacrorecord" textlink="">
      <xdr:nvSpPr>
        <xdr:cNvPr id="4" name="Rectangle 3"/>
        <xdr:cNvSpPr/>
      </xdr:nvSpPr>
      <xdr:spPr>
        <a:xfrm>
          <a:off x="6096000" y="352426"/>
          <a:ext cx="19145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Create</a:t>
          </a:r>
          <a:r>
            <a:rPr lang="en-US" sz="1800" baseline="0"/>
            <a:t> Chart</a:t>
          </a:r>
          <a:endParaRPr lang="en-US" sz="1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1"/>
  <sheetViews>
    <sheetView tabSelected="1" workbookViewId="0">
      <selection activeCell="H14" sqref="H14"/>
    </sheetView>
  </sheetViews>
  <sheetFormatPr defaultRowHeight="15" x14ac:dyDescent="0.25"/>
  <cols>
    <col min="2" max="2" width="17.28515625" customWidth="1"/>
    <col min="8" max="8" width="10.7109375" bestFit="1" customWidth="1"/>
  </cols>
  <sheetData>
    <row r="1" spans="1:11" x14ac:dyDescent="0.25">
      <c r="A1" t="s">
        <v>0</v>
      </c>
      <c r="B1" t="s">
        <v>1</v>
      </c>
    </row>
    <row r="2" spans="1:11" x14ac:dyDescent="0.25">
      <c r="A2">
        <v>10</v>
      </c>
      <c r="B2">
        <v>8</v>
      </c>
      <c r="D2" t="str">
        <f>LastNumber(A2:A20)</f>
        <v>$A$10</v>
      </c>
      <c r="E2" s="2"/>
    </row>
    <row r="3" spans="1:11" x14ac:dyDescent="0.25">
      <c r="A3">
        <v>15</v>
      </c>
      <c r="B3">
        <v>3</v>
      </c>
      <c r="D3" t="str">
        <f>LastNumber(B1:B19)</f>
        <v>$B$10</v>
      </c>
      <c r="E3" s="2" t="str">
        <f>"$A$1"&amp;":"&amp;D3</f>
        <v>$A$1:$B$10</v>
      </c>
    </row>
    <row r="4" spans="1:11" x14ac:dyDescent="0.25">
      <c r="A4">
        <v>18</v>
      </c>
      <c r="B4">
        <v>4</v>
      </c>
      <c r="E4" s="2"/>
    </row>
    <row r="5" spans="1:11" x14ac:dyDescent="0.25">
      <c r="A5">
        <v>22</v>
      </c>
      <c r="B5">
        <v>10</v>
      </c>
      <c r="E5" s="2"/>
    </row>
    <row r="6" spans="1:11" x14ac:dyDescent="0.25">
      <c r="A6">
        <v>25</v>
      </c>
      <c r="B6">
        <v>10</v>
      </c>
      <c r="E6" s="2"/>
      <c r="K6" s="1"/>
    </row>
    <row r="7" spans="1:11" x14ac:dyDescent="0.25">
      <c r="A7">
        <v>26</v>
      </c>
      <c r="B7">
        <v>9</v>
      </c>
      <c r="E7" s="2"/>
    </row>
    <row r="8" spans="1:11" x14ac:dyDescent="0.25">
      <c r="A8">
        <v>29</v>
      </c>
      <c r="B8">
        <v>5</v>
      </c>
      <c r="E8" s="2"/>
    </row>
    <row r="9" spans="1:11" x14ac:dyDescent="0.25">
      <c r="A9">
        <v>40</v>
      </c>
      <c r="B9">
        <v>9</v>
      </c>
      <c r="E9" s="2"/>
    </row>
    <row r="10" spans="1:11" x14ac:dyDescent="0.25">
      <c r="A10">
        <v>33</v>
      </c>
      <c r="B10">
        <v>2</v>
      </c>
      <c r="E10" s="2"/>
    </row>
    <row r="11" spans="1:11" x14ac:dyDescent="0.25">
      <c r="E11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"/>
  <sheetViews>
    <sheetView workbookViewId="0">
      <selection activeCell="C14" sqref="C14"/>
    </sheetView>
  </sheetViews>
  <sheetFormatPr defaultRowHeight="15" x14ac:dyDescent="0.25"/>
  <cols>
    <col min="2" max="2" width="17.285156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15" x14ac:dyDescent="0.25">
      <c r="A2">
        <v>10</v>
      </c>
      <c r="B2">
        <v>8</v>
      </c>
      <c r="C2">
        <v>5</v>
      </c>
      <c r="D2">
        <v>2</v>
      </c>
      <c r="E2" s="2">
        <f t="shared" ref="E2:E11" si="0">$N$4+$M$4*B2+$L$4*C2+$K$4*D2</f>
        <v>14.558687679041638</v>
      </c>
    </row>
    <row r="3" spans="1:15" x14ac:dyDescent="0.25">
      <c r="A3">
        <v>15</v>
      </c>
      <c r="B3">
        <v>3</v>
      </c>
      <c r="C3">
        <v>3</v>
      </c>
      <c r="D3">
        <v>6</v>
      </c>
      <c r="E3" s="2">
        <f t="shared" si="0"/>
        <v>15.93978232877109</v>
      </c>
      <c r="K3" t="s">
        <v>3</v>
      </c>
      <c r="L3" t="s">
        <v>2</v>
      </c>
      <c r="M3" t="s">
        <v>1</v>
      </c>
      <c r="N3" t="s">
        <v>5</v>
      </c>
    </row>
    <row r="4" spans="1:15" x14ac:dyDescent="0.25">
      <c r="A4">
        <v>18</v>
      </c>
      <c r="B4">
        <v>4</v>
      </c>
      <c r="C4">
        <v>5</v>
      </c>
      <c r="D4">
        <v>4</v>
      </c>
      <c r="E4" s="2">
        <f t="shared" si="0"/>
        <v>17.796577953644494</v>
      </c>
      <c r="K4">
        <f t="array" ref="K4:O9">LINEST(A2:A9,B2:D9,1,1)</f>
        <v>2.1833277872623631</v>
      </c>
      <c r="L4">
        <v>2.9706299372088303</v>
      </c>
      <c r="M4">
        <v>0.28219132498046789</v>
      </c>
      <c r="N4">
        <v>-6.9186481813709833</v>
      </c>
      <c r="O4" t="e">
        <v>#N/A</v>
      </c>
    </row>
    <row r="5" spans="1:15" x14ac:dyDescent="0.25">
      <c r="A5">
        <v>22</v>
      </c>
      <c r="B5">
        <v>10</v>
      </c>
      <c r="C5">
        <v>8</v>
      </c>
      <c r="D5">
        <v>4</v>
      </c>
      <c r="E5" s="2">
        <f t="shared" si="0"/>
        <v>28.401615715153792</v>
      </c>
      <c r="K5">
        <v>0.73643920152648434</v>
      </c>
      <c r="L5">
        <v>1.015968956742509</v>
      </c>
      <c r="M5">
        <v>0.81414788929830495</v>
      </c>
      <c r="N5">
        <v>8.788492773661023</v>
      </c>
      <c r="O5" t="e">
        <v>#N/A</v>
      </c>
    </row>
    <row r="6" spans="1:15" x14ac:dyDescent="0.25">
      <c r="A6">
        <v>25</v>
      </c>
      <c r="B6">
        <v>10</v>
      </c>
      <c r="C6">
        <v>5</v>
      </c>
      <c r="D6">
        <v>3</v>
      </c>
      <c r="E6" s="2">
        <f t="shared" si="0"/>
        <v>17.306398116264937</v>
      </c>
      <c r="K6" s="1">
        <v>0.77895936367414165</v>
      </c>
      <c r="L6">
        <v>5.7431182690024052</v>
      </c>
      <c r="M6" t="e">
        <v>#N/A</v>
      </c>
      <c r="N6" t="e">
        <v>#N/A</v>
      </c>
      <c r="O6" t="e">
        <v>#N/A</v>
      </c>
    </row>
    <row r="7" spans="1:15" x14ac:dyDescent="0.25">
      <c r="A7">
        <v>26</v>
      </c>
      <c r="B7">
        <v>9</v>
      </c>
      <c r="C7">
        <v>3</v>
      </c>
      <c r="D7">
        <v>10</v>
      </c>
      <c r="E7" s="2">
        <f t="shared" si="0"/>
        <v>26.366241427703351</v>
      </c>
      <c r="K7">
        <v>4.6987400242900668</v>
      </c>
      <c r="L7">
        <v>4</v>
      </c>
      <c r="M7" t="e">
        <v>#N/A</v>
      </c>
      <c r="N7" t="e">
        <v>#N/A</v>
      </c>
      <c r="O7" t="e">
        <v>#N/A</v>
      </c>
    </row>
    <row r="8" spans="1:15" x14ac:dyDescent="0.25">
      <c r="A8">
        <v>29</v>
      </c>
      <c r="B8">
        <v>5</v>
      </c>
      <c r="C8">
        <v>10</v>
      </c>
      <c r="D8">
        <v>1</v>
      </c>
      <c r="E8" s="2">
        <f t="shared" si="0"/>
        <v>26.381935602882024</v>
      </c>
      <c r="K8">
        <v>464.94137019300331</v>
      </c>
      <c r="L8">
        <v>131.93362980699672</v>
      </c>
      <c r="M8" t="e">
        <v>#N/A</v>
      </c>
      <c r="N8" t="e">
        <v>#N/A</v>
      </c>
      <c r="O8" t="e">
        <v>#N/A</v>
      </c>
    </row>
    <row r="9" spans="1:15" x14ac:dyDescent="0.25">
      <c r="A9">
        <v>40</v>
      </c>
      <c r="B9">
        <v>9</v>
      </c>
      <c r="C9">
        <v>7</v>
      </c>
      <c r="D9">
        <v>10</v>
      </c>
      <c r="E9" s="2">
        <f t="shared" si="0"/>
        <v>38.248761176538672</v>
      </c>
      <c r="K9" t="e">
        <v>#N/A</v>
      </c>
      <c r="L9" t="e">
        <v>#N/A</v>
      </c>
      <c r="M9" t="e">
        <v>#N/A</v>
      </c>
      <c r="N9" t="e">
        <v>#N/A</v>
      </c>
      <c r="O9" t="e">
        <v>#N/A</v>
      </c>
    </row>
    <row r="10" spans="1:15" x14ac:dyDescent="0.25">
      <c r="C10">
        <v>4</v>
      </c>
      <c r="D10">
        <v>5</v>
      </c>
      <c r="E10" s="2">
        <f t="shared" si="0"/>
        <v>15.880510503776154</v>
      </c>
    </row>
    <row r="11" spans="1:15" x14ac:dyDescent="0.25">
      <c r="C11">
        <v>4</v>
      </c>
      <c r="D11">
        <v>5</v>
      </c>
      <c r="E11" s="2">
        <f t="shared" si="0"/>
        <v>15.880510503776154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0"/>
  <sheetViews>
    <sheetView workbookViewId="0">
      <selection activeCell="E19" sqref="E19"/>
    </sheetView>
  </sheetViews>
  <sheetFormatPr defaultRowHeight="15" x14ac:dyDescent="0.25"/>
  <sheetData>
    <row r="1" spans="1:10" x14ac:dyDescent="0.25">
      <c r="A1">
        <v>844</v>
      </c>
      <c r="B1" s="3">
        <v>1</v>
      </c>
      <c r="C1">
        <f>B1*A1</f>
        <v>844</v>
      </c>
    </row>
    <row r="2" spans="1:10" x14ac:dyDescent="0.25">
      <c r="A2">
        <v>158</v>
      </c>
      <c r="B2" s="3">
        <v>0</v>
      </c>
      <c r="C2">
        <f t="shared" ref="C2:C20" si="0">B2*A2</f>
        <v>0</v>
      </c>
    </row>
    <row r="3" spans="1:10" x14ac:dyDescent="0.25">
      <c r="A3">
        <v>27</v>
      </c>
      <c r="B3" s="3">
        <v>1</v>
      </c>
      <c r="C3">
        <f t="shared" si="0"/>
        <v>27</v>
      </c>
    </row>
    <row r="4" spans="1:10" x14ac:dyDescent="0.25">
      <c r="A4">
        <v>100</v>
      </c>
      <c r="B4" s="3">
        <v>1</v>
      </c>
      <c r="C4">
        <f t="shared" si="0"/>
        <v>100</v>
      </c>
      <c r="I4">
        <f>SUM(C1:C20)</f>
        <v>5000</v>
      </c>
    </row>
    <row r="5" spans="1:10" x14ac:dyDescent="0.25">
      <c r="A5">
        <v>445</v>
      </c>
      <c r="B5" s="3">
        <v>0</v>
      </c>
      <c r="C5">
        <f t="shared" si="0"/>
        <v>0</v>
      </c>
      <c r="I5">
        <v>5000</v>
      </c>
      <c r="J5">
        <f>ABS(I4-I5)</f>
        <v>0</v>
      </c>
    </row>
    <row r="6" spans="1:10" x14ac:dyDescent="0.25">
      <c r="A6">
        <v>131</v>
      </c>
      <c r="B6" s="3">
        <v>1</v>
      </c>
      <c r="C6">
        <f t="shared" si="0"/>
        <v>131</v>
      </c>
    </row>
    <row r="7" spans="1:10" x14ac:dyDescent="0.25">
      <c r="A7">
        <v>243</v>
      </c>
      <c r="B7" s="3">
        <v>1</v>
      </c>
      <c r="C7">
        <f t="shared" si="0"/>
        <v>243</v>
      </c>
    </row>
    <row r="8" spans="1:10" x14ac:dyDescent="0.25">
      <c r="A8">
        <v>136</v>
      </c>
      <c r="B8" s="3">
        <v>1</v>
      </c>
      <c r="C8">
        <f t="shared" si="0"/>
        <v>136</v>
      </c>
    </row>
    <row r="9" spans="1:10" x14ac:dyDescent="0.25">
      <c r="A9">
        <v>615</v>
      </c>
      <c r="B9" s="3">
        <v>0</v>
      </c>
      <c r="C9">
        <f t="shared" si="0"/>
        <v>0</v>
      </c>
    </row>
    <row r="10" spans="1:10" x14ac:dyDescent="0.25">
      <c r="A10">
        <v>827</v>
      </c>
      <c r="B10" s="3">
        <v>0</v>
      </c>
      <c r="C10">
        <f t="shared" si="0"/>
        <v>0</v>
      </c>
      <c r="E10" t="s">
        <v>6</v>
      </c>
    </row>
    <row r="11" spans="1:10" x14ac:dyDescent="0.25">
      <c r="A11">
        <v>65</v>
      </c>
      <c r="B11" s="3">
        <v>1</v>
      </c>
      <c r="C11">
        <f t="shared" si="0"/>
        <v>65</v>
      </c>
    </row>
    <row r="12" spans="1:10" x14ac:dyDescent="0.25">
      <c r="A12">
        <v>771</v>
      </c>
      <c r="B12" s="3">
        <v>0</v>
      </c>
      <c r="C12">
        <f t="shared" si="0"/>
        <v>0</v>
      </c>
    </row>
    <row r="13" spans="1:10" x14ac:dyDescent="0.25">
      <c r="A13">
        <v>988</v>
      </c>
      <c r="B13" s="3">
        <v>1</v>
      </c>
      <c r="C13">
        <f t="shared" si="0"/>
        <v>988</v>
      </c>
    </row>
    <row r="14" spans="1:10" x14ac:dyDescent="0.25">
      <c r="A14">
        <v>581</v>
      </c>
      <c r="B14" s="3">
        <v>0</v>
      </c>
      <c r="C14">
        <f t="shared" si="0"/>
        <v>0</v>
      </c>
    </row>
    <row r="15" spans="1:10" x14ac:dyDescent="0.25">
      <c r="A15">
        <v>315</v>
      </c>
      <c r="B15" s="3">
        <v>1</v>
      </c>
      <c r="C15">
        <f t="shared" si="0"/>
        <v>315</v>
      </c>
    </row>
    <row r="16" spans="1:10" x14ac:dyDescent="0.25">
      <c r="A16">
        <v>356</v>
      </c>
      <c r="B16" s="3">
        <v>1</v>
      </c>
      <c r="C16">
        <f t="shared" si="0"/>
        <v>356</v>
      </c>
    </row>
    <row r="17" spans="1:3" x14ac:dyDescent="0.25">
      <c r="A17">
        <v>740</v>
      </c>
      <c r="B17" s="3">
        <v>1</v>
      </c>
      <c r="C17">
        <f t="shared" si="0"/>
        <v>740</v>
      </c>
    </row>
    <row r="18" spans="1:3" x14ac:dyDescent="0.25">
      <c r="A18">
        <v>102</v>
      </c>
      <c r="B18" s="3">
        <v>0</v>
      </c>
      <c r="C18">
        <f t="shared" si="0"/>
        <v>0</v>
      </c>
    </row>
    <row r="19" spans="1:3" x14ac:dyDescent="0.25">
      <c r="A19">
        <v>715</v>
      </c>
      <c r="B19" s="3">
        <v>1</v>
      </c>
      <c r="C19">
        <f t="shared" si="0"/>
        <v>715</v>
      </c>
    </row>
    <row r="20" spans="1:3" x14ac:dyDescent="0.25">
      <c r="A20">
        <v>340</v>
      </c>
      <c r="B20" s="3">
        <v>1</v>
      </c>
      <c r="C20">
        <f t="shared" si="0"/>
        <v>340</v>
      </c>
    </row>
  </sheetData>
  <dataValidations count="1">
    <dataValidation type="list" allowBlank="1" showInputMessage="1" showErrorMessage="1" sqref="B1:B20">
      <formula1>"1,0"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 (2)</vt:lpstr>
      <vt:lpstr>Sheet1</vt:lpstr>
      <vt:lpstr>Sheet2</vt:lpstr>
      <vt:lpstr>Sheet3</vt:lpstr>
      <vt:lpstr>chartadd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2018-09-29T18:06:23Z</dcterms:created>
  <dcterms:modified xsi:type="dcterms:W3CDTF">2018-09-29T19:09:48Z</dcterms:modified>
</cp:coreProperties>
</file>