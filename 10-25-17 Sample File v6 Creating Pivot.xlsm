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SkyDrive\Qcfinance\learners students\arnal\"/>
    </mc:Choice>
  </mc:AlternateContent>
  <bookViews>
    <workbookView xWindow="0" yWindow="0" windowWidth="15345" windowHeight="4335" tabRatio="806" firstSheet="1" activeTab="9"/>
  </bookViews>
  <sheets>
    <sheet name="Sheet2" sheetId="10" r:id="rId1"/>
    <sheet name="sheet1" sheetId="11" r:id="rId2"/>
    <sheet name="Sheet3" sheetId="12" r:id="rId3"/>
    <sheet name="dataset1" sheetId="1" r:id="rId4"/>
    <sheet name="dataset2" sheetId="2" r:id="rId5"/>
    <sheet name="Sheet5" sheetId="19" r:id="rId6"/>
    <sheet name="Sheet6" sheetId="20" r:id="rId7"/>
    <sheet name="dataset1plus2" sheetId="4" r:id="rId8"/>
    <sheet name="pivot 1" sheetId="7" r:id="rId9"/>
    <sheet name="Sheet4" sheetId="21" r:id="rId10"/>
    <sheet name="pivot 2" sheetId="6" r:id="rId11"/>
  </sheets>
  <definedNames>
    <definedName name="PivotData">dataset1plus2!$A$1:$G$12</definedName>
    <definedName name="Source1">Sheet3!$A$1:$F$12</definedName>
    <definedName name="Source2">Sheet3!$H$1:$J$8</definedName>
    <definedName name="source3">Sheet3!$I$1:$J$8</definedName>
  </definedNames>
  <calcPr calcId="152511"/>
  <pivotCaches>
    <pivotCache cacheId="0" r:id="rId12"/>
    <pivotCache cacheId="1" r:id="rId13"/>
    <pivotCache cacheId="2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" l="1"/>
  <c r="F2" i="4"/>
  <c r="F3" i="4"/>
  <c r="F4" i="4"/>
  <c r="F5" i="4"/>
  <c r="F6" i="4"/>
  <c r="F7" i="4"/>
  <c r="F8" i="4"/>
  <c r="F9" i="4"/>
  <c r="F10" i="4"/>
  <c r="F11" i="4"/>
  <c r="F12" i="4"/>
  <c r="B2" i="4"/>
  <c r="C2" i="4"/>
  <c r="D2" i="4"/>
  <c r="E2" i="4"/>
  <c r="B3" i="4"/>
  <c r="G3" i="4" s="1"/>
  <c r="C3" i="4"/>
  <c r="D3" i="4"/>
  <c r="E3" i="4"/>
  <c r="B4" i="4"/>
  <c r="G4" i="4" s="1"/>
  <c r="C4" i="4"/>
  <c r="D4" i="4"/>
  <c r="E4" i="4"/>
  <c r="B5" i="4"/>
  <c r="G5" i="4" s="1"/>
  <c r="C5" i="4"/>
  <c r="D5" i="4"/>
  <c r="E5" i="4"/>
  <c r="B6" i="4"/>
  <c r="G6" i="4" s="1"/>
  <c r="C6" i="4"/>
  <c r="D6" i="4"/>
  <c r="E6" i="4"/>
  <c r="B7" i="4"/>
  <c r="C7" i="4"/>
  <c r="D7" i="4"/>
  <c r="E7" i="4"/>
  <c r="B8" i="4"/>
  <c r="G8" i="4" s="1"/>
  <c r="C8" i="4"/>
  <c r="D8" i="4"/>
  <c r="E8" i="4"/>
  <c r="B9" i="4"/>
  <c r="G9" i="4" s="1"/>
  <c r="C9" i="4"/>
  <c r="D9" i="4"/>
  <c r="E9" i="4"/>
  <c r="B10" i="4"/>
  <c r="C10" i="4"/>
  <c r="D10" i="4"/>
  <c r="E10" i="4"/>
  <c r="B11" i="4"/>
  <c r="C11" i="4"/>
  <c r="D11" i="4"/>
  <c r="E11" i="4"/>
  <c r="B12" i="4"/>
  <c r="G12" i="4" s="1"/>
  <c r="C12" i="4"/>
  <c r="D12" i="4"/>
  <c r="E12" i="4"/>
  <c r="A3" i="4"/>
  <c r="A4" i="4"/>
  <c r="A5" i="4"/>
  <c r="A6" i="4"/>
  <c r="A7" i="4"/>
  <c r="A8" i="4"/>
  <c r="A9" i="4"/>
  <c r="A10" i="4"/>
  <c r="A11" i="4"/>
  <c r="A12" i="4"/>
  <c r="A2" i="4"/>
  <c r="G11" i="4" l="1"/>
  <c r="G10" i="4"/>
  <c r="G7" i="4"/>
</calcChain>
</file>

<file path=xl/comments1.xml><?xml version="1.0" encoding="utf-8"?>
<comments xmlns="http://schemas.openxmlformats.org/spreadsheetml/2006/main">
  <authors>
    <author>Arnal Dayaratna</author>
  </authors>
  <commentList>
    <comment ref="G2" authorId="0" shapeId="0">
      <text>
        <r>
          <rPr>
            <b/>
            <sz val="9"/>
            <color indexed="81"/>
            <rFont val="Tahoma"/>
            <family val="2"/>
          </rPr>
          <t>Arnal Dayaratna:</t>
        </r>
        <r>
          <rPr>
            <sz val="9"/>
            <color indexed="81"/>
            <rFont val="Tahoma"/>
            <family val="2"/>
          </rPr>
          <t xml:space="preserve">
Note: this is f2 * the appropriate value from column C in "national drivers"</t>
        </r>
      </text>
    </comment>
  </commentList>
</comments>
</file>

<file path=xl/sharedStrings.xml><?xml version="1.0" encoding="utf-8"?>
<sst xmlns="http://schemas.openxmlformats.org/spreadsheetml/2006/main" count="177" uniqueCount="33">
  <si>
    <t>U.S.</t>
  </si>
  <si>
    <t>Chevrolet</t>
  </si>
  <si>
    <t>Blue</t>
  </si>
  <si>
    <t>Red</t>
  </si>
  <si>
    <t>Cobalt</t>
  </si>
  <si>
    <t>Japan</t>
  </si>
  <si>
    <t>Toyota</t>
  </si>
  <si>
    <t>Honda</t>
  </si>
  <si>
    <t>Yellow</t>
  </si>
  <si>
    <t>Silver</t>
  </si>
  <si>
    <t>Black</t>
  </si>
  <si>
    <t>Germany</t>
  </si>
  <si>
    <t>Mercedes</t>
  </si>
  <si>
    <t>Subaru</t>
  </si>
  <si>
    <t>BMW</t>
  </si>
  <si>
    <t>Country</t>
  </si>
  <si>
    <t>Make</t>
  </si>
  <si>
    <t>Color</t>
  </si>
  <si>
    <t>Doors</t>
  </si>
  <si>
    <t>Engine Size</t>
  </si>
  <si>
    <t>Mitsubishi</t>
  </si>
  <si>
    <t>Row Labels</t>
  </si>
  <si>
    <t>Grand Total</t>
  </si>
  <si>
    <t>(All)</t>
  </si>
  <si>
    <t>Count of Doors</t>
  </si>
  <si>
    <t>Count of Engine Size</t>
  </si>
  <si>
    <t>Sum of Total = national sales * % of drivers from the country with this car</t>
  </si>
  <si>
    <t>% of drivers from this Country</t>
  </si>
  <si>
    <t>National Drivers</t>
  </si>
  <si>
    <t>% of national drivers</t>
  </si>
  <si>
    <t>Total</t>
  </si>
  <si>
    <t xml:space="preserve"> Sum of Total</t>
  </si>
  <si>
    <t>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</si>
</sst>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2" fillId="0" borderId="1" xfId="0" applyFont="1" applyBorder="1"/>
    <xf numFmtId="2" fontId="0" fillId="0" borderId="1" xfId="0" applyNumberFormat="1" applyBorder="1"/>
    <xf numFmtId="9" fontId="0" fillId="0" borderId="1" xfId="2" applyFont="1" applyBorder="1"/>
    <xf numFmtId="0" fontId="2" fillId="0" borderId="1" xfId="0" applyFont="1" applyBorder="1" applyAlignment="1">
      <alignment wrapText="1"/>
    </xf>
    <xf numFmtId="0" fontId="0" fillId="0" borderId="1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1" xfId="2" applyFont="1" applyBorder="1" applyAlignment="1">
      <alignment horizontal="center"/>
    </xf>
    <xf numFmtId="0" fontId="2" fillId="2" borderId="1" xfId="0" applyFont="1" applyFill="1" applyBorder="1" applyAlignment="1">
      <alignment wrapText="1"/>
    </xf>
    <xf numFmtId="164" fontId="0" fillId="2" borderId="1" xfId="1" applyNumberFormat="1" applyFont="1" applyFill="1" applyBorder="1"/>
    <xf numFmtId="0" fontId="2" fillId="0" borderId="0" xfId="0" applyFont="1" applyBorder="1"/>
    <xf numFmtId="0" fontId="0" fillId="0" borderId="0" xfId="0" applyBorder="1"/>
    <xf numFmtId="164" fontId="0" fillId="0" borderId="0" xfId="1" applyNumberFormat="1" applyFont="1" applyBorder="1"/>
    <xf numFmtId="0" fontId="2" fillId="2" borderId="0" xfId="0" applyFont="1" applyFill="1" applyBorder="1"/>
    <xf numFmtId="0" fontId="0" fillId="2" borderId="0" xfId="0" applyFill="1" applyBorder="1"/>
    <xf numFmtId="0" fontId="0" fillId="0" borderId="2" xfId="0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914400</xdr:colOff>
      <xdr:row>14</xdr:row>
      <xdr:rowOff>161925</xdr:rowOff>
    </xdr:from>
    <xdr:to>
      <xdr:col>6</xdr:col>
      <xdr:colOff>466725</xdr:colOff>
      <xdr:row>18</xdr:row>
      <xdr:rowOff>133350</xdr:rowOff>
    </xdr:to>
    <xdr:sp macro="[0]!playall" textlink="">
      <xdr:nvSpPr>
        <xdr:cNvPr id="2" name="Oval 1"/>
        <xdr:cNvSpPr/>
      </xdr:nvSpPr>
      <xdr:spPr>
        <a:xfrm>
          <a:off x="5715000" y="2828925"/>
          <a:ext cx="1514475" cy="733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Pivot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nal Dayaratna" refreshedDate="43033.238023495367" createdVersion="6" refreshedVersion="6" minRefreshableVersion="3" recordCount="11">
  <cacheSource type="worksheet">
    <worksheetSource ref="A1:G12" sheet="dataset1plus2"/>
  </cacheSource>
  <cacheFields count="7">
    <cacheField name="Country" numFmtId="0">
      <sharedItems count="3">
        <s v="U.S."/>
        <s v="Japan"/>
        <s v="Germany"/>
      </sharedItems>
    </cacheField>
    <cacheField name="Make" numFmtId="0">
      <sharedItems count="7">
        <s v="Chevrolet"/>
        <s v="Toyota"/>
        <s v="Honda"/>
        <s v="Mitsubishi"/>
        <s v="Mercedes"/>
        <s v="Subaru"/>
        <s v="BMW"/>
      </sharedItems>
    </cacheField>
    <cacheField name="Color" numFmtId="0">
      <sharedItems count="6">
        <s v="Blue"/>
        <s v="Red"/>
        <s v="Cobalt"/>
        <s v="Yellow"/>
        <s v="Silver"/>
        <s v="Black"/>
      </sharedItems>
    </cacheField>
    <cacheField name="Doors" numFmtId="0">
      <sharedItems containsSemiMixedTypes="0" containsString="0" containsNumber="1" containsInteger="1" minValue="2" maxValue="4" count="2">
        <n v="2"/>
        <n v="4"/>
      </sharedItems>
    </cacheField>
    <cacheField name="Engine Size" numFmtId="0">
      <sharedItems containsSemiMixedTypes="0" containsString="0" containsNumber="1" minValue="1.8" maxValue="2.8" count="4">
        <n v="2.4"/>
        <n v="2"/>
        <n v="1.8"/>
        <n v="2.8"/>
      </sharedItems>
    </cacheField>
    <cacheField name="% of Drivers from this Country with this Car" numFmtId="0">
      <sharedItems containsSemiMixedTypes="0" containsString="0" containsNumber="1" minValue="0.2" maxValue="0.9"/>
    </cacheField>
    <cacheField name="Total = national sales * % of drivers from the country with this car" numFmtId="164">
      <sharedItems containsSemiMixedTypes="0" containsString="0" containsNumber="1" containsInteger="1" minValue="8612200" maxValue="672618400" count="10">
        <n v="420386500"/>
        <n v="672618400"/>
        <n v="97309800"/>
        <n v="26499000"/>
        <n v="147403600"/>
        <n v="32436600"/>
        <n v="47698200"/>
        <n v="122005500"/>
        <n v="8612200"/>
        <n v="1829225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hivgan Joshi" refreshedDate="43034.943040162034" createdVersion="3" refreshedVersion="5" minRefreshableVersion="3" recordCount="11">
  <cacheSource type="worksheet">
    <worksheetSource ref="A1:G12" sheet="dataset1plus2"/>
  </cacheSource>
  <cacheFields count="7">
    <cacheField name="Country" numFmtId="0">
      <sharedItems count="3">
        <s v="U.S."/>
        <s v="Japan"/>
        <s v="Germany"/>
      </sharedItems>
    </cacheField>
    <cacheField name="Make" numFmtId="0">
      <sharedItems count="7">
        <s v="Chevrolet"/>
        <s v="Toyota"/>
        <s v="Honda"/>
        <s v="Mitsubishi"/>
        <s v="Mercedes"/>
        <s v="Subaru"/>
        <s v="BMW"/>
      </sharedItems>
    </cacheField>
    <cacheField name="Color" numFmtId="0">
      <sharedItems count="6">
        <s v="Blue"/>
        <s v="Red"/>
        <s v="Cobalt"/>
        <s v="Yellow"/>
        <s v="Silver"/>
        <s v="Black"/>
      </sharedItems>
    </cacheField>
    <cacheField name="Doors" numFmtId="0">
      <sharedItems containsSemiMixedTypes="0" containsString="0" containsNumber="1" containsInteger="1" minValue="2" maxValue="4"/>
    </cacheField>
    <cacheField name="Engine Size" numFmtId="0">
      <sharedItems containsSemiMixedTypes="0" containsString="0" containsNumber="1" minValue="1.8" maxValue="2.8"/>
    </cacheField>
    <cacheField name="% of drivers from this Country" numFmtId="9">
      <sharedItems containsSemiMixedTypes="0" containsString="0" containsNumber="1" minValue="0.2" maxValue="0.9"/>
    </cacheField>
    <cacheField name="Total" numFmtId="164">
      <sharedItems containsSemiMixedTypes="0" containsString="0" containsNumber="1" containsInteger="1" minValue="8612200" maxValue="672618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hivgan Joshi" refreshedDate="43034.943488078701" createdVersion="3" refreshedVersion="5" minRefreshableVersion="3" recordCount="11">
  <cacheSource type="worksheet">
    <worksheetSource ref="A1:G12" sheet="dataset1plus2"/>
  </cacheSource>
  <cacheFields count="7">
    <cacheField name="Country" numFmtId="0">
      <sharedItems count="3">
        <s v="U.S."/>
        <s v="Japan"/>
        <s v="Germany"/>
      </sharedItems>
    </cacheField>
    <cacheField name="Make" numFmtId="0">
      <sharedItems count="7">
        <s v="Chevrolet"/>
        <s v="Toyota"/>
        <s v="Honda"/>
        <s v="Mitsubishi"/>
        <s v="Mercedes"/>
        <s v="Subaru"/>
        <s v="BMW"/>
      </sharedItems>
    </cacheField>
    <cacheField name="Color" numFmtId="0">
      <sharedItems count="6">
        <s v="Blue"/>
        <s v="Red"/>
        <s v="Cobalt"/>
        <s v="Yellow"/>
        <s v="Silver"/>
        <s v="Black"/>
      </sharedItems>
    </cacheField>
    <cacheField name="Doors" numFmtId="0">
      <sharedItems containsSemiMixedTypes="0" containsString="0" containsNumber="1" containsInteger="1" minValue="2" maxValue="4"/>
    </cacheField>
    <cacheField name="Engine Size" numFmtId="0">
      <sharedItems containsSemiMixedTypes="0" containsString="0" containsNumber="1" minValue="1.8" maxValue="2.8"/>
    </cacheField>
    <cacheField name="% of drivers from this Country" numFmtId="9">
      <sharedItems containsSemiMixedTypes="0" containsString="0" containsNumber="1" minValue="0.2" maxValue="0.9"/>
    </cacheField>
    <cacheField name="Total" numFmtId="164">
      <sharedItems containsSemiMixedTypes="0" containsString="0" containsNumber="1" containsInteger="1" minValue="8612200" maxValue="672618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x v="0"/>
    <x v="0"/>
    <x v="0"/>
    <x v="0"/>
    <x v="0"/>
    <n v="0.5"/>
    <x v="0"/>
  </r>
  <r>
    <x v="0"/>
    <x v="0"/>
    <x v="1"/>
    <x v="1"/>
    <x v="1"/>
    <n v="0.8"/>
    <x v="1"/>
  </r>
  <r>
    <x v="0"/>
    <x v="0"/>
    <x v="2"/>
    <x v="1"/>
    <x v="2"/>
    <n v="0.5"/>
    <x v="0"/>
  </r>
  <r>
    <x v="1"/>
    <x v="1"/>
    <x v="3"/>
    <x v="1"/>
    <x v="2"/>
    <n v="0.9"/>
    <x v="2"/>
  </r>
  <r>
    <x v="1"/>
    <x v="2"/>
    <x v="4"/>
    <x v="1"/>
    <x v="1"/>
    <n v="0.5"/>
    <x v="3"/>
  </r>
  <r>
    <x v="1"/>
    <x v="3"/>
    <x v="5"/>
    <x v="1"/>
    <x v="0"/>
    <n v="0.4"/>
    <x v="4"/>
  </r>
  <r>
    <x v="1"/>
    <x v="1"/>
    <x v="0"/>
    <x v="1"/>
    <x v="0"/>
    <n v="0.3"/>
    <x v="5"/>
  </r>
  <r>
    <x v="1"/>
    <x v="2"/>
    <x v="1"/>
    <x v="1"/>
    <x v="1"/>
    <n v="0.9"/>
    <x v="6"/>
  </r>
  <r>
    <x v="2"/>
    <x v="4"/>
    <x v="5"/>
    <x v="1"/>
    <x v="3"/>
    <n v="0.5"/>
    <x v="7"/>
  </r>
  <r>
    <x v="2"/>
    <x v="5"/>
    <x v="4"/>
    <x v="1"/>
    <x v="0"/>
    <n v="0.2"/>
    <x v="8"/>
  </r>
  <r>
    <x v="2"/>
    <x v="6"/>
    <x v="1"/>
    <x v="1"/>
    <x v="3"/>
    <n v="0.5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">
  <r>
    <x v="0"/>
    <x v="0"/>
    <x v="0"/>
    <n v="2"/>
    <n v="2.4"/>
    <n v="0.5"/>
    <n v="420386500"/>
  </r>
  <r>
    <x v="0"/>
    <x v="0"/>
    <x v="1"/>
    <n v="4"/>
    <n v="2"/>
    <n v="0.8"/>
    <n v="672618400"/>
  </r>
  <r>
    <x v="0"/>
    <x v="0"/>
    <x v="2"/>
    <n v="4"/>
    <n v="1.8"/>
    <n v="0.5"/>
    <n v="420386500"/>
  </r>
  <r>
    <x v="1"/>
    <x v="1"/>
    <x v="3"/>
    <n v="4"/>
    <n v="1.8"/>
    <n v="0.9"/>
    <n v="97309800"/>
  </r>
  <r>
    <x v="1"/>
    <x v="2"/>
    <x v="4"/>
    <n v="4"/>
    <n v="2"/>
    <n v="0.5"/>
    <n v="26499000"/>
  </r>
  <r>
    <x v="1"/>
    <x v="3"/>
    <x v="5"/>
    <n v="4"/>
    <n v="2.4"/>
    <n v="0.4"/>
    <n v="147403600"/>
  </r>
  <r>
    <x v="1"/>
    <x v="1"/>
    <x v="0"/>
    <n v="4"/>
    <n v="2.4"/>
    <n v="0.3"/>
    <n v="32436600"/>
  </r>
  <r>
    <x v="1"/>
    <x v="2"/>
    <x v="1"/>
    <n v="4"/>
    <n v="2"/>
    <n v="0.9"/>
    <n v="47698200"/>
  </r>
  <r>
    <x v="2"/>
    <x v="4"/>
    <x v="5"/>
    <n v="4"/>
    <n v="2.8"/>
    <n v="0.5"/>
    <n v="122005500"/>
  </r>
  <r>
    <x v="2"/>
    <x v="5"/>
    <x v="4"/>
    <n v="4"/>
    <n v="2.4"/>
    <n v="0.2"/>
    <n v="8612200"/>
  </r>
  <r>
    <x v="2"/>
    <x v="6"/>
    <x v="1"/>
    <n v="4"/>
    <n v="2.8"/>
    <n v="0.5"/>
    <n v="1829225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1">
  <r>
    <x v="0"/>
    <x v="0"/>
    <x v="0"/>
    <n v="2"/>
    <n v="2.4"/>
    <n v="0.5"/>
    <n v="420386500"/>
  </r>
  <r>
    <x v="0"/>
    <x v="0"/>
    <x v="1"/>
    <n v="4"/>
    <n v="2"/>
    <n v="0.8"/>
    <n v="672618400"/>
  </r>
  <r>
    <x v="0"/>
    <x v="0"/>
    <x v="2"/>
    <n v="4"/>
    <n v="1.8"/>
    <n v="0.5"/>
    <n v="420386500"/>
  </r>
  <r>
    <x v="1"/>
    <x v="1"/>
    <x v="3"/>
    <n v="4"/>
    <n v="1.8"/>
    <n v="0.9"/>
    <n v="97309800"/>
  </r>
  <r>
    <x v="1"/>
    <x v="2"/>
    <x v="4"/>
    <n v="4"/>
    <n v="2"/>
    <n v="0.5"/>
    <n v="26499000"/>
  </r>
  <r>
    <x v="1"/>
    <x v="3"/>
    <x v="5"/>
    <n v="4"/>
    <n v="2.4"/>
    <n v="0.4"/>
    <n v="147403600"/>
  </r>
  <r>
    <x v="1"/>
    <x v="1"/>
    <x v="0"/>
    <n v="4"/>
    <n v="2.4"/>
    <n v="0.3"/>
    <n v="32436600"/>
  </r>
  <r>
    <x v="1"/>
    <x v="2"/>
    <x v="1"/>
    <n v="4"/>
    <n v="2"/>
    <n v="0.9"/>
    <n v="47698200"/>
  </r>
  <r>
    <x v="2"/>
    <x v="4"/>
    <x v="5"/>
    <n v="4"/>
    <n v="2.8"/>
    <n v="0.5"/>
    <n v="122005500"/>
  </r>
  <r>
    <x v="2"/>
    <x v="5"/>
    <x v="4"/>
    <n v="4"/>
    <n v="2.4"/>
    <n v="0.2"/>
    <n v="8612200"/>
  </r>
  <r>
    <x v="2"/>
    <x v="6"/>
    <x v="1"/>
    <n v="4"/>
    <n v="2.8"/>
    <n v="0.5"/>
    <n v="182922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5:A6" firstHeaderRow="1" firstDataRow="1" firstDataCol="0" rowPageCount="3" colPageCount="1"/>
  <pivotFields count="7">
    <pivotField axis="axisPage" showAll="0">
      <items count="4">
        <item x="2"/>
        <item x="1"/>
        <item x="0"/>
        <item t="default"/>
      </items>
    </pivotField>
    <pivotField axis="axisPage" showAll="0">
      <items count="8">
        <item x="6"/>
        <item x="0"/>
        <item x="2"/>
        <item x="4"/>
        <item x="3"/>
        <item x="5"/>
        <item x="1"/>
        <item t="default"/>
      </items>
    </pivotField>
    <pivotField axis="axisPage" showAll="0">
      <items count="7">
        <item x="5"/>
        <item x="0"/>
        <item x="2"/>
        <item x="1"/>
        <item x="4"/>
        <item x="3"/>
        <item t="default"/>
      </items>
    </pivotField>
    <pivotField showAll="0"/>
    <pivotField showAll="0"/>
    <pivotField numFmtId="9" showAll="0"/>
    <pivotField dataField="1" numFmtId="164"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 Sum of Total" fld="6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5:A6" firstHeaderRow="1" firstDataRow="1" firstDataCol="0" rowPageCount="3" colPageCount="1"/>
  <pivotFields count="7">
    <pivotField axis="axisPage" showAll="0">
      <items count="4">
        <item x="2"/>
        <item x="1"/>
        <item x="0"/>
        <item t="default"/>
      </items>
    </pivotField>
    <pivotField axis="axisPage" showAll="0">
      <items count="8">
        <item x="6"/>
        <item x="0"/>
        <item x="2"/>
        <item x="4"/>
        <item x="3"/>
        <item x="5"/>
        <item x="1"/>
        <item t="default"/>
      </items>
    </pivotField>
    <pivotField axis="axisPage" showAll="0">
      <items count="7">
        <item x="5"/>
        <item x="0"/>
        <item x="2"/>
        <item x="1"/>
        <item x="4"/>
        <item x="3"/>
        <item t="default"/>
      </items>
    </pivotField>
    <pivotField showAll="0"/>
    <pivotField showAll="0"/>
    <pivotField numFmtId="9" showAll="0"/>
    <pivotField dataField="1" numFmtId="164"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 Sum of Total" fld="6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>
  <location ref="A7:A8" firstHeaderRow="1" firstDataRow="1" firstDataCol="0" rowPageCount="5" colPageCount="1"/>
  <pivotFields count="7">
    <pivotField axis="axisPage" subtotalTop="0" showAll="0">
      <items count="4">
        <item x="2"/>
        <item x="1"/>
        <item x="0"/>
        <item t="default"/>
      </items>
    </pivotField>
    <pivotField axis="axisPage" subtotalTop="0" showAll="0">
      <items count="8">
        <item x="6"/>
        <item x="0"/>
        <item x="2"/>
        <item x="4"/>
        <item x="3"/>
        <item x="5"/>
        <item x="1"/>
        <item t="default"/>
      </items>
    </pivotField>
    <pivotField axis="axisPage" subtotalTop="0" showAll="0">
      <items count="7">
        <item x="5"/>
        <item x="0"/>
        <item x="2"/>
        <item x="1"/>
        <item x="4"/>
        <item x="3"/>
        <item t="default"/>
      </items>
    </pivotField>
    <pivotField axis="axisPage" subtotalTop="0" showAll="0">
      <items count="3">
        <item x="0"/>
        <item x="1"/>
        <item t="default"/>
      </items>
    </pivotField>
    <pivotField axis="axisPage" subtotalTop="0" showAll="0">
      <items count="5">
        <item x="2"/>
        <item x="1"/>
        <item x="0"/>
        <item x="3"/>
        <item t="default"/>
      </items>
    </pivotField>
    <pivotField subtotalTop="0" showAll="0"/>
    <pivotField dataField="1" numFmtId="164" subtotalTop="0" showAll="0">
      <items count="11">
        <item x="8"/>
        <item x="3"/>
        <item x="5"/>
        <item x="6"/>
        <item x="2"/>
        <item x="7"/>
        <item x="4"/>
        <item x="9"/>
        <item x="0"/>
        <item x="1"/>
        <item t="default"/>
      </items>
    </pivotField>
  </pivotFields>
  <rowItems count="1">
    <i/>
  </rowItems>
  <colItems count="1">
    <i/>
  </colItems>
  <pageFields count="5">
    <pageField fld="0" hier="-1"/>
    <pageField fld="1" hier="-1"/>
    <pageField fld="3" hier="-1"/>
    <pageField fld="2" hier="-1"/>
    <pageField fld="4" hier="-1"/>
  </pageFields>
  <dataFields count="1">
    <dataField name="Sum of Total = national sales * % of drivers from the country with this car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D11" firstHeaderRow="0" firstDataRow="1" firstDataCol="1" rowPageCount="2" colPageCount="1"/>
  <pivotFields count="7">
    <pivotField axis="axisPage" subtotalTop="0" showAll="0">
      <items count="4">
        <item x="2"/>
        <item x="1"/>
        <item x="0"/>
        <item t="default"/>
      </items>
    </pivotField>
    <pivotField axis="axisPage" subtotalTop="0" showAll="0">
      <items count="8">
        <item x="6"/>
        <item x="0"/>
        <item x="2"/>
        <item x="4"/>
        <item x="3"/>
        <item x="5"/>
        <item x="1"/>
        <item t="default"/>
      </items>
    </pivotField>
    <pivotField axis="axisRow" subtotalTop="0" showAll="0">
      <items count="7">
        <item x="5"/>
        <item x="0"/>
        <item x="2"/>
        <item x="1"/>
        <item x="4"/>
        <item x="3"/>
        <item t="default"/>
      </items>
    </pivotField>
    <pivotField dataField="1" subtotalTop="0" showAll="0"/>
    <pivotField dataField="1" subtotalTop="0" showAll="0"/>
    <pivotField subtotalTop="0" showAll="0"/>
    <pivotField dataField="1" numFmtId="164" subtotalTop="0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-1"/>
    <pageField fld="1" hier="-1"/>
  </pageFields>
  <dataFields count="3">
    <dataField name="Count of Doors" fld="3" subtotal="count" baseField="2" baseItem="0"/>
    <dataField name="Count of Engine Size" fld="4" subtotal="count" baseField="2" baseItem="0"/>
    <dataField name="Sum of Total = national sales * % of drivers from the country with this car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9"/>
  <sheetViews>
    <sheetView workbookViewId="0">
      <selection activeCell="A10" sqref="A10"/>
    </sheetView>
  </sheetViews>
  <sheetFormatPr defaultRowHeight="15" x14ac:dyDescent="0.25"/>
  <cols>
    <col min="1" max="1" width="20.42578125" customWidth="1"/>
    <col min="2" max="2" width="17.28515625" customWidth="1"/>
    <col min="3" max="3" width="17" customWidth="1"/>
  </cols>
  <sheetData>
    <row r="1" spans="1:3" x14ac:dyDescent="0.25">
      <c r="A1" s="3" t="s">
        <v>15</v>
      </c>
      <c r="B1" s="3" t="s">
        <v>16</v>
      </c>
      <c r="C1" s="3" t="s">
        <v>28</v>
      </c>
    </row>
    <row r="2" spans="1:3" x14ac:dyDescent="0.25">
      <c r="A2" s="1" t="s">
        <v>0</v>
      </c>
      <c r="B2" s="1" t="s">
        <v>1</v>
      </c>
      <c r="C2" s="2">
        <v>840773000</v>
      </c>
    </row>
    <row r="3" spans="1:3" x14ac:dyDescent="0.25">
      <c r="A3" s="1" t="s">
        <v>5</v>
      </c>
      <c r="B3" s="1" t="s">
        <v>6</v>
      </c>
      <c r="C3" s="2">
        <v>108122000</v>
      </c>
    </row>
    <row r="4" spans="1:3" x14ac:dyDescent="0.25">
      <c r="A4" s="1" t="s">
        <v>5</v>
      </c>
      <c r="B4" s="1" t="s">
        <v>7</v>
      </c>
      <c r="C4" s="2">
        <v>52998000</v>
      </c>
    </row>
    <row r="5" spans="1:3" x14ac:dyDescent="0.25">
      <c r="A5" s="1" t="s">
        <v>5</v>
      </c>
      <c r="B5" s="1" t="s">
        <v>20</v>
      </c>
      <c r="C5" s="2">
        <v>368509000</v>
      </c>
    </row>
    <row r="6" spans="1:3" x14ac:dyDescent="0.25">
      <c r="A6" s="1" t="s">
        <v>11</v>
      </c>
      <c r="B6" s="1" t="s">
        <v>12</v>
      </c>
      <c r="C6" s="2">
        <v>244011000</v>
      </c>
    </row>
    <row r="7" spans="1:3" x14ac:dyDescent="0.25">
      <c r="A7" s="1" t="s">
        <v>11</v>
      </c>
      <c r="B7" s="1" t="s">
        <v>13</v>
      </c>
      <c r="C7" s="2">
        <v>43061000</v>
      </c>
    </row>
    <row r="8" spans="1:3" x14ac:dyDescent="0.25">
      <c r="A8" s="1" t="s">
        <v>11</v>
      </c>
      <c r="B8" s="1" t="s">
        <v>14</v>
      </c>
      <c r="C8" s="2">
        <v>365845000</v>
      </c>
    </row>
    <row r="9" spans="1:3" x14ac:dyDescent="0.25">
      <c r="A9" s="19" t="s">
        <v>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2"/>
  <sheetViews>
    <sheetView workbookViewId="0">
      <selection activeCell="A12" sqref="A1:A12"/>
    </sheetView>
  </sheetViews>
  <sheetFormatPr defaultRowHeight="15" x14ac:dyDescent="0.25"/>
  <cols>
    <col min="1" max="1" width="16" customWidth="1"/>
    <col min="2" max="2" width="19.85546875" customWidth="1"/>
    <col min="3" max="3" width="9.85546875" customWidth="1"/>
    <col min="5" max="5" width="17.140625" customWidth="1"/>
    <col min="6" max="6" width="23.28515625" customWidth="1"/>
  </cols>
  <sheetData>
    <row r="1" spans="1:6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6" t="s">
        <v>29</v>
      </c>
    </row>
    <row r="2" spans="1:6" x14ac:dyDescent="0.25">
      <c r="A2" s="1" t="s">
        <v>0</v>
      </c>
      <c r="B2" s="1" t="s">
        <v>1</v>
      </c>
      <c r="C2" s="1" t="s">
        <v>2</v>
      </c>
      <c r="D2" s="1">
        <v>2</v>
      </c>
      <c r="E2" s="4">
        <v>2.4</v>
      </c>
      <c r="F2" s="5">
        <v>0.5</v>
      </c>
    </row>
    <row r="3" spans="1:6" x14ac:dyDescent="0.25">
      <c r="A3" s="1" t="s">
        <v>0</v>
      </c>
      <c r="B3" s="1" t="s">
        <v>1</v>
      </c>
      <c r="C3" s="1" t="s">
        <v>3</v>
      </c>
      <c r="D3" s="1">
        <v>4</v>
      </c>
      <c r="E3" s="4">
        <v>2</v>
      </c>
      <c r="F3" s="5">
        <v>0.8</v>
      </c>
    </row>
    <row r="4" spans="1:6" x14ac:dyDescent="0.25">
      <c r="A4" s="1" t="s">
        <v>0</v>
      </c>
      <c r="B4" s="1" t="s">
        <v>1</v>
      </c>
      <c r="C4" s="1" t="s">
        <v>4</v>
      </c>
      <c r="D4" s="1">
        <v>4</v>
      </c>
      <c r="E4" s="4">
        <v>1.8</v>
      </c>
      <c r="F4" s="5">
        <v>0.5</v>
      </c>
    </row>
    <row r="5" spans="1:6" x14ac:dyDescent="0.25">
      <c r="A5" s="1" t="s">
        <v>5</v>
      </c>
      <c r="B5" s="1" t="s">
        <v>6</v>
      </c>
      <c r="C5" s="1" t="s">
        <v>8</v>
      </c>
      <c r="D5" s="1">
        <v>4</v>
      </c>
      <c r="E5" s="4">
        <v>1.8</v>
      </c>
      <c r="F5" s="5">
        <v>0.9</v>
      </c>
    </row>
    <row r="6" spans="1:6" x14ac:dyDescent="0.25">
      <c r="A6" s="1" t="s">
        <v>5</v>
      </c>
      <c r="B6" s="1" t="s">
        <v>7</v>
      </c>
      <c r="C6" s="1" t="s">
        <v>9</v>
      </c>
      <c r="D6" s="1">
        <v>4</v>
      </c>
      <c r="E6" s="4">
        <v>2</v>
      </c>
      <c r="F6" s="5">
        <v>0.5</v>
      </c>
    </row>
    <row r="7" spans="1:6" x14ac:dyDescent="0.25">
      <c r="A7" s="1" t="s">
        <v>5</v>
      </c>
      <c r="B7" s="1" t="s">
        <v>20</v>
      </c>
      <c r="C7" s="1" t="s">
        <v>10</v>
      </c>
      <c r="D7" s="1">
        <v>4</v>
      </c>
      <c r="E7" s="4">
        <v>2.4</v>
      </c>
      <c r="F7" s="5">
        <v>0.4</v>
      </c>
    </row>
    <row r="8" spans="1:6" x14ac:dyDescent="0.25">
      <c r="A8" s="1" t="s">
        <v>5</v>
      </c>
      <c r="B8" s="1" t="s">
        <v>6</v>
      </c>
      <c r="C8" s="1" t="s">
        <v>2</v>
      </c>
      <c r="D8" s="1">
        <v>4</v>
      </c>
      <c r="E8" s="4">
        <v>2.4</v>
      </c>
      <c r="F8" s="5">
        <v>0.3</v>
      </c>
    </row>
    <row r="9" spans="1:6" x14ac:dyDescent="0.25">
      <c r="A9" s="1" t="s">
        <v>5</v>
      </c>
      <c r="B9" s="1" t="s">
        <v>7</v>
      </c>
      <c r="C9" s="1" t="s">
        <v>3</v>
      </c>
      <c r="D9" s="1">
        <v>4</v>
      </c>
      <c r="E9" s="4">
        <v>2</v>
      </c>
      <c r="F9" s="5">
        <v>0.9</v>
      </c>
    </row>
    <row r="10" spans="1:6" x14ac:dyDescent="0.25">
      <c r="A10" s="1" t="s">
        <v>11</v>
      </c>
      <c r="B10" s="1" t="s">
        <v>12</v>
      </c>
      <c r="C10" s="1" t="s">
        <v>10</v>
      </c>
      <c r="D10" s="1">
        <v>4</v>
      </c>
      <c r="E10" s="4">
        <v>2.8</v>
      </c>
      <c r="F10" s="5">
        <v>0.5</v>
      </c>
    </row>
    <row r="11" spans="1:6" x14ac:dyDescent="0.25">
      <c r="A11" s="1" t="s">
        <v>11</v>
      </c>
      <c r="B11" s="1" t="s">
        <v>13</v>
      </c>
      <c r="C11" s="1" t="s">
        <v>9</v>
      </c>
      <c r="D11" s="1">
        <v>4</v>
      </c>
      <c r="E11" s="4">
        <v>2.4</v>
      </c>
      <c r="F11" s="5">
        <v>0.2</v>
      </c>
    </row>
    <row r="12" spans="1:6" x14ac:dyDescent="0.25">
      <c r="A12" s="1" t="s">
        <v>11</v>
      </c>
      <c r="B12" s="1" t="s">
        <v>14</v>
      </c>
      <c r="C12" s="1" t="s">
        <v>3</v>
      </c>
      <c r="D12" s="1">
        <v>4</v>
      </c>
      <c r="E12" s="4">
        <v>2.8</v>
      </c>
      <c r="F12" s="5">
        <v>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0"/>
  <sheetViews>
    <sheetView workbookViewId="0">
      <selection sqref="A1:F12"/>
    </sheetView>
  </sheetViews>
  <sheetFormatPr defaultRowHeight="15" x14ac:dyDescent="0.25"/>
  <cols>
    <col min="1" max="1" width="16" style="15" customWidth="1"/>
    <col min="2" max="2" width="19.85546875" style="15" customWidth="1"/>
    <col min="3" max="3" width="9.85546875" style="15" customWidth="1"/>
    <col min="4" max="4" width="9.140625" style="15"/>
    <col min="5" max="5" width="17.140625" style="15" customWidth="1"/>
    <col min="6" max="6" width="23.28515625" style="15" customWidth="1"/>
    <col min="7" max="7" width="10" style="18" bestFit="1" customWidth="1"/>
    <col min="8" max="8" width="9.140625" style="15"/>
    <col min="9" max="10" width="15.42578125" style="15" bestFit="1" customWidth="1"/>
    <col min="11" max="16384" width="9.140625" style="15"/>
  </cols>
  <sheetData>
    <row r="1" spans="1:10" x14ac:dyDescent="0.25">
      <c r="A1" s="3"/>
      <c r="B1" s="3"/>
      <c r="C1" s="3"/>
      <c r="D1" s="3"/>
      <c r="E1" s="3"/>
      <c r="F1" s="6"/>
      <c r="G1" s="17"/>
      <c r="H1" s="3"/>
      <c r="I1" s="3"/>
      <c r="J1" s="3"/>
    </row>
    <row r="2" spans="1:10" x14ac:dyDescent="0.25">
      <c r="A2" s="1"/>
      <c r="B2" s="1"/>
      <c r="C2" s="1"/>
      <c r="D2" s="1"/>
      <c r="E2" s="4"/>
      <c r="F2" s="5"/>
      <c r="H2" s="1"/>
      <c r="I2" s="1"/>
      <c r="J2" s="2"/>
    </row>
    <row r="3" spans="1:10" x14ac:dyDescent="0.25">
      <c r="A3" s="1"/>
      <c r="B3" s="1"/>
      <c r="C3" s="1"/>
      <c r="D3" s="1"/>
      <c r="E3" s="4"/>
      <c r="F3" s="5"/>
      <c r="H3" s="1"/>
      <c r="I3" s="1"/>
      <c r="J3" s="2"/>
    </row>
    <row r="4" spans="1:10" x14ac:dyDescent="0.25">
      <c r="A4" s="1"/>
      <c r="B4" s="1"/>
      <c r="C4" s="1"/>
      <c r="D4" s="1"/>
      <c r="E4" s="4"/>
      <c r="F4" s="5"/>
      <c r="H4" s="1"/>
      <c r="I4" s="1"/>
      <c r="J4" s="2"/>
    </row>
    <row r="5" spans="1:10" x14ac:dyDescent="0.25">
      <c r="A5" s="1"/>
      <c r="B5" s="1"/>
      <c r="C5" s="1"/>
      <c r="D5" s="1"/>
      <c r="E5" s="4"/>
      <c r="F5" s="5"/>
      <c r="H5" s="1"/>
      <c r="I5" s="1"/>
      <c r="J5" s="2"/>
    </row>
    <row r="6" spans="1:10" x14ac:dyDescent="0.25">
      <c r="A6" s="1"/>
      <c r="B6" s="1"/>
      <c r="C6" s="1"/>
      <c r="D6" s="1"/>
      <c r="E6" s="4"/>
      <c r="F6" s="5"/>
      <c r="H6" s="1"/>
      <c r="I6" s="1"/>
      <c r="J6" s="2"/>
    </row>
    <row r="7" spans="1:10" x14ac:dyDescent="0.25">
      <c r="A7" s="1"/>
      <c r="B7" s="1"/>
      <c r="C7" s="1"/>
      <c r="D7" s="1"/>
      <c r="E7" s="4"/>
      <c r="F7" s="5"/>
      <c r="H7" s="1"/>
      <c r="I7" s="1"/>
      <c r="J7" s="2"/>
    </row>
    <row r="8" spans="1:10" x14ac:dyDescent="0.25">
      <c r="A8" s="1"/>
      <c r="B8" s="1"/>
      <c r="C8" s="1"/>
      <c r="D8" s="1"/>
      <c r="E8" s="4"/>
      <c r="F8" s="5"/>
      <c r="H8" s="1"/>
      <c r="I8" s="1"/>
      <c r="J8" s="2"/>
    </row>
    <row r="9" spans="1:10" x14ac:dyDescent="0.25">
      <c r="A9" s="1"/>
      <c r="B9" s="1"/>
      <c r="C9" s="1"/>
      <c r="D9" s="1"/>
      <c r="E9" s="4"/>
      <c r="F9" s="5"/>
    </row>
    <row r="10" spans="1:10" x14ac:dyDescent="0.25">
      <c r="A10" s="1"/>
      <c r="B10" s="1"/>
      <c r="C10" s="1"/>
      <c r="D10" s="1"/>
      <c r="E10" s="4"/>
      <c r="F10" s="5"/>
    </row>
    <row r="11" spans="1:10" x14ac:dyDescent="0.25">
      <c r="A11" s="1"/>
      <c r="B11" s="1"/>
      <c r="C11" s="1"/>
      <c r="D11" s="1"/>
      <c r="E11" s="4"/>
      <c r="F11" s="5"/>
    </row>
    <row r="12" spans="1:10" x14ac:dyDescent="0.25">
      <c r="A12" s="1"/>
      <c r="B12" s="1"/>
      <c r="C12" s="1"/>
      <c r="D12" s="1"/>
      <c r="E12" s="4"/>
      <c r="F12" s="5"/>
    </row>
    <row r="13" spans="1:10" x14ac:dyDescent="0.25">
      <c r="G13" s="17"/>
      <c r="H13" s="14"/>
      <c r="I13" s="14"/>
    </row>
    <row r="14" spans="1:10" x14ac:dyDescent="0.25">
      <c r="I14" s="16"/>
    </row>
    <row r="15" spans="1:10" x14ac:dyDescent="0.25">
      <c r="I15" s="16"/>
    </row>
    <row r="16" spans="1:10" x14ac:dyDescent="0.25">
      <c r="I16" s="16"/>
    </row>
    <row r="17" spans="9:9" x14ac:dyDescent="0.25">
      <c r="I17" s="16"/>
    </row>
    <row r="18" spans="9:9" x14ac:dyDescent="0.25">
      <c r="I18" s="16"/>
    </row>
    <row r="19" spans="9:9" x14ac:dyDescent="0.25">
      <c r="I19" s="16"/>
    </row>
    <row r="20" spans="9:9" x14ac:dyDescent="0.25">
      <c r="I20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H1" sqref="H1"/>
    </sheetView>
  </sheetViews>
  <sheetFormatPr defaultRowHeight="15" x14ac:dyDescent="0.25"/>
  <cols>
    <col min="1" max="1" width="16" customWidth="1"/>
    <col min="2" max="2" width="19.85546875" customWidth="1"/>
    <col min="3" max="3" width="9.85546875" customWidth="1"/>
    <col min="5" max="5" width="17.140625" customWidth="1"/>
    <col min="6" max="6" width="23.28515625" customWidth="1"/>
  </cols>
  <sheetData>
    <row r="1" spans="1:6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6" t="s">
        <v>29</v>
      </c>
    </row>
    <row r="2" spans="1:6" x14ac:dyDescent="0.25">
      <c r="A2" s="1" t="s">
        <v>0</v>
      </c>
      <c r="B2" s="1" t="s">
        <v>1</v>
      </c>
      <c r="C2" s="1" t="s">
        <v>2</v>
      </c>
      <c r="D2" s="1">
        <v>2</v>
      </c>
      <c r="E2" s="4">
        <v>2.4</v>
      </c>
      <c r="F2" s="5">
        <v>0.5</v>
      </c>
    </row>
    <row r="3" spans="1:6" x14ac:dyDescent="0.25">
      <c r="A3" s="1" t="s">
        <v>0</v>
      </c>
      <c r="B3" s="1" t="s">
        <v>1</v>
      </c>
      <c r="C3" s="1" t="s">
        <v>3</v>
      </c>
      <c r="D3" s="1">
        <v>4</v>
      </c>
      <c r="E3" s="4">
        <v>2</v>
      </c>
      <c r="F3" s="5">
        <v>0.8</v>
      </c>
    </row>
    <row r="4" spans="1:6" x14ac:dyDescent="0.25">
      <c r="A4" s="1" t="s">
        <v>0</v>
      </c>
      <c r="B4" s="1" t="s">
        <v>1</v>
      </c>
      <c r="C4" s="1" t="s">
        <v>4</v>
      </c>
      <c r="D4" s="1">
        <v>4</v>
      </c>
      <c r="E4" s="4">
        <v>1.8</v>
      </c>
      <c r="F4" s="5">
        <v>0.5</v>
      </c>
    </row>
    <row r="5" spans="1:6" x14ac:dyDescent="0.25">
      <c r="A5" s="1" t="s">
        <v>5</v>
      </c>
      <c r="B5" s="1" t="s">
        <v>6</v>
      </c>
      <c r="C5" s="1" t="s">
        <v>8</v>
      </c>
      <c r="D5" s="1">
        <v>4</v>
      </c>
      <c r="E5" s="4">
        <v>1.8</v>
      </c>
      <c r="F5" s="5">
        <v>0.9</v>
      </c>
    </row>
    <row r="6" spans="1:6" x14ac:dyDescent="0.25">
      <c r="A6" s="1" t="s">
        <v>5</v>
      </c>
      <c r="B6" s="1" t="s">
        <v>7</v>
      </c>
      <c r="C6" s="1" t="s">
        <v>9</v>
      </c>
      <c r="D6" s="1">
        <v>4</v>
      </c>
      <c r="E6" s="4">
        <v>2</v>
      </c>
      <c r="F6" s="5">
        <v>0.5</v>
      </c>
    </row>
    <row r="7" spans="1:6" x14ac:dyDescent="0.25">
      <c r="A7" s="1" t="s">
        <v>5</v>
      </c>
      <c r="B7" s="1" t="s">
        <v>20</v>
      </c>
      <c r="C7" s="1" t="s">
        <v>10</v>
      </c>
      <c r="D7" s="1">
        <v>4</v>
      </c>
      <c r="E7" s="4">
        <v>2.4</v>
      </c>
      <c r="F7" s="5">
        <v>0.4</v>
      </c>
    </row>
    <row r="8" spans="1:6" x14ac:dyDescent="0.25">
      <c r="A8" s="1" t="s">
        <v>5</v>
      </c>
      <c r="B8" s="1" t="s">
        <v>6</v>
      </c>
      <c r="C8" s="1" t="s">
        <v>2</v>
      </c>
      <c r="D8" s="1">
        <v>4</v>
      </c>
      <c r="E8" s="4">
        <v>2.4</v>
      </c>
      <c r="F8" s="5">
        <v>0.3</v>
      </c>
    </row>
    <row r="9" spans="1:6" x14ac:dyDescent="0.25">
      <c r="A9" s="1" t="s">
        <v>5</v>
      </c>
      <c r="B9" s="1" t="s">
        <v>7</v>
      </c>
      <c r="C9" s="1" t="s">
        <v>3</v>
      </c>
      <c r="D9" s="1">
        <v>4</v>
      </c>
      <c r="E9" s="4">
        <v>2</v>
      </c>
      <c r="F9" s="5">
        <v>0.9</v>
      </c>
    </row>
    <row r="10" spans="1:6" x14ac:dyDescent="0.25">
      <c r="A10" s="1" t="s">
        <v>11</v>
      </c>
      <c r="B10" s="1" t="s">
        <v>12</v>
      </c>
      <c r="C10" s="1" t="s">
        <v>10</v>
      </c>
      <c r="D10" s="1">
        <v>4</v>
      </c>
      <c r="E10" s="4">
        <v>2.8</v>
      </c>
      <c r="F10" s="5">
        <v>0.5</v>
      </c>
    </row>
    <row r="11" spans="1:6" x14ac:dyDescent="0.25">
      <c r="A11" s="1" t="s">
        <v>11</v>
      </c>
      <c r="B11" s="1" t="s">
        <v>13</v>
      </c>
      <c r="C11" s="1" t="s">
        <v>9</v>
      </c>
      <c r="D11" s="1">
        <v>4</v>
      </c>
      <c r="E11" s="4">
        <v>2.4</v>
      </c>
      <c r="F11" s="5">
        <v>0.2</v>
      </c>
    </row>
    <row r="12" spans="1:6" x14ac:dyDescent="0.25">
      <c r="A12" s="1" t="s">
        <v>11</v>
      </c>
      <c r="B12" s="1" t="s">
        <v>14</v>
      </c>
      <c r="C12" s="1" t="s">
        <v>3</v>
      </c>
      <c r="D12" s="1">
        <v>4</v>
      </c>
      <c r="E12" s="4">
        <v>2.8</v>
      </c>
      <c r="F12" s="5">
        <v>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C8" sqref="A1:C8"/>
    </sheetView>
  </sheetViews>
  <sheetFormatPr defaultRowHeight="15" x14ac:dyDescent="0.25"/>
  <cols>
    <col min="1" max="1" width="20.42578125" customWidth="1"/>
    <col min="2" max="2" width="17.28515625" customWidth="1"/>
    <col min="3" max="3" width="17" customWidth="1"/>
  </cols>
  <sheetData>
    <row r="1" spans="1:3" x14ac:dyDescent="0.25">
      <c r="A1" s="3" t="s">
        <v>15</v>
      </c>
      <c r="B1" s="3" t="s">
        <v>16</v>
      </c>
      <c r="C1" s="3" t="s">
        <v>28</v>
      </c>
    </row>
    <row r="2" spans="1:3" x14ac:dyDescent="0.25">
      <c r="A2" s="1" t="s">
        <v>0</v>
      </c>
      <c r="B2" s="1" t="s">
        <v>1</v>
      </c>
      <c r="C2" s="2">
        <v>840773000</v>
      </c>
    </row>
    <row r="3" spans="1:3" x14ac:dyDescent="0.25">
      <c r="A3" s="1" t="s">
        <v>5</v>
      </c>
      <c r="B3" s="1" t="s">
        <v>6</v>
      </c>
      <c r="C3" s="2">
        <v>108122000</v>
      </c>
    </row>
    <row r="4" spans="1:3" x14ac:dyDescent="0.25">
      <c r="A4" s="1" t="s">
        <v>5</v>
      </c>
      <c r="B4" s="1" t="s">
        <v>7</v>
      </c>
      <c r="C4" s="2">
        <v>52998000</v>
      </c>
    </row>
    <row r="5" spans="1:3" x14ac:dyDescent="0.25">
      <c r="A5" s="1" t="s">
        <v>5</v>
      </c>
      <c r="B5" s="1" t="s">
        <v>20</v>
      </c>
      <c r="C5" s="2">
        <v>368509000</v>
      </c>
    </row>
    <row r="6" spans="1:3" x14ac:dyDescent="0.25">
      <c r="A6" s="1" t="s">
        <v>11</v>
      </c>
      <c r="B6" s="1" t="s">
        <v>12</v>
      </c>
      <c r="C6" s="2">
        <v>244011000</v>
      </c>
    </row>
    <row r="7" spans="1:3" x14ac:dyDescent="0.25">
      <c r="A7" s="1" t="s">
        <v>11</v>
      </c>
      <c r="B7" s="1" t="s">
        <v>13</v>
      </c>
      <c r="C7" s="2">
        <v>43061000</v>
      </c>
    </row>
    <row r="8" spans="1:3" x14ac:dyDescent="0.25">
      <c r="A8" s="1" t="s">
        <v>11</v>
      </c>
      <c r="B8" s="1" t="s">
        <v>14</v>
      </c>
      <c r="C8" s="2">
        <v>365845000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"/>
  <sheetViews>
    <sheetView workbookViewId="0"/>
  </sheetViews>
  <sheetFormatPr defaultRowHeight="15" x14ac:dyDescent="0.25"/>
  <cols>
    <col min="1" max="1" width="12.42578125" customWidth="1"/>
    <col min="2" max="2" width="7.140625" customWidth="1"/>
  </cols>
  <sheetData>
    <row r="1" spans="1:2" x14ac:dyDescent="0.25">
      <c r="A1" s="8" t="s">
        <v>15</v>
      </c>
      <c r="B1" t="s">
        <v>23</v>
      </c>
    </row>
    <row r="2" spans="1:2" x14ac:dyDescent="0.25">
      <c r="A2" s="8" t="s">
        <v>16</v>
      </c>
      <c r="B2" t="s">
        <v>23</v>
      </c>
    </row>
    <row r="3" spans="1:2" x14ac:dyDescent="0.25">
      <c r="A3" s="8" t="s">
        <v>17</v>
      </c>
      <c r="B3" t="s">
        <v>23</v>
      </c>
    </row>
    <row r="5" spans="1:2" x14ac:dyDescent="0.25">
      <c r="A5" t="s">
        <v>31</v>
      </c>
    </row>
    <row r="6" spans="1:2" x14ac:dyDescent="0.25">
      <c r="A6" s="10">
        <v>2178278800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"/>
  <sheetViews>
    <sheetView workbookViewId="0"/>
  </sheetViews>
  <sheetFormatPr defaultRowHeight="15" x14ac:dyDescent="0.25"/>
  <cols>
    <col min="1" max="1" width="12.42578125" customWidth="1"/>
    <col min="2" max="2" width="7.140625" customWidth="1"/>
  </cols>
  <sheetData>
    <row r="1" spans="1:2" x14ac:dyDescent="0.25">
      <c r="A1" s="8" t="s">
        <v>15</v>
      </c>
      <c r="B1" t="s">
        <v>23</v>
      </c>
    </row>
    <row r="2" spans="1:2" x14ac:dyDescent="0.25">
      <c r="A2" s="8" t="s">
        <v>16</v>
      </c>
      <c r="B2" t="s">
        <v>23</v>
      </c>
    </row>
    <row r="3" spans="1:2" x14ac:dyDescent="0.25">
      <c r="A3" s="8" t="s">
        <v>17</v>
      </c>
      <c r="B3" t="s">
        <v>23</v>
      </c>
    </row>
    <row r="5" spans="1:2" x14ac:dyDescent="0.25">
      <c r="A5" t="s">
        <v>31</v>
      </c>
    </row>
    <row r="6" spans="1:2" x14ac:dyDescent="0.25">
      <c r="A6" s="10">
        <v>2178278800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"/>
  <sheetViews>
    <sheetView zoomScaleNormal="100" workbookViewId="0">
      <selection activeCell="G16" sqref="G16"/>
    </sheetView>
  </sheetViews>
  <sheetFormatPr defaultRowHeight="15" x14ac:dyDescent="0.25"/>
  <cols>
    <col min="1" max="1" width="16" customWidth="1"/>
    <col min="2" max="2" width="19.85546875" customWidth="1"/>
    <col min="3" max="3" width="9.85546875" customWidth="1"/>
    <col min="5" max="5" width="17.140625" customWidth="1"/>
    <col min="6" max="6" width="29.42578125" customWidth="1"/>
    <col min="7" max="7" width="25.140625" customWidth="1"/>
    <col min="8" max="8" width="19.42578125" customWidth="1"/>
    <col min="10" max="10" width="15.42578125" bestFit="1" customWidth="1"/>
  </cols>
  <sheetData>
    <row r="1" spans="1:10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6" t="s">
        <v>27</v>
      </c>
      <c r="G1" s="12" t="s">
        <v>30</v>
      </c>
      <c r="H1" s="3" t="s">
        <v>15</v>
      </c>
      <c r="I1" s="3" t="s">
        <v>16</v>
      </c>
      <c r="J1" s="3" t="s">
        <v>28</v>
      </c>
    </row>
    <row r="2" spans="1:10" x14ac:dyDescent="0.25">
      <c r="A2" s="1" t="str">
        <f>dataset1!A2</f>
        <v>U.S.</v>
      </c>
      <c r="B2" s="1" t="str">
        <f>dataset1!B2</f>
        <v>Chevrolet</v>
      </c>
      <c r="C2" s="1" t="str">
        <f>dataset1!C2</f>
        <v>Blue</v>
      </c>
      <c r="D2" s="7">
        <f>dataset1!D2</f>
        <v>2</v>
      </c>
      <c r="E2" s="7">
        <f>dataset1!E2</f>
        <v>2.4</v>
      </c>
      <c r="F2" s="11">
        <f>dataset1!F2</f>
        <v>0.5</v>
      </c>
      <c r="G2" s="13">
        <f>VLOOKUP(B2,dataset2!$B$2:$C$8,2,0)*F2</f>
        <v>420386500</v>
      </c>
      <c r="H2" s="1" t="s">
        <v>0</v>
      </c>
      <c r="I2" s="1" t="s">
        <v>1</v>
      </c>
      <c r="J2" s="2">
        <v>840773000</v>
      </c>
    </row>
    <row r="3" spans="1:10" x14ac:dyDescent="0.25">
      <c r="A3" s="1" t="str">
        <f>dataset1!A3</f>
        <v>U.S.</v>
      </c>
      <c r="B3" s="1" t="str">
        <f>dataset1!B3</f>
        <v>Chevrolet</v>
      </c>
      <c r="C3" s="1" t="str">
        <f>dataset1!C3</f>
        <v>Red</v>
      </c>
      <c r="D3" s="7">
        <f>dataset1!D3</f>
        <v>4</v>
      </c>
      <c r="E3" s="7">
        <f>dataset1!E3</f>
        <v>2</v>
      </c>
      <c r="F3" s="11">
        <f>dataset1!F3</f>
        <v>0.8</v>
      </c>
      <c r="G3" s="13">
        <f>VLOOKUP(B3,dataset2!$B$2:$C$8,2,0)*F3</f>
        <v>672618400</v>
      </c>
      <c r="H3" s="1" t="s">
        <v>5</v>
      </c>
      <c r="I3" s="1" t="s">
        <v>6</v>
      </c>
      <c r="J3" s="2">
        <v>108122000</v>
      </c>
    </row>
    <row r="4" spans="1:10" x14ac:dyDescent="0.25">
      <c r="A4" s="1" t="str">
        <f>dataset1!A4</f>
        <v>U.S.</v>
      </c>
      <c r="B4" s="1" t="str">
        <f>dataset1!B4</f>
        <v>Chevrolet</v>
      </c>
      <c r="C4" s="1" t="str">
        <f>dataset1!C4</f>
        <v>Cobalt</v>
      </c>
      <c r="D4" s="7">
        <f>dataset1!D4</f>
        <v>4</v>
      </c>
      <c r="E4" s="7">
        <f>dataset1!E4</f>
        <v>1.8</v>
      </c>
      <c r="F4" s="11">
        <f>dataset1!F4</f>
        <v>0.5</v>
      </c>
      <c r="G4" s="13">
        <f>VLOOKUP(B4,dataset2!$B$2:$C$8,2,0)*F4</f>
        <v>420386500</v>
      </c>
      <c r="H4" s="1" t="s">
        <v>5</v>
      </c>
      <c r="I4" s="1" t="s">
        <v>7</v>
      </c>
      <c r="J4" s="2">
        <v>52998000</v>
      </c>
    </row>
    <row r="5" spans="1:10" x14ac:dyDescent="0.25">
      <c r="A5" s="1" t="str">
        <f>dataset1!A5</f>
        <v>Japan</v>
      </c>
      <c r="B5" s="1" t="str">
        <f>dataset1!B5</f>
        <v>Toyota</v>
      </c>
      <c r="C5" s="1" t="str">
        <f>dataset1!C5</f>
        <v>Yellow</v>
      </c>
      <c r="D5" s="7">
        <f>dataset1!D5</f>
        <v>4</v>
      </c>
      <c r="E5" s="7">
        <f>dataset1!E5</f>
        <v>1.8</v>
      </c>
      <c r="F5" s="11">
        <f>dataset1!F5</f>
        <v>0.9</v>
      </c>
      <c r="G5" s="13">
        <f>VLOOKUP(B5,dataset2!$B$2:$C$8,2,0)*F5</f>
        <v>97309800</v>
      </c>
      <c r="H5" s="1" t="s">
        <v>5</v>
      </c>
      <c r="I5" s="1" t="s">
        <v>20</v>
      </c>
      <c r="J5" s="2">
        <v>368509000</v>
      </c>
    </row>
    <row r="6" spans="1:10" x14ac:dyDescent="0.25">
      <c r="A6" s="1" t="str">
        <f>dataset1!A6</f>
        <v>Japan</v>
      </c>
      <c r="B6" s="1" t="str">
        <f>dataset1!B6</f>
        <v>Honda</v>
      </c>
      <c r="C6" s="1" t="str">
        <f>dataset1!C6</f>
        <v>Silver</v>
      </c>
      <c r="D6" s="7">
        <f>dataset1!D6</f>
        <v>4</v>
      </c>
      <c r="E6" s="7">
        <f>dataset1!E6</f>
        <v>2</v>
      </c>
      <c r="F6" s="11">
        <f>dataset1!F6</f>
        <v>0.5</v>
      </c>
      <c r="G6" s="13">
        <f>VLOOKUP(B6,dataset2!$B$2:$C$8,2,0)*F6</f>
        <v>26499000</v>
      </c>
      <c r="H6" s="1" t="s">
        <v>11</v>
      </c>
      <c r="I6" s="1" t="s">
        <v>12</v>
      </c>
      <c r="J6" s="2">
        <v>244011000</v>
      </c>
    </row>
    <row r="7" spans="1:10" x14ac:dyDescent="0.25">
      <c r="A7" s="1" t="str">
        <f>dataset1!A7</f>
        <v>Japan</v>
      </c>
      <c r="B7" s="1" t="str">
        <f>dataset1!B7</f>
        <v>Mitsubishi</v>
      </c>
      <c r="C7" s="1" t="str">
        <f>dataset1!C7</f>
        <v>Black</v>
      </c>
      <c r="D7" s="7">
        <f>dataset1!D7</f>
        <v>4</v>
      </c>
      <c r="E7" s="7">
        <f>dataset1!E7</f>
        <v>2.4</v>
      </c>
      <c r="F7" s="11">
        <f>dataset1!F7</f>
        <v>0.4</v>
      </c>
      <c r="G7" s="13">
        <f>VLOOKUP(B7,dataset2!$B$2:$C$8,2,0)*F7</f>
        <v>147403600</v>
      </c>
      <c r="H7" s="1" t="s">
        <v>11</v>
      </c>
      <c r="I7" s="1" t="s">
        <v>13</v>
      </c>
      <c r="J7" s="2">
        <v>43061000</v>
      </c>
    </row>
    <row r="8" spans="1:10" x14ac:dyDescent="0.25">
      <c r="A8" s="1" t="str">
        <f>dataset1!A8</f>
        <v>Japan</v>
      </c>
      <c r="B8" s="1" t="str">
        <f>dataset1!B8</f>
        <v>Toyota</v>
      </c>
      <c r="C8" s="1" t="str">
        <f>dataset1!C8</f>
        <v>Blue</v>
      </c>
      <c r="D8" s="7">
        <f>dataset1!D8</f>
        <v>4</v>
      </c>
      <c r="E8" s="7">
        <f>dataset1!E8</f>
        <v>2.4</v>
      </c>
      <c r="F8" s="11">
        <f>dataset1!F8</f>
        <v>0.3</v>
      </c>
      <c r="G8" s="13">
        <f>VLOOKUP(B8,dataset2!$B$2:$C$8,2,0)*F8</f>
        <v>32436600</v>
      </c>
      <c r="H8" s="1" t="s">
        <v>11</v>
      </c>
      <c r="I8" s="1" t="s">
        <v>14</v>
      </c>
      <c r="J8" s="2">
        <v>365845000</v>
      </c>
    </row>
    <row r="9" spans="1:10" x14ac:dyDescent="0.25">
      <c r="A9" s="1" t="str">
        <f>dataset1!A9</f>
        <v>Japan</v>
      </c>
      <c r="B9" s="1" t="str">
        <f>dataset1!B9</f>
        <v>Honda</v>
      </c>
      <c r="C9" s="1" t="str">
        <f>dataset1!C9</f>
        <v>Red</v>
      </c>
      <c r="D9" s="7">
        <f>dataset1!D9</f>
        <v>4</v>
      </c>
      <c r="E9" s="7">
        <f>dataset1!E9</f>
        <v>2</v>
      </c>
      <c r="F9" s="11">
        <f>dataset1!F9</f>
        <v>0.9</v>
      </c>
      <c r="G9" s="13">
        <f>VLOOKUP(B9,dataset2!$B$2:$C$8,2,0)*F9</f>
        <v>47698200</v>
      </c>
    </row>
    <row r="10" spans="1:10" x14ac:dyDescent="0.25">
      <c r="A10" s="1" t="str">
        <f>dataset1!A10</f>
        <v>Germany</v>
      </c>
      <c r="B10" s="1" t="str">
        <f>dataset1!B10</f>
        <v>Mercedes</v>
      </c>
      <c r="C10" s="1" t="str">
        <f>dataset1!C10</f>
        <v>Black</v>
      </c>
      <c r="D10" s="7">
        <f>dataset1!D10</f>
        <v>4</v>
      </c>
      <c r="E10" s="7">
        <f>dataset1!E10</f>
        <v>2.8</v>
      </c>
      <c r="F10" s="11">
        <f>dataset1!F10</f>
        <v>0.5</v>
      </c>
      <c r="G10" s="13">
        <f>VLOOKUP(B10,dataset2!$B$2:$C$8,2,0)*F10</f>
        <v>122005500</v>
      </c>
    </row>
    <row r="11" spans="1:10" x14ac:dyDescent="0.25">
      <c r="A11" s="1" t="str">
        <f>dataset1!A11</f>
        <v>Germany</v>
      </c>
      <c r="B11" s="1" t="str">
        <f>dataset1!B11</f>
        <v>Subaru</v>
      </c>
      <c r="C11" s="1" t="str">
        <f>dataset1!C11</f>
        <v>Silver</v>
      </c>
      <c r="D11" s="7">
        <f>dataset1!D11</f>
        <v>4</v>
      </c>
      <c r="E11" s="7">
        <f>dataset1!E11</f>
        <v>2.4</v>
      </c>
      <c r="F11" s="11">
        <f>dataset1!F11</f>
        <v>0.2</v>
      </c>
      <c r="G11" s="13">
        <f>VLOOKUP(B11,dataset2!$B$2:$C$8,2,0)*F11</f>
        <v>8612200</v>
      </c>
    </row>
    <row r="12" spans="1:10" x14ac:dyDescent="0.25">
      <c r="A12" s="1" t="str">
        <f>dataset1!A12</f>
        <v>Germany</v>
      </c>
      <c r="B12" s="1" t="str">
        <f>dataset1!B12</f>
        <v>BMW</v>
      </c>
      <c r="C12" s="1" t="str">
        <f>dataset1!C12</f>
        <v>Red</v>
      </c>
      <c r="D12" s="7">
        <f>dataset1!D12</f>
        <v>4</v>
      </c>
      <c r="E12" s="7">
        <f>dataset1!E12</f>
        <v>2.8</v>
      </c>
      <c r="F12" s="11">
        <f>dataset1!F12</f>
        <v>0.5</v>
      </c>
      <c r="G12" s="13">
        <f>VLOOKUP(B12,dataset2!$B$2:$C$8,2,0)*F12</f>
        <v>182922500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zoomScaleNormal="100" workbookViewId="0">
      <selection activeCell="A3" sqref="A3"/>
    </sheetView>
  </sheetViews>
  <sheetFormatPr defaultRowHeight="15" x14ac:dyDescent="0.25"/>
  <cols>
    <col min="1" max="1" width="66.5703125" bestFit="1" customWidth="1"/>
    <col min="2" max="2" width="7.140625" bestFit="1" customWidth="1"/>
    <col min="3" max="4" width="66.5703125" bestFit="1" customWidth="1"/>
  </cols>
  <sheetData>
    <row r="1" spans="1:2" x14ac:dyDescent="0.25">
      <c r="A1" s="8" t="s">
        <v>15</v>
      </c>
      <c r="B1" t="s">
        <v>23</v>
      </c>
    </row>
    <row r="2" spans="1:2" x14ac:dyDescent="0.25">
      <c r="A2" s="8" t="s">
        <v>16</v>
      </c>
      <c r="B2" t="s">
        <v>23</v>
      </c>
    </row>
    <row r="3" spans="1:2" x14ac:dyDescent="0.25">
      <c r="A3" s="8" t="s">
        <v>18</v>
      </c>
      <c r="B3" t="s">
        <v>23</v>
      </c>
    </row>
    <row r="4" spans="1:2" x14ac:dyDescent="0.25">
      <c r="A4" s="8" t="s">
        <v>17</v>
      </c>
      <c r="B4" t="s">
        <v>23</v>
      </c>
    </row>
    <row r="5" spans="1:2" x14ac:dyDescent="0.25">
      <c r="A5" s="8" t="s">
        <v>19</v>
      </c>
      <c r="B5" t="s">
        <v>23</v>
      </c>
    </row>
    <row r="7" spans="1:2" x14ac:dyDescent="0.25">
      <c r="A7" t="s">
        <v>26</v>
      </c>
    </row>
    <row r="8" spans="1:2" x14ac:dyDescent="0.25">
      <c r="A8" s="10">
        <v>2178278800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>
      <selection activeCell="H14" sqref="H14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1"/>
  <sheetViews>
    <sheetView workbookViewId="0">
      <selection activeCell="D14" sqref="D14"/>
    </sheetView>
  </sheetViews>
  <sheetFormatPr defaultRowHeight="15" x14ac:dyDescent="0.25"/>
  <cols>
    <col min="1" max="1" width="13.140625" bestFit="1" customWidth="1"/>
    <col min="2" max="2" width="14.28515625" bestFit="1" customWidth="1"/>
    <col min="3" max="3" width="19.28515625" bestFit="1" customWidth="1"/>
    <col min="4" max="4" width="66.5703125" bestFit="1" customWidth="1"/>
  </cols>
  <sheetData>
    <row r="1" spans="1:4" x14ac:dyDescent="0.25">
      <c r="A1" s="8" t="s">
        <v>15</v>
      </c>
      <c r="B1" t="s">
        <v>23</v>
      </c>
    </row>
    <row r="2" spans="1:4" x14ac:dyDescent="0.25">
      <c r="A2" s="8" t="s">
        <v>16</v>
      </c>
      <c r="B2" t="s">
        <v>23</v>
      </c>
    </row>
    <row r="4" spans="1:4" x14ac:dyDescent="0.25">
      <c r="A4" s="8" t="s">
        <v>21</v>
      </c>
      <c r="B4" t="s">
        <v>24</v>
      </c>
      <c r="C4" t="s">
        <v>25</v>
      </c>
      <c r="D4" t="s">
        <v>26</v>
      </c>
    </row>
    <row r="5" spans="1:4" x14ac:dyDescent="0.25">
      <c r="A5" s="9" t="s">
        <v>10</v>
      </c>
      <c r="B5" s="10">
        <v>2</v>
      </c>
      <c r="C5" s="10">
        <v>2</v>
      </c>
      <c r="D5" s="10">
        <v>269409100</v>
      </c>
    </row>
    <row r="6" spans="1:4" x14ac:dyDescent="0.25">
      <c r="A6" s="9" t="s">
        <v>2</v>
      </c>
      <c r="B6" s="10">
        <v>2</v>
      </c>
      <c r="C6" s="10">
        <v>2</v>
      </c>
      <c r="D6" s="10">
        <v>452823100</v>
      </c>
    </row>
    <row r="7" spans="1:4" x14ac:dyDescent="0.25">
      <c r="A7" s="9" t="s">
        <v>4</v>
      </c>
      <c r="B7" s="10">
        <v>1</v>
      </c>
      <c r="C7" s="10">
        <v>1</v>
      </c>
      <c r="D7" s="10">
        <v>420386500</v>
      </c>
    </row>
    <row r="8" spans="1:4" x14ac:dyDescent="0.25">
      <c r="A8" s="9" t="s">
        <v>3</v>
      </c>
      <c r="B8" s="10">
        <v>3</v>
      </c>
      <c r="C8" s="10">
        <v>3</v>
      </c>
      <c r="D8" s="10">
        <v>903239100</v>
      </c>
    </row>
    <row r="9" spans="1:4" x14ac:dyDescent="0.25">
      <c r="A9" s="9" t="s">
        <v>9</v>
      </c>
      <c r="B9" s="10">
        <v>2</v>
      </c>
      <c r="C9" s="10">
        <v>2</v>
      </c>
      <c r="D9" s="10">
        <v>35111200</v>
      </c>
    </row>
    <row r="10" spans="1:4" x14ac:dyDescent="0.25">
      <c r="A10" s="9" t="s">
        <v>8</v>
      </c>
      <c r="B10" s="10">
        <v>1</v>
      </c>
      <c r="C10" s="10">
        <v>1</v>
      </c>
      <c r="D10" s="10">
        <v>97309800</v>
      </c>
    </row>
    <row r="11" spans="1:4" x14ac:dyDescent="0.25">
      <c r="A11" s="9" t="s">
        <v>22</v>
      </c>
      <c r="B11" s="10">
        <v>11</v>
      </c>
      <c r="C11" s="10">
        <v>11</v>
      </c>
      <c r="D11" s="10">
        <v>2178278800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Sheet2</vt:lpstr>
      <vt:lpstr>sheet1</vt:lpstr>
      <vt:lpstr>Sheet3</vt:lpstr>
      <vt:lpstr>dataset1</vt:lpstr>
      <vt:lpstr>dataset2</vt:lpstr>
      <vt:lpstr>Sheet5</vt:lpstr>
      <vt:lpstr>Sheet6</vt:lpstr>
      <vt:lpstr>dataset1plus2</vt:lpstr>
      <vt:lpstr>pivot 1</vt:lpstr>
      <vt:lpstr>Sheet4</vt:lpstr>
      <vt:lpstr>pivot 2</vt:lpstr>
      <vt:lpstr>PivotData</vt:lpstr>
      <vt:lpstr>Source1</vt:lpstr>
      <vt:lpstr>Source2</vt:lpstr>
      <vt:lpstr>source3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 Dayaratna</dc:creator>
  <cp:lastModifiedBy>Shivgan Joshi</cp:lastModifiedBy>
  <dcterms:created xsi:type="dcterms:W3CDTF">2017-10-25T09:09:02Z</dcterms:created>
  <dcterms:modified xsi:type="dcterms:W3CDTF">2017-10-30T01:58:14Z</dcterms:modified>
</cp:coreProperties>
</file>