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Default Extension="bin" ContentType="application/vnd.ms-office.vbaProject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30" windowWidth="15600" windowHeight="7710" activeTab="2"/>
  </bookViews>
  <sheets>
    <sheet name="Inputs (13)" sheetId="67" r:id="rId1"/>
    <sheet name="_CIQHiddenCacheSheet" sheetId="68" state="veryHidden" r:id="rId2"/>
    <sheet name="Inputs (12)" sheetId="62" r:id="rId3"/>
    <sheet name="Inputs (11)" sheetId="61" r:id="rId4"/>
    <sheet name="Inputs (10)" sheetId="60" r:id="rId5"/>
    <sheet name="Inputs (7)" sheetId="53" r:id="rId6"/>
    <sheet name="Inputs (8)" sheetId="44" r:id="rId7"/>
    <sheet name="hardcoded" sheetId="35" r:id="rId8"/>
    <sheet name="Inputs (3)" sheetId="28" r:id="rId9"/>
    <sheet name="Inputs" sheetId="1" r:id="rId10"/>
    <sheet name="Inputs (2)" sheetId="19" r:id="rId11"/>
    <sheet name="Sheet1" sheetId="46" r:id="rId12"/>
    <sheet name="Inputs (6)" sheetId="50" r:id="rId13"/>
  </sheets>
  <functionGroups/>
  <externalReferences>
    <externalReference r:id="rId14"/>
  </externalReferences>
  <definedNames>
    <definedName name="alpha">[1]Jumps!$B$8</definedName>
    <definedName name="CIQWBGuid" hidden="1">"db94f7be-1284-4404-a1bc-60ee820d9da4"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41756.6781712963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jumpMean">[1]Jumps!$B$11</definedName>
    <definedName name="jumpProb">[1]Jumps!$B$10</definedName>
    <definedName name="jumpStdDev">[1]Jumps!$B$12</definedName>
    <definedName name="sigma">[1]Jumps!$B$9</definedName>
  </definedNames>
  <calcPr calcId="125725" calcMode="autoNoTable"/>
</workbook>
</file>

<file path=xl/calcChain.xml><?xml version="1.0" encoding="utf-8"?>
<calcChain xmlns="http://schemas.openxmlformats.org/spreadsheetml/2006/main">
  <c r="F82" i="67"/>
  <c r="E82"/>
  <c r="R82"/>
  <c r="R80"/>
  <c r="F81"/>
  <c r="E81"/>
  <c r="R81"/>
  <c r="E79"/>
  <c r="R79"/>
  <c r="F80"/>
  <c r="E80"/>
  <c r="F78"/>
  <c r="E78"/>
  <c r="R78"/>
  <c r="F79"/>
  <c r="R76"/>
  <c r="F77"/>
  <c r="E77"/>
  <c r="R77"/>
  <c r="F40"/>
  <c r="E40"/>
  <c r="F76"/>
  <c r="E76"/>
  <c r="R37"/>
  <c r="F38"/>
  <c r="E38"/>
  <c r="R38"/>
  <c r="E36"/>
  <c r="E37"/>
  <c r="R36"/>
  <c r="F37"/>
  <c r="F35"/>
  <c r="E35"/>
  <c r="R35"/>
  <c r="F36"/>
  <c r="E28"/>
  <c r="F28"/>
  <c r="N28"/>
  <c r="O28"/>
  <c r="F27"/>
  <c r="E27"/>
  <c r="O27"/>
  <c r="N27"/>
  <c r="F26"/>
  <c r="E26"/>
  <c r="O26"/>
  <c r="N26"/>
  <c r="F25"/>
  <c r="E25"/>
  <c r="O25"/>
  <c r="N25"/>
  <c r="E24"/>
  <c r="F24"/>
  <c r="N24"/>
  <c r="O24"/>
  <c r="F23"/>
  <c r="E23"/>
  <c r="O23"/>
  <c r="N23"/>
  <c r="F22"/>
  <c r="E22"/>
  <c r="O22"/>
  <c r="N22"/>
  <c r="F21"/>
  <c r="E21"/>
  <c r="O21"/>
  <c r="N21"/>
  <c r="E20"/>
  <c r="F20"/>
  <c r="N20"/>
  <c r="O20"/>
  <c r="F19"/>
  <c r="E19"/>
  <c r="O19"/>
  <c r="N19"/>
  <c r="F18"/>
  <c r="E18"/>
  <c r="O18"/>
  <c r="N18"/>
  <c r="F17"/>
  <c r="E17"/>
  <c r="O17"/>
  <c r="N17"/>
  <c r="F16"/>
  <c r="E16"/>
  <c r="O16"/>
  <c r="N16"/>
  <c r="F15"/>
  <c r="E15"/>
  <c r="O15"/>
  <c r="N15"/>
  <c r="E14"/>
  <c r="F14"/>
  <c r="N14"/>
  <c r="O14"/>
  <c r="F13"/>
  <c r="E13"/>
  <c r="O13"/>
  <c r="N13"/>
  <c r="F12"/>
  <c r="E12"/>
  <c r="O12"/>
  <c r="N12"/>
  <c r="F11"/>
  <c r="E11"/>
  <c r="O11"/>
  <c r="N11"/>
  <c r="E10"/>
  <c r="F10"/>
  <c r="N10"/>
  <c r="O10"/>
  <c r="F9"/>
  <c r="E9"/>
  <c r="O9"/>
  <c r="N9"/>
  <c r="F8"/>
  <c r="E8"/>
  <c r="O8"/>
  <c r="N8"/>
  <c r="F39"/>
  <c r="R39"/>
  <c r="G8"/>
  <c r="D8"/>
  <c r="L8"/>
  <c r="J8"/>
  <c r="I8"/>
  <c r="H8"/>
  <c r="P8"/>
  <c r="M8"/>
  <c r="D9"/>
  <c r="Q8"/>
  <c r="J9"/>
  <c r="I9"/>
  <c r="H9"/>
  <c r="G9"/>
  <c r="M9"/>
  <c r="L9"/>
  <c r="D10"/>
  <c r="Q9"/>
  <c r="P9"/>
  <c r="I10"/>
  <c r="H10"/>
  <c r="G10"/>
  <c r="M10"/>
  <c r="L10"/>
  <c r="J10"/>
  <c r="D11"/>
  <c r="Q10"/>
  <c r="P10"/>
  <c r="H11"/>
  <c r="G11"/>
  <c r="M11"/>
  <c r="L11"/>
  <c r="J11"/>
  <c r="I11"/>
  <c r="Q11"/>
  <c r="P11"/>
  <c r="G12"/>
  <c r="D12"/>
  <c r="L12"/>
  <c r="J12"/>
  <c r="I12"/>
  <c r="H12"/>
  <c r="P12"/>
  <c r="M12"/>
  <c r="D13"/>
  <c r="Q12"/>
  <c r="J13"/>
  <c r="I13"/>
  <c r="H13"/>
  <c r="G13"/>
  <c r="M13"/>
  <c r="L13"/>
  <c r="D14"/>
  <c r="Q13"/>
  <c r="P13"/>
  <c r="I14"/>
  <c r="H14"/>
  <c r="G14"/>
  <c r="M14"/>
  <c r="L14"/>
  <c r="J14"/>
  <c r="D15"/>
  <c r="Q14"/>
  <c r="P14"/>
  <c r="H15"/>
  <c r="G15"/>
  <c r="M15"/>
  <c r="L15"/>
  <c r="J15"/>
  <c r="I15"/>
  <c r="Q15"/>
  <c r="P15"/>
  <c r="G16"/>
  <c r="D16"/>
  <c r="L16"/>
  <c r="J16"/>
  <c r="I16"/>
  <c r="H16"/>
  <c r="P16"/>
  <c r="M16"/>
  <c r="D17"/>
  <c r="Q16"/>
  <c r="J17"/>
  <c r="I17"/>
  <c r="H17"/>
  <c r="G17"/>
  <c r="D79"/>
  <c r="D80"/>
  <c r="D81"/>
  <c r="D82"/>
  <c r="H82"/>
  <c r="D76"/>
  <c r="D77"/>
  <c r="D78"/>
  <c r="H78"/>
  <c r="H79"/>
  <c r="H80"/>
  <c r="H81"/>
  <c r="I81"/>
  <c r="I82"/>
  <c r="H76"/>
  <c r="H77"/>
  <c r="I77"/>
  <c r="I78"/>
  <c r="I79"/>
  <c r="I80"/>
  <c r="G80"/>
  <c r="G81"/>
  <c r="G82"/>
  <c r="I76"/>
  <c r="G76"/>
  <c r="G77"/>
  <c r="G78"/>
  <c r="G79"/>
  <c r="L79"/>
  <c r="L80"/>
  <c r="L81"/>
  <c r="L82"/>
  <c r="M82"/>
  <c r="L76"/>
  <c r="L77"/>
  <c r="L78"/>
  <c r="M78"/>
  <c r="M79"/>
  <c r="M80"/>
  <c r="M81"/>
  <c r="N81"/>
  <c r="N82"/>
  <c r="M76"/>
  <c r="M77"/>
  <c r="N77"/>
  <c r="N78"/>
  <c r="N79"/>
  <c r="N80"/>
  <c r="O80"/>
  <c r="O81"/>
  <c r="O82"/>
  <c r="N76"/>
  <c r="O76"/>
  <c r="O77"/>
  <c r="O78"/>
  <c r="O79"/>
  <c r="P79"/>
  <c r="P80"/>
  <c r="P81"/>
  <c r="P82"/>
  <c r="Q82"/>
  <c r="P76"/>
  <c r="P77"/>
  <c r="P78"/>
  <c r="Q78"/>
  <c r="Q79"/>
  <c r="Q80"/>
  <c r="Q81"/>
  <c r="M17"/>
  <c r="L17"/>
  <c r="Q76"/>
  <c r="Q77"/>
  <c r="Q17"/>
  <c r="P17"/>
  <c r="G18"/>
  <c r="D18"/>
  <c r="L18"/>
  <c r="J18"/>
  <c r="I18"/>
  <c r="H18"/>
  <c r="P18"/>
  <c r="M18"/>
  <c r="D19"/>
  <c r="Q18"/>
  <c r="J19"/>
  <c r="I19"/>
  <c r="H19"/>
  <c r="G19"/>
  <c r="M19"/>
  <c r="L19"/>
  <c r="D20"/>
  <c r="Q19"/>
  <c r="P19"/>
  <c r="I20"/>
  <c r="H20"/>
  <c r="G20"/>
  <c r="M20"/>
  <c r="L20"/>
  <c r="J20"/>
  <c r="D21"/>
  <c r="Q20"/>
  <c r="P20"/>
  <c r="H21"/>
  <c r="G21"/>
  <c r="M21"/>
  <c r="L21"/>
  <c r="J21"/>
  <c r="I21"/>
  <c r="Q21"/>
  <c r="P21"/>
  <c r="G22"/>
  <c r="D22"/>
  <c r="L22"/>
  <c r="J22"/>
  <c r="I22"/>
  <c r="H22"/>
  <c r="P22"/>
  <c r="M22"/>
  <c r="D23"/>
  <c r="Q22"/>
  <c r="J23"/>
  <c r="I23"/>
  <c r="H23"/>
  <c r="G23"/>
  <c r="M23"/>
  <c r="L23"/>
  <c r="D24"/>
  <c r="Q23"/>
  <c r="P23"/>
  <c r="I24"/>
  <c r="H24"/>
  <c r="G24"/>
  <c r="M24"/>
  <c r="L24"/>
  <c r="J24"/>
  <c r="D25"/>
  <c r="Q24"/>
  <c r="P24"/>
  <c r="H25"/>
  <c r="G25"/>
  <c r="M25"/>
  <c r="L25"/>
  <c r="J25"/>
  <c r="I25"/>
  <c r="Q25"/>
  <c r="P25"/>
  <c r="G26"/>
  <c r="D26"/>
  <c r="L26"/>
  <c r="J26"/>
  <c r="I26"/>
  <c r="H26"/>
  <c r="P26"/>
  <c r="M26"/>
  <c r="D27"/>
  <c r="Q26"/>
  <c r="J27"/>
  <c r="I27"/>
  <c r="H27"/>
  <c r="G27"/>
  <c r="M27"/>
  <c r="L27"/>
  <c r="D28"/>
  <c r="Q27"/>
  <c r="P27"/>
  <c r="I28"/>
  <c r="H28"/>
  <c r="G28"/>
  <c r="M28"/>
  <c r="L28"/>
  <c r="J28"/>
  <c r="A35"/>
  <c r="Q28"/>
  <c r="P28"/>
  <c r="G35"/>
  <c r="D35"/>
  <c r="L35"/>
  <c r="J35"/>
  <c r="I35"/>
  <c r="H35"/>
  <c r="P35"/>
  <c r="O35"/>
  <c r="N35"/>
  <c r="M35"/>
  <c r="D36"/>
  <c r="A36"/>
  <c r="Q35"/>
  <c r="H36"/>
  <c r="G36"/>
  <c r="M36"/>
  <c r="L36"/>
  <c r="J36"/>
  <c r="I36"/>
  <c r="Q36"/>
  <c r="P36"/>
  <c r="O36"/>
  <c r="N36"/>
  <c r="D37"/>
  <c r="A37"/>
  <c r="I37"/>
  <c r="H37"/>
  <c r="G37"/>
  <c r="N37"/>
  <c r="M37"/>
  <c r="L37"/>
  <c r="J37"/>
  <c r="Q37"/>
  <c r="P37"/>
  <c r="O37"/>
  <c r="D38"/>
  <c r="A38"/>
  <c r="J38"/>
  <c r="I38"/>
  <c r="H38"/>
  <c r="G38"/>
  <c r="O38"/>
  <c r="N38"/>
  <c r="M38"/>
  <c r="L38"/>
  <c r="Q38"/>
  <c r="P38"/>
  <c r="J39"/>
  <c r="I39"/>
  <c r="H39"/>
  <c r="G39"/>
  <c r="O39"/>
  <c r="N39"/>
  <c r="M39"/>
  <c r="L39"/>
  <c r="D40"/>
  <c r="Q39"/>
  <c r="P39"/>
  <c r="H40"/>
  <c r="G40"/>
  <c r="M40"/>
  <c r="L40"/>
  <c r="J40"/>
  <c r="I40"/>
  <c r="Q40"/>
  <c r="P40"/>
  <c r="O40"/>
  <c r="N40"/>
  <c r="D55"/>
  <c r="F55"/>
  <c r="E55"/>
  <c r="R40"/>
  <c r="L55"/>
  <c r="I55"/>
  <c r="H55"/>
  <c r="G55"/>
  <c r="P55"/>
  <c r="O55"/>
  <c r="N55"/>
  <c r="M55"/>
  <c r="D56"/>
  <c r="E56"/>
  <c r="R55"/>
  <c r="Q55"/>
  <c r="I56"/>
  <c r="H56"/>
  <c r="G56"/>
  <c r="F56"/>
  <c r="O56"/>
  <c r="N56"/>
  <c r="M56"/>
  <c r="L56"/>
  <c r="D57"/>
  <c r="R56"/>
  <c r="Q56"/>
  <c r="P56"/>
  <c r="H57"/>
  <c r="G57"/>
  <c r="F57"/>
  <c r="E57"/>
  <c r="N57"/>
  <c r="M57"/>
  <c r="L57"/>
  <c r="I57"/>
  <c r="R57"/>
  <c r="Q57"/>
  <c r="P57"/>
  <c r="O57"/>
  <c r="G58"/>
  <c r="D58"/>
  <c r="F58"/>
  <c r="E58"/>
  <c r="M58"/>
  <c r="L58"/>
  <c r="I58"/>
  <c r="H58"/>
  <c r="Q58"/>
  <c r="P58"/>
  <c r="O58"/>
  <c r="N58"/>
  <c r="D59"/>
  <c r="F59"/>
  <c r="E59"/>
  <c r="R58"/>
  <c r="L59"/>
  <c r="I59"/>
  <c r="H59"/>
  <c r="G59"/>
  <c r="P59"/>
  <c r="O59"/>
  <c r="N59"/>
  <c r="M59"/>
  <c r="D60"/>
  <c r="E60"/>
  <c r="R59"/>
  <c r="Q59"/>
  <c r="I60"/>
  <c r="H60"/>
  <c r="G60"/>
  <c r="F60"/>
  <c r="O60"/>
  <c r="N60"/>
  <c r="M60"/>
  <c r="L60"/>
  <c r="D61"/>
  <c r="R60"/>
  <c r="Q60"/>
  <c r="P60"/>
  <c r="H61"/>
  <c r="G61"/>
  <c r="F61"/>
  <c r="E61"/>
  <c r="N61"/>
  <c r="M61"/>
  <c r="L61"/>
  <c r="I61"/>
  <c r="R61"/>
  <c r="Q61"/>
  <c r="P61"/>
  <c r="O61"/>
  <c r="G62"/>
  <c r="D62"/>
  <c r="F62"/>
  <c r="E62"/>
  <c r="M62"/>
  <c r="L62"/>
  <c r="I62"/>
  <c r="H62"/>
  <c r="Q62"/>
  <c r="P62"/>
  <c r="O62"/>
  <c r="N62"/>
  <c r="D63"/>
  <c r="F63"/>
  <c r="E63"/>
  <c r="R62"/>
  <c r="L63"/>
  <c r="I63"/>
  <c r="H63"/>
  <c r="G63"/>
  <c r="P63"/>
  <c r="O63"/>
  <c r="N63"/>
  <c r="M63"/>
  <c r="A76"/>
  <c r="R63"/>
  <c r="Q63"/>
  <c r="A77"/>
  <c r="A78"/>
  <c r="A79"/>
  <c r="A80"/>
  <c r="A81"/>
  <c r="A82"/>
  <c r="D83"/>
  <c r="D75"/>
  <c r="C75"/>
  <c r="A75"/>
  <c r="Q74"/>
  <c r="P74"/>
  <c r="O74"/>
  <c r="N74"/>
  <c r="M74"/>
  <c r="L74"/>
  <c r="I74"/>
  <c r="H74"/>
  <c r="G74"/>
  <c r="F74"/>
  <c r="E74"/>
  <c r="D74"/>
  <c r="A74"/>
  <c r="A63"/>
  <c r="A62"/>
  <c r="A61"/>
  <c r="A60"/>
  <c r="A59"/>
  <c r="A58"/>
  <c r="A57"/>
  <c r="A56"/>
  <c r="A55"/>
  <c r="R53"/>
  <c r="Q53"/>
  <c r="P53"/>
  <c r="O53"/>
  <c r="N53"/>
  <c r="M53"/>
  <c r="L53"/>
  <c r="I53"/>
  <c r="H53"/>
  <c r="G53"/>
  <c r="F53"/>
  <c r="E53"/>
  <c r="D53"/>
  <c r="A53"/>
  <c r="C38"/>
  <c r="C39" s="1"/>
  <c r="C40" s="1"/>
  <c r="Q33"/>
  <c r="P33"/>
  <c r="O33"/>
  <c r="N33"/>
  <c r="M33"/>
  <c r="L33"/>
  <c r="K33"/>
  <c r="J33"/>
  <c r="I33"/>
  <c r="H33"/>
  <c r="G33"/>
  <c r="F33"/>
  <c r="E33"/>
  <c r="D33"/>
  <c r="A33"/>
  <c r="Q6"/>
  <c r="P6"/>
  <c r="O6"/>
  <c r="N6"/>
  <c r="M6"/>
  <c r="L6"/>
  <c r="K6"/>
  <c r="J6"/>
  <c r="I6"/>
  <c r="H6"/>
  <c r="G6"/>
  <c r="F6"/>
  <c r="E6"/>
  <c r="D6"/>
  <c r="D39"/>
  <c r="E39"/>
  <c r="F41"/>
  <c r="F65"/>
  <c r="F83"/>
  <c r="E30"/>
  <c r="L41"/>
  <c r="G41"/>
  <c r="H41"/>
  <c r="I41"/>
  <c r="J41"/>
  <c r="M41"/>
  <c r="N41"/>
  <c r="O41"/>
  <c r="P41"/>
  <c r="Q41"/>
  <c r="E41"/>
  <c r="F30"/>
  <c r="G30"/>
  <c r="H30"/>
  <c r="I30"/>
  <c r="M65"/>
  <c r="R65"/>
  <c r="P65"/>
  <c r="H65"/>
  <c r="I65"/>
  <c r="G65"/>
  <c r="L65"/>
  <c r="N65"/>
  <c r="O65"/>
  <c r="Q65"/>
  <c r="E65"/>
  <c r="K65"/>
  <c r="H83"/>
  <c r="I83"/>
  <c r="G83"/>
  <c r="E83"/>
  <c r="K8" l="1"/>
  <c r="K9"/>
  <c r="K10"/>
  <c r="K11"/>
  <c r="K12"/>
  <c r="K13"/>
  <c r="K14"/>
  <c r="K15"/>
  <c r="K16"/>
  <c r="J82"/>
  <c r="J81"/>
  <c r="J80"/>
  <c r="J79"/>
  <c r="J78"/>
  <c r="J77"/>
  <c r="J76"/>
  <c r="J63"/>
  <c r="J62"/>
  <c r="J61"/>
  <c r="J60"/>
  <c r="J59"/>
  <c r="J58"/>
  <c r="J57"/>
  <c r="J56"/>
  <c r="J55"/>
  <c r="K17"/>
  <c r="K18"/>
  <c r="K19"/>
  <c r="K20"/>
  <c r="K21"/>
  <c r="K22"/>
  <c r="K23"/>
  <c r="K24"/>
  <c r="K25"/>
  <c r="K26"/>
  <c r="K27"/>
  <c r="K28"/>
  <c r="K35"/>
  <c r="K36"/>
  <c r="K37"/>
  <c r="K38"/>
  <c r="K39"/>
  <c r="K40"/>
  <c r="J83"/>
  <c r="J65"/>
  <c r="J30"/>
  <c r="K41"/>
  <c r="L78" i="44" l="1"/>
  <c r="I78"/>
  <c r="M78"/>
  <c r="D78"/>
  <c r="Q78"/>
  <c r="G78"/>
  <c r="H78"/>
  <c r="P78"/>
  <c r="I79"/>
  <c r="D79"/>
  <c r="L79"/>
  <c r="G79"/>
  <c r="H79"/>
  <c r="Q79"/>
  <c r="P79"/>
  <c r="M79"/>
  <c r="P82"/>
  <c r="M82"/>
  <c r="G82"/>
  <c r="H82"/>
  <c r="Q82"/>
  <c r="I82"/>
  <c r="D82"/>
  <c r="L82"/>
  <c r="E76"/>
  <c r="F76"/>
  <c r="R76"/>
  <c r="E77"/>
  <c r="F77"/>
  <c r="R77"/>
  <c r="E80"/>
  <c r="F80"/>
  <c r="R80"/>
  <c r="E81"/>
  <c r="F81"/>
  <c r="R81"/>
  <c r="E64"/>
  <c r="F64"/>
  <c r="R64"/>
  <c r="E63"/>
  <c r="F63"/>
  <c r="R63"/>
  <c r="E62"/>
  <c r="F62"/>
  <c r="R62"/>
  <c r="E61"/>
  <c r="F61"/>
  <c r="R61"/>
  <c r="E60"/>
  <c r="F60"/>
  <c r="R60"/>
  <c r="E59"/>
  <c r="F59"/>
  <c r="R59"/>
  <c r="E58"/>
  <c r="F58"/>
  <c r="R58"/>
  <c r="E57"/>
  <c r="F57"/>
  <c r="R57"/>
  <c r="E56"/>
  <c r="F56"/>
  <c r="R56"/>
  <c r="E55"/>
  <c r="F55"/>
  <c r="R55"/>
  <c r="E40"/>
  <c r="F40"/>
  <c r="R40"/>
  <c r="E39"/>
  <c r="F39"/>
  <c r="R39"/>
  <c r="E38"/>
  <c r="F38"/>
  <c r="R38"/>
  <c r="E37"/>
  <c r="F37"/>
  <c r="R37"/>
  <c r="E36"/>
  <c r="F36"/>
  <c r="R36"/>
  <c r="E35"/>
  <c r="F35"/>
  <c r="R35"/>
  <c r="F28"/>
  <c r="N28"/>
  <c r="O28"/>
  <c r="N27"/>
  <c r="O27"/>
  <c r="E28"/>
  <c r="O26"/>
  <c r="E27"/>
  <c r="F27"/>
  <c r="E26"/>
  <c r="F26"/>
  <c r="N26"/>
  <c r="F25"/>
  <c r="N25"/>
  <c r="O25"/>
  <c r="N24"/>
  <c r="O24"/>
  <c r="E25"/>
  <c r="O23"/>
  <c r="E24"/>
  <c r="F24"/>
  <c r="E23"/>
  <c r="F23"/>
  <c r="N23"/>
  <c r="F22"/>
  <c r="N22"/>
  <c r="O22"/>
  <c r="N21"/>
  <c r="O21"/>
  <c r="E22"/>
  <c r="O20"/>
  <c r="E21"/>
  <c r="F21"/>
  <c r="E20"/>
  <c r="F20"/>
  <c r="N20"/>
  <c r="F19"/>
  <c r="N19"/>
  <c r="O19"/>
  <c r="N18"/>
  <c r="O18"/>
  <c r="E19"/>
  <c r="O17"/>
  <c r="E18"/>
  <c r="F18"/>
  <c r="E17"/>
  <c r="F17"/>
  <c r="N17"/>
  <c r="F16"/>
  <c r="N16"/>
  <c r="O16"/>
  <c r="N15"/>
  <c r="O15"/>
  <c r="E16"/>
  <c r="O14"/>
  <c r="E15"/>
  <c r="F15"/>
  <c r="E14"/>
  <c r="F14"/>
  <c r="N14"/>
  <c r="F13"/>
  <c r="N13"/>
  <c r="O13"/>
  <c r="N12"/>
  <c r="O12"/>
  <c r="E13"/>
  <c r="O11"/>
  <c r="E12"/>
  <c r="F12"/>
  <c r="E11"/>
  <c r="F11"/>
  <c r="N11"/>
  <c r="F10"/>
  <c r="N10"/>
  <c r="O10"/>
  <c r="N9"/>
  <c r="O9"/>
  <c r="E10"/>
  <c r="O8"/>
  <c r="E9"/>
  <c r="F9"/>
  <c r="E8"/>
  <c r="F8"/>
  <c r="N8"/>
  <c r="E79"/>
  <c r="F79"/>
  <c r="E82"/>
  <c r="F82"/>
  <c r="R82"/>
  <c r="F41"/>
  <c r="G41"/>
  <c r="H41"/>
  <c r="I41"/>
  <c r="J41"/>
  <c r="K41"/>
  <c r="L41"/>
  <c r="M41"/>
  <c r="N41"/>
  <c r="O41"/>
  <c r="P41"/>
  <c r="Q41"/>
  <c r="E41"/>
  <c r="F83"/>
  <c r="G83"/>
  <c r="H83"/>
  <c r="I83"/>
  <c r="J83"/>
  <c r="E83"/>
  <c r="D6" l="1"/>
  <c r="E6"/>
  <c r="F6"/>
  <c r="G6"/>
  <c r="H6"/>
  <c r="I6"/>
  <c r="J6"/>
  <c r="K6"/>
  <c r="L6"/>
  <c r="M6"/>
  <c r="N6"/>
  <c r="O6"/>
  <c r="P6"/>
  <c r="Q6"/>
  <c r="A33"/>
  <c r="D33"/>
  <c r="E33"/>
  <c r="F33"/>
  <c r="G33"/>
  <c r="H33"/>
  <c r="I33"/>
  <c r="J33"/>
  <c r="K33"/>
  <c r="L33"/>
  <c r="M33"/>
  <c r="N33"/>
  <c r="O33"/>
  <c r="P33"/>
  <c r="Q33"/>
  <c r="A74"/>
  <c r="C38"/>
  <c r="C39"/>
  <c r="C40"/>
  <c r="A53"/>
  <c r="D53"/>
  <c r="E53"/>
  <c r="F53"/>
  <c r="G53"/>
  <c r="H53"/>
  <c r="I53"/>
  <c r="L53"/>
  <c r="M53"/>
  <c r="N53"/>
  <c r="O53"/>
  <c r="P53"/>
  <c r="Q53"/>
  <c r="C61"/>
  <c r="C62"/>
  <c r="C63"/>
  <c r="C64"/>
  <c r="D74"/>
  <c r="E74"/>
  <c r="F74"/>
  <c r="G74"/>
  <c r="H74"/>
  <c r="I74"/>
  <c r="L74"/>
  <c r="M74"/>
  <c r="N74"/>
  <c r="O74"/>
  <c r="P74"/>
  <c r="Q74"/>
  <c r="A75"/>
  <c r="C75"/>
  <c r="D75"/>
  <c r="N82"/>
  <c r="O82"/>
  <c r="Q81"/>
  <c r="A82"/>
  <c r="L81"/>
  <c r="N81"/>
  <c r="O81"/>
  <c r="I81"/>
  <c r="P81"/>
  <c r="M81"/>
  <c r="D81"/>
  <c r="G81"/>
  <c r="H81"/>
  <c r="O80"/>
  <c r="Q80"/>
  <c r="A81"/>
  <c r="M80"/>
  <c r="L80"/>
  <c r="N80"/>
  <c r="H80"/>
  <c r="I80"/>
  <c r="P80"/>
  <c r="A80"/>
  <c r="D80"/>
  <c r="G80"/>
  <c r="N79"/>
  <c r="O79"/>
  <c r="A79"/>
  <c r="N78"/>
  <c r="O78"/>
  <c r="O77"/>
  <c r="Q77"/>
  <c r="A78"/>
  <c r="M77"/>
  <c r="L77"/>
  <c r="N77"/>
  <c r="H77"/>
  <c r="I77"/>
  <c r="P77"/>
  <c r="A77"/>
  <c r="D77"/>
  <c r="G77"/>
  <c r="N76"/>
  <c r="O76"/>
  <c r="Q76"/>
  <c r="P76"/>
  <c r="M76"/>
  <c r="L76"/>
  <c r="G76"/>
  <c r="H76"/>
  <c r="I76"/>
  <c r="Q64"/>
  <c r="A76"/>
  <c r="D76"/>
  <c r="N64"/>
  <c r="O64"/>
  <c r="I64"/>
  <c r="P64"/>
  <c r="M64"/>
  <c r="D64"/>
  <c r="G64"/>
  <c r="H64"/>
  <c r="O63"/>
  <c r="Q63"/>
  <c r="A64"/>
  <c r="M63"/>
  <c r="L63"/>
  <c r="N63"/>
  <c r="H63"/>
  <c r="I63"/>
  <c r="P63"/>
  <c r="A63"/>
  <c r="D63"/>
  <c r="G63"/>
  <c r="N62"/>
  <c r="O62"/>
  <c r="Q62"/>
  <c r="P62"/>
  <c r="M62"/>
  <c r="L62"/>
  <c r="G62"/>
  <c r="H62"/>
  <c r="I62"/>
  <c r="Q61"/>
  <c r="A62"/>
  <c r="D62"/>
  <c r="L61"/>
  <c r="N61"/>
  <c r="O61"/>
  <c r="I61"/>
  <c r="P61"/>
  <c r="M61"/>
  <c r="D61"/>
  <c r="G61"/>
  <c r="H61"/>
  <c r="O60"/>
  <c r="Q60"/>
  <c r="A61"/>
  <c r="M60"/>
  <c r="L60"/>
  <c r="N60"/>
  <c r="H60"/>
  <c r="I60"/>
  <c r="P60"/>
  <c r="A60"/>
  <c r="D60"/>
  <c r="G60"/>
  <c r="N59"/>
  <c r="O59"/>
  <c r="Q59"/>
  <c r="P59"/>
  <c r="M59"/>
  <c r="L59"/>
  <c r="G59"/>
  <c r="H59"/>
  <c r="I59"/>
  <c r="Q58"/>
  <c r="A59"/>
  <c r="D59"/>
  <c r="L58"/>
  <c r="N58"/>
  <c r="O58"/>
  <c r="I58"/>
  <c r="P58"/>
  <c r="M58"/>
  <c r="D58"/>
  <c r="G58"/>
  <c r="H58"/>
  <c r="O57"/>
  <c r="Q57"/>
  <c r="A58"/>
  <c r="M57"/>
  <c r="L57"/>
  <c r="N57"/>
  <c r="H57"/>
  <c r="I57"/>
  <c r="P57"/>
  <c r="A57"/>
  <c r="D57"/>
  <c r="G57"/>
  <c r="N56"/>
  <c r="O56"/>
  <c r="Q56"/>
  <c r="P56"/>
  <c r="M56"/>
  <c r="L56"/>
  <c r="G56"/>
  <c r="H56"/>
  <c r="I56"/>
  <c r="Q55"/>
  <c r="A56"/>
  <c r="D56"/>
  <c r="L55"/>
  <c r="N55"/>
  <c r="O55"/>
  <c r="I55"/>
  <c r="P55"/>
  <c r="M55"/>
  <c r="D55"/>
  <c r="G55"/>
  <c r="H55"/>
  <c r="P40"/>
  <c r="Q40"/>
  <c r="A55"/>
  <c r="M40"/>
  <c r="N40"/>
  <c r="O40"/>
  <c r="I40"/>
  <c r="J40"/>
  <c r="L40"/>
  <c r="D40"/>
  <c r="G40"/>
  <c r="H40"/>
  <c r="O39"/>
  <c r="P39"/>
  <c r="Q39"/>
  <c r="L39"/>
  <c r="M39"/>
  <c r="N39"/>
  <c r="H39"/>
  <c r="I39"/>
  <c r="J39"/>
  <c r="Q38"/>
  <c r="D39"/>
  <c r="G39"/>
  <c r="N38"/>
  <c r="O38"/>
  <c r="P38"/>
  <c r="J38"/>
  <c r="L38"/>
  <c r="M38"/>
  <c r="G38"/>
  <c r="H38"/>
  <c r="I38"/>
  <c r="Q37"/>
  <c r="A38"/>
  <c r="D38"/>
  <c r="N37"/>
  <c r="O37"/>
  <c r="P37"/>
  <c r="J37"/>
  <c r="L37"/>
  <c r="M37"/>
  <c r="G37"/>
  <c r="H37"/>
  <c r="I37"/>
  <c r="Q36"/>
  <c r="A37"/>
  <c r="D37"/>
  <c r="N36"/>
  <c r="O36"/>
  <c r="P36"/>
  <c r="J36"/>
  <c r="L36"/>
  <c r="M36"/>
  <c r="G36"/>
  <c r="H36"/>
  <c r="I36"/>
  <c r="Q35"/>
  <c r="A36"/>
  <c r="D36"/>
  <c r="N35"/>
  <c r="O35"/>
  <c r="P35"/>
  <c r="J35"/>
  <c r="L35"/>
  <c r="M35"/>
  <c r="G35"/>
  <c r="H35"/>
  <c r="I35"/>
  <c r="A35"/>
  <c r="D35"/>
  <c r="M28"/>
  <c r="P28"/>
  <c r="Q28"/>
  <c r="I28"/>
  <c r="J28"/>
  <c r="L28"/>
  <c r="D28"/>
  <c r="G28"/>
  <c r="H28"/>
  <c r="M27"/>
  <c r="P27"/>
  <c r="Q27"/>
  <c r="I27"/>
  <c r="J27"/>
  <c r="L27"/>
  <c r="D27"/>
  <c r="G27"/>
  <c r="H27"/>
  <c r="M26"/>
  <c r="P26"/>
  <c r="Q26"/>
  <c r="I26"/>
  <c r="J26"/>
  <c r="L26"/>
  <c r="D26"/>
  <c r="G26"/>
  <c r="H26"/>
  <c r="M25"/>
  <c r="P25"/>
  <c r="Q25"/>
  <c r="I25"/>
  <c r="J25"/>
  <c r="L25"/>
  <c r="D25"/>
  <c r="G25"/>
  <c r="H25"/>
  <c r="M24"/>
  <c r="P24"/>
  <c r="Q24"/>
  <c r="I24"/>
  <c r="J24"/>
  <c r="L24"/>
  <c r="D24"/>
  <c r="G24"/>
  <c r="H24"/>
  <c r="M23"/>
  <c r="P23"/>
  <c r="Q23"/>
  <c r="I23"/>
  <c r="J23"/>
  <c r="L23"/>
  <c r="D23"/>
  <c r="G23"/>
  <c r="H23"/>
  <c r="M22"/>
  <c r="P22"/>
  <c r="Q22"/>
  <c r="I22"/>
  <c r="J22"/>
  <c r="L22"/>
  <c r="D22"/>
  <c r="G22"/>
  <c r="H22"/>
  <c r="M21"/>
  <c r="P21"/>
  <c r="Q21"/>
  <c r="I21"/>
  <c r="J21"/>
  <c r="L21"/>
  <c r="D21"/>
  <c r="G21"/>
  <c r="H21"/>
  <c r="M20"/>
  <c r="P20"/>
  <c r="Q20"/>
  <c r="I20"/>
  <c r="J20"/>
  <c r="L20"/>
  <c r="D20"/>
  <c r="G20"/>
  <c r="H20"/>
  <c r="M19"/>
  <c r="P19"/>
  <c r="Q19"/>
  <c r="I19"/>
  <c r="J19"/>
  <c r="L19"/>
  <c r="D19"/>
  <c r="G19"/>
  <c r="H19"/>
  <c r="M18"/>
  <c r="P18"/>
  <c r="Q18"/>
  <c r="I18"/>
  <c r="J18"/>
  <c r="L18"/>
  <c r="D18"/>
  <c r="G18"/>
  <c r="H18"/>
  <c r="M17"/>
  <c r="P17"/>
  <c r="Q17"/>
  <c r="I17"/>
  <c r="J17"/>
  <c r="L17"/>
  <c r="D17"/>
  <c r="G17"/>
  <c r="H17"/>
  <c r="M16"/>
  <c r="P16"/>
  <c r="Q16"/>
  <c r="I16"/>
  <c r="J16"/>
  <c r="L16"/>
  <c r="D16"/>
  <c r="G16"/>
  <c r="H16"/>
  <c r="M15"/>
  <c r="P15"/>
  <c r="Q15"/>
  <c r="I15"/>
  <c r="J15"/>
  <c r="L15"/>
  <c r="D15"/>
  <c r="G15"/>
  <c r="H15"/>
  <c r="M14"/>
  <c r="P14"/>
  <c r="Q14"/>
  <c r="I14"/>
  <c r="J14"/>
  <c r="L14"/>
  <c r="D14"/>
  <c r="G14"/>
  <c r="H14"/>
  <c r="M13"/>
  <c r="P13"/>
  <c r="Q13"/>
  <c r="I13"/>
  <c r="J13"/>
  <c r="L13"/>
  <c r="D13"/>
  <c r="G13"/>
  <c r="H13"/>
  <c r="M12"/>
  <c r="P12"/>
  <c r="Q12"/>
  <c r="I12"/>
  <c r="J12"/>
  <c r="L12"/>
  <c r="D12"/>
  <c r="G12"/>
  <c r="H12"/>
  <c r="M11"/>
  <c r="P11"/>
  <c r="Q11"/>
  <c r="I11"/>
  <c r="J11"/>
  <c r="L11"/>
  <c r="D11"/>
  <c r="G11"/>
  <c r="H11"/>
  <c r="M10"/>
  <c r="P10"/>
  <c r="Q10"/>
  <c r="I10"/>
  <c r="J10"/>
  <c r="L10"/>
  <c r="D10"/>
  <c r="G10"/>
  <c r="H10"/>
  <c r="M9"/>
  <c r="P9"/>
  <c r="Q9"/>
  <c r="I9"/>
  <c r="J9"/>
  <c r="L9"/>
  <c r="D9"/>
  <c r="G9"/>
  <c r="H9"/>
  <c r="M8"/>
  <c r="P8"/>
  <c r="Q8"/>
  <c r="I8"/>
  <c r="J8"/>
  <c r="L8"/>
  <c r="D8"/>
  <c r="G8"/>
  <c r="H8"/>
  <c r="R78"/>
  <c r="F78"/>
  <c r="E78"/>
  <c r="R79"/>
  <c r="E30"/>
  <c r="F30"/>
  <c r="G30"/>
  <c r="H30"/>
  <c r="I30"/>
  <c r="E65"/>
  <c r="F65"/>
  <c r="G65"/>
  <c r="H65"/>
  <c r="K8" l="1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35"/>
  <c r="K36"/>
  <c r="K37"/>
  <c r="K38"/>
  <c r="K39"/>
  <c r="K40"/>
  <c r="J55"/>
  <c r="J56"/>
  <c r="J57"/>
  <c r="J58"/>
  <c r="J59"/>
  <c r="J60"/>
  <c r="J61"/>
  <c r="J62"/>
  <c r="J63"/>
  <c r="J64"/>
  <c r="J76"/>
  <c r="J77"/>
  <c r="J78"/>
  <c r="J79"/>
  <c r="J80"/>
  <c r="J81"/>
  <c r="J82"/>
  <c r="F9" i="19"/>
  <c r="F14"/>
  <c r="F5"/>
  <c r="F6"/>
  <c r="F7"/>
  <c r="F8"/>
  <c r="F19"/>
  <c r="F10"/>
  <c r="F11"/>
  <c r="F12"/>
  <c r="F13"/>
  <c r="F24"/>
  <c r="F15"/>
  <c r="F16"/>
  <c r="F17"/>
  <c r="F18"/>
  <c r="F25"/>
  <c r="F20"/>
  <c r="F21"/>
  <c r="F22"/>
  <c r="F23"/>
  <c r="F13" i="1"/>
  <c r="F15"/>
  <c r="F21"/>
  <c r="F23"/>
  <c r="F5"/>
  <c r="F7"/>
  <c r="F9"/>
  <c r="F11"/>
  <c r="F10"/>
  <c r="F12"/>
  <c r="F14"/>
  <c r="F16"/>
  <c r="F17"/>
  <c r="F19"/>
  <c r="F18"/>
  <c r="F20"/>
  <c r="F22"/>
  <c r="F24"/>
  <c r="F6"/>
  <c r="F8"/>
  <c r="H9" i="28"/>
  <c r="I9"/>
  <c r="J9"/>
  <c r="L9"/>
  <c r="M9"/>
  <c r="D9"/>
  <c r="G9"/>
  <c r="L10"/>
  <c r="M10"/>
  <c r="D10"/>
  <c r="G10"/>
  <c r="H10"/>
  <c r="M11"/>
  <c r="D11"/>
  <c r="G11"/>
  <c r="I10"/>
  <c r="J10"/>
  <c r="D12"/>
  <c r="H11"/>
  <c r="I11"/>
  <c r="J11"/>
  <c r="L11"/>
  <c r="G12"/>
  <c r="H12"/>
  <c r="I12"/>
  <c r="J12"/>
  <c r="L12"/>
  <c r="G13"/>
  <c r="H13"/>
  <c r="I13"/>
  <c r="J13"/>
  <c r="M12"/>
  <c r="H14"/>
  <c r="I14"/>
  <c r="L13"/>
  <c r="M13"/>
  <c r="D13"/>
  <c r="J14"/>
  <c r="L14"/>
  <c r="M14"/>
  <c r="D14"/>
  <c r="G14"/>
  <c r="L15"/>
  <c r="M15"/>
  <c r="D15"/>
  <c r="G15"/>
  <c r="H15"/>
  <c r="M16"/>
  <c r="D16"/>
  <c r="G16"/>
  <c r="I15"/>
  <c r="J15"/>
  <c r="D17"/>
  <c r="H16"/>
  <c r="I16"/>
  <c r="J16"/>
  <c r="L16"/>
  <c r="G17"/>
  <c r="H17"/>
  <c r="I17"/>
  <c r="J17"/>
  <c r="L17"/>
  <c r="G18"/>
  <c r="H18"/>
  <c r="I18"/>
  <c r="J18"/>
  <c r="M17"/>
  <c r="H19"/>
  <c r="I19"/>
  <c r="L18"/>
  <c r="M18"/>
  <c r="D18"/>
  <c r="J19"/>
  <c r="L19"/>
  <c r="M19"/>
  <c r="D19"/>
  <c r="G19"/>
  <c r="L20"/>
  <c r="M20"/>
  <c r="D20"/>
  <c r="G20"/>
  <c r="H20"/>
  <c r="M21"/>
  <c r="D21"/>
  <c r="G21"/>
  <c r="I20"/>
  <c r="J20"/>
  <c r="D22"/>
  <c r="H21"/>
  <c r="I21"/>
  <c r="J21"/>
  <c r="L21"/>
  <c r="G22"/>
  <c r="H22"/>
  <c r="I22"/>
  <c r="J22"/>
  <c r="L22"/>
  <c r="G23"/>
  <c r="H23"/>
  <c r="I23"/>
  <c r="J23"/>
  <c r="M22"/>
  <c r="H24"/>
  <c r="I24"/>
  <c r="L23"/>
  <c r="M23"/>
  <c r="D23"/>
  <c r="J24"/>
  <c r="L24"/>
  <c r="M24"/>
  <c r="D24"/>
  <c r="G24"/>
  <c r="L25"/>
  <c r="M25"/>
  <c r="D25"/>
  <c r="G25"/>
  <c r="H25"/>
  <c r="M26"/>
  <c r="D26"/>
  <c r="G26"/>
  <c r="I25"/>
  <c r="J25"/>
  <c r="D27"/>
  <c r="H26"/>
  <c r="I26"/>
  <c r="J26"/>
  <c r="L26"/>
  <c r="G27"/>
  <c r="H27"/>
  <c r="I27"/>
  <c r="J27"/>
  <c r="L27"/>
  <c r="G28"/>
  <c r="H28"/>
  <c r="I28"/>
  <c r="J28"/>
  <c r="M27"/>
  <c r="H35"/>
  <c r="I35"/>
  <c r="L28"/>
  <c r="M28"/>
  <c r="D28"/>
  <c r="M35"/>
  <c r="N35"/>
  <c r="O35"/>
  <c r="D35"/>
  <c r="G35"/>
  <c r="D36"/>
  <c r="G36"/>
  <c r="H36"/>
  <c r="J35"/>
  <c r="L35"/>
  <c r="J36"/>
  <c r="L36"/>
  <c r="M36"/>
  <c r="P35"/>
  <c r="Q35"/>
  <c r="P36"/>
  <c r="Q36"/>
  <c r="D37"/>
  <c r="G37"/>
  <c r="I36"/>
  <c r="H37"/>
  <c r="I37"/>
  <c r="J37"/>
  <c r="L37"/>
  <c r="M37"/>
  <c r="J38"/>
  <c r="L38"/>
  <c r="P37"/>
  <c r="Q37"/>
  <c r="D38"/>
  <c r="P38"/>
  <c r="Q38"/>
  <c r="G38"/>
  <c r="H38"/>
  <c r="I38"/>
  <c r="G55"/>
  <c r="H55"/>
  <c r="I55"/>
  <c r="L55"/>
  <c r="M38"/>
  <c r="N55"/>
  <c r="O55"/>
  <c r="P55"/>
  <c r="Q55"/>
  <c r="D55"/>
  <c r="G56"/>
  <c r="H56"/>
  <c r="I56"/>
  <c r="L56"/>
  <c r="M55"/>
  <c r="L57"/>
  <c r="M56"/>
  <c r="P56"/>
  <c r="Q56"/>
  <c r="D56"/>
  <c r="Q57"/>
  <c r="D57"/>
  <c r="G57"/>
  <c r="H57"/>
  <c r="I57"/>
  <c r="H58"/>
  <c r="I58"/>
  <c r="L58"/>
  <c r="M57"/>
  <c r="P57"/>
  <c r="M58"/>
  <c r="P58"/>
  <c r="Q58"/>
  <c r="D58"/>
  <c r="G58"/>
  <c r="E4" i="1"/>
  <c r="J4"/>
  <c r="N6"/>
  <c r="E6"/>
  <c r="H6"/>
  <c r="J5"/>
  <c r="L4"/>
  <c r="N4"/>
  <c r="G4"/>
  <c r="I4"/>
  <c r="K4"/>
  <c r="E7"/>
  <c r="J7"/>
  <c r="L6"/>
  <c r="I5"/>
  <c r="K5"/>
  <c r="M5"/>
  <c r="M4"/>
  <c r="R4"/>
  <c r="G5"/>
  <c r="K6"/>
  <c r="M6"/>
  <c r="R6"/>
  <c r="R5"/>
  <c r="G6"/>
  <c r="I6"/>
  <c r="M7"/>
  <c r="R7"/>
  <c r="G8"/>
  <c r="G7"/>
  <c r="I7"/>
  <c r="K7"/>
  <c r="R8"/>
  <c r="G9"/>
  <c r="I9"/>
  <c r="I8"/>
  <c r="K8"/>
  <c r="M8"/>
  <c r="G10"/>
  <c r="I10"/>
  <c r="K10"/>
  <c r="K9"/>
  <c r="M9"/>
  <c r="R9"/>
  <c r="I11"/>
  <c r="K11"/>
  <c r="M11"/>
  <c r="M10"/>
  <c r="R10"/>
  <c r="G11"/>
  <c r="K12"/>
  <c r="M12"/>
  <c r="R12"/>
  <c r="R11"/>
  <c r="G12"/>
  <c r="I12"/>
  <c r="M13"/>
  <c r="R13"/>
  <c r="G14"/>
  <c r="G13"/>
  <c r="I13"/>
  <c r="K13"/>
  <c r="R14"/>
  <c r="G15"/>
  <c r="I15"/>
  <c r="I14"/>
  <c r="K14"/>
  <c r="M14"/>
  <c r="G16"/>
  <c r="I16"/>
  <c r="K16"/>
  <c r="K15"/>
  <c r="M15"/>
  <c r="R15"/>
  <c r="I17"/>
  <c r="K17"/>
  <c r="M17"/>
  <c r="M16"/>
  <c r="R16"/>
  <c r="G17"/>
  <c r="K18"/>
  <c r="M18"/>
  <c r="R18"/>
  <c r="R17"/>
  <c r="G18"/>
  <c r="I18"/>
  <c r="M19"/>
  <c r="R19"/>
  <c r="G20"/>
  <c r="G19"/>
  <c r="I19"/>
  <c r="K19"/>
  <c r="R20"/>
  <c r="G21"/>
  <c r="I21"/>
  <c r="I20"/>
  <c r="K20"/>
  <c r="M20"/>
  <c r="E23"/>
  <c r="H22"/>
  <c r="K22"/>
  <c r="K21"/>
  <c r="M21"/>
  <c r="R21"/>
  <c r="J27"/>
  <c r="L24"/>
  <c r="N23"/>
  <c r="H24"/>
  <c r="J23"/>
  <c r="L22"/>
  <c r="N5"/>
  <c r="H5"/>
  <c r="L5"/>
  <c r="E5"/>
  <c r="H4"/>
  <c r="E27"/>
  <c r="F27" s="1"/>
  <c r="L8"/>
  <c r="L7"/>
  <c r="N7"/>
  <c r="E8"/>
  <c r="H7"/>
  <c r="J6"/>
  <c r="N9"/>
  <c r="N8"/>
  <c r="E9"/>
  <c r="H9"/>
  <c r="H8"/>
  <c r="J8"/>
  <c r="E11"/>
  <c r="E10"/>
  <c r="H10"/>
  <c r="J10"/>
  <c r="J9"/>
  <c r="L9"/>
  <c r="H12"/>
  <c r="H11"/>
  <c r="J11"/>
  <c r="L11"/>
  <c r="L10"/>
  <c r="N10"/>
  <c r="J13"/>
  <c r="J12"/>
  <c r="L12"/>
  <c r="N12"/>
  <c r="N11"/>
  <c r="E12"/>
  <c r="L14"/>
  <c r="L13"/>
  <c r="N13"/>
  <c r="E14"/>
  <c r="E13"/>
  <c r="H13"/>
  <c r="N15"/>
  <c r="N14"/>
  <c r="E15"/>
  <c r="H15"/>
  <c r="H14"/>
  <c r="J14"/>
  <c r="E17"/>
  <c r="E16"/>
  <c r="H16"/>
  <c r="J16"/>
  <c r="J15"/>
  <c r="L15"/>
  <c r="H18"/>
  <c r="H17"/>
  <c r="J17"/>
  <c r="L17"/>
  <c r="L16"/>
  <c r="N16"/>
  <c r="J19"/>
  <c r="J18"/>
  <c r="L18"/>
  <c r="N18"/>
  <c r="N17"/>
  <c r="E18"/>
  <c r="L20"/>
  <c r="L19"/>
  <c r="N19"/>
  <c r="E20"/>
  <c r="E19"/>
  <c r="H19"/>
  <c r="N21"/>
  <c r="N20"/>
  <c r="E21"/>
  <c r="H21"/>
  <c r="H20"/>
  <c r="J20"/>
  <c r="L23"/>
  <c r="N22"/>
  <c r="E22"/>
  <c r="J22"/>
  <c r="J21"/>
  <c r="L21"/>
  <c r="I22"/>
  <c r="H27"/>
  <c r="J24"/>
  <c r="N24"/>
  <c r="E24"/>
  <c r="H23"/>
  <c r="K23"/>
  <c r="M23"/>
  <c r="M22"/>
  <c r="R22"/>
  <c r="G23"/>
  <c r="G22"/>
  <c r="M24"/>
  <c r="R24"/>
  <c r="R23"/>
  <c r="G24"/>
  <c r="I24"/>
  <c r="I23"/>
  <c r="J28"/>
  <c r="G29"/>
  <c r="G27"/>
  <c r="I27"/>
  <c r="E28"/>
  <c r="F28" s="1"/>
  <c r="K24"/>
  <c r="G31"/>
  <c r="I31"/>
  <c r="I29"/>
  <c r="E30"/>
  <c r="F30" s="1"/>
  <c r="H30"/>
  <c r="H28"/>
  <c r="I33"/>
  <c r="E34"/>
  <c r="F34" s="1"/>
  <c r="E32"/>
  <c r="F32" s="1"/>
  <c r="H32"/>
  <c r="J32"/>
  <c r="J30"/>
  <c r="E36"/>
  <c r="F36" s="1"/>
  <c r="H36"/>
  <c r="H34"/>
  <c r="J34"/>
  <c r="G35"/>
  <c r="G33"/>
  <c r="H38"/>
  <c r="J38"/>
  <c r="J36"/>
  <c r="G37"/>
  <c r="I37"/>
  <c r="I35"/>
  <c r="J40"/>
  <c r="G41"/>
  <c r="G39"/>
  <c r="I39"/>
  <c r="E40"/>
  <c r="F40" s="1"/>
  <c r="E38"/>
  <c r="F38" s="1"/>
  <c r="G43"/>
  <c r="I43"/>
  <c r="I41"/>
  <c r="E42"/>
  <c r="F42" s="1"/>
  <c r="H42"/>
  <c r="H40"/>
  <c r="I45"/>
  <c r="E46"/>
  <c r="F46" s="1"/>
  <c r="E44"/>
  <c r="F44" s="1"/>
  <c r="H44"/>
  <c r="J44"/>
  <c r="J42"/>
  <c r="H47"/>
  <c r="J47"/>
  <c r="H46"/>
  <c r="J46"/>
  <c r="G47"/>
  <c r="G45"/>
  <c r="R5" i="19"/>
  <c r="O5"/>
  <c r="G5"/>
  <c r="I5"/>
  <c r="J6"/>
  <c r="M6"/>
  <c r="Q5"/>
  <c r="E6"/>
  <c r="K5"/>
  <c r="G7"/>
  <c r="I7"/>
  <c r="N6"/>
  <c r="P6"/>
  <c r="H6"/>
  <c r="Q7"/>
  <c r="E8"/>
  <c r="K7"/>
  <c r="R7"/>
  <c r="U6"/>
  <c r="N8"/>
  <c r="P8"/>
  <c r="H8"/>
  <c r="J8"/>
  <c r="O7"/>
  <c r="K9"/>
  <c r="R9"/>
  <c r="U8"/>
  <c r="G9"/>
  <c r="M8"/>
  <c r="H10"/>
  <c r="J10"/>
  <c r="O9"/>
  <c r="Q9"/>
  <c r="I9"/>
  <c r="U10"/>
  <c r="G11"/>
  <c r="M10"/>
  <c r="N10"/>
  <c r="E10"/>
  <c r="O11"/>
  <c r="Q11"/>
  <c r="I11"/>
  <c r="K11"/>
  <c r="P10"/>
  <c r="M12"/>
  <c r="N12"/>
  <c r="E12"/>
  <c r="H12"/>
  <c r="R11"/>
  <c r="I13"/>
  <c r="K13"/>
  <c r="P12"/>
  <c r="U12"/>
  <c r="J12"/>
  <c r="E14"/>
  <c r="H14"/>
  <c r="R13"/>
  <c r="O13"/>
  <c r="G13"/>
  <c r="P14"/>
  <c r="U14"/>
  <c r="J14"/>
  <c r="M14"/>
  <c r="Q13"/>
  <c r="R15"/>
  <c r="O15"/>
  <c r="G15"/>
  <c r="I15"/>
  <c r="N14"/>
  <c r="J16"/>
  <c r="M16"/>
  <c r="Q15"/>
  <c r="E16"/>
  <c r="K15"/>
  <c r="G17"/>
  <c r="I17"/>
  <c r="N16"/>
  <c r="P16"/>
  <c r="H16"/>
  <c r="Q17"/>
  <c r="E18"/>
  <c r="K17"/>
  <c r="R17"/>
  <c r="U16"/>
  <c r="N18"/>
  <c r="P18"/>
  <c r="H18"/>
  <c r="J18"/>
  <c r="O17"/>
  <c r="K19"/>
  <c r="R19"/>
  <c r="U18"/>
  <c r="G19"/>
  <c r="M18"/>
  <c r="H20"/>
  <c r="J20"/>
  <c r="O19"/>
  <c r="Q19"/>
  <c r="I19"/>
  <c r="U20"/>
  <c r="G21"/>
  <c r="M20"/>
  <c r="N20"/>
  <c r="E20"/>
  <c r="O21"/>
  <c r="Q21"/>
  <c r="I21"/>
  <c r="K21"/>
  <c r="P20"/>
  <c r="M22"/>
  <c r="N22"/>
  <c r="E22"/>
  <c r="H22"/>
  <c r="R21"/>
  <c r="I23"/>
  <c r="K23"/>
  <c r="P22"/>
  <c r="U22"/>
  <c r="J22"/>
  <c r="E24"/>
  <c r="H24"/>
  <c r="R23"/>
  <c r="O23"/>
  <c r="G23"/>
  <c r="P24"/>
  <c r="U24"/>
  <c r="J24"/>
  <c r="M24"/>
  <c r="Q23"/>
  <c r="R25"/>
  <c r="O25"/>
  <c r="G25"/>
  <c r="I25"/>
  <c r="N24"/>
  <c r="J28"/>
  <c r="G29"/>
  <c r="Q25"/>
  <c r="E28"/>
  <c r="F28" s="1"/>
  <c r="K25"/>
  <c r="J30"/>
  <c r="G31"/>
  <c r="I29"/>
  <c r="E30"/>
  <c r="F30" s="1"/>
  <c r="H28"/>
  <c r="J32"/>
  <c r="G33"/>
  <c r="I31"/>
  <c r="E32"/>
  <c r="F32" s="1"/>
  <c r="H30"/>
  <c r="J34"/>
  <c r="G35"/>
  <c r="I33"/>
  <c r="E34"/>
  <c r="F34" s="1"/>
  <c r="H32"/>
  <c r="J36"/>
  <c r="G37"/>
  <c r="I35"/>
  <c r="E36"/>
  <c r="F36" s="1"/>
  <c r="H34"/>
  <c r="J38"/>
  <c r="G39"/>
  <c r="I37"/>
  <c r="E38"/>
  <c r="F38" s="1"/>
  <c r="H36"/>
  <c r="J40"/>
  <c r="G41"/>
  <c r="I39"/>
  <c r="E40"/>
  <c r="F40" s="1"/>
  <c r="H38"/>
  <c r="J42"/>
  <c r="G43"/>
  <c r="I41"/>
  <c r="E42"/>
  <c r="F42" s="1"/>
  <c r="H40"/>
  <c r="J44"/>
  <c r="G45"/>
  <c r="I43"/>
  <c r="E44"/>
  <c r="F44" s="1"/>
  <c r="H42"/>
  <c r="J46"/>
  <c r="G47"/>
  <c r="I45"/>
  <c r="E46"/>
  <c r="F46" s="1"/>
  <c r="H44"/>
  <c r="H48"/>
  <c r="J48"/>
  <c r="I47"/>
  <c r="E48"/>
  <c r="F48" s="1"/>
  <c r="H46"/>
  <c r="E29" i="1"/>
  <c r="F29" s="1"/>
  <c r="H31"/>
  <c r="H29"/>
  <c r="J29"/>
  <c r="G30"/>
  <c r="G28"/>
  <c r="I28"/>
  <c r="J33"/>
  <c r="J31"/>
  <c r="G32"/>
  <c r="I32"/>
  <c r="I30"/>
  <c r="E31"/>
  <c r="F31" s="1"/>
  <c r="G36"/>
  <c r="G34"/>
  <c r="I34"/>
  <c r="E35"/>
  <c r="F35" s="1"/>
  <c r="E33"/>
  <c r="F33" s="1"/>
  <c r="H33"/>
  <c r="I38"/>
  <c r="I36"/>
  <c r="E37"/>
  <c r="F37" s="1"/>
  <c r="H37"/>
  <c r="H35"/>
  <c r="J35"/>
  <c r="E41"/>
  <c r="F41" s="1"/>
  <c r="E39"/>
  <c r="F39" s="1"/>
  <c r="H39"/>
  <c r="J39"/>
  <c r="J37"/>
  <c r="G38"/>
  <c r="H43"/>
  <c r="H41"/>
  <c r="J41"/>
  <c r="G42"/>
  <c r="G40"/>
  <c r="I40"/>
  <c r="J45"/>
  <c r="J43"/>
  <c r="G44"/>
  <c r="I44"/>
  <c r="I42"/>
  <c r="E43"/>
  <c r="F43" s="1"/>
  <c r="I47"/>
  <c r="G46"/>
  <c r="I46"/>
  <c r="E47"/>
  <c r="F47" s="1"/>
  <c r="E45"/>
  <c r="F45" s="1"/>
  <c r="H45"/>
  <c r="N5" i="19"/>
  <c r="E5"/>
  <c r="H5"/>
  <c r="J5"/>
  <c r="K6"/>
  <c r="P5"/>
  <c r="U5"/>
  <c r="G6"/>
  <c r="M5"/>
  <c r="H7"/>
  <c r="R6"/>
  <c r="O6"/>
  <c r="Q6"/>
  <c r="I6"/>
  <c r="U7"/>
  <c r="J7"/>
  <c r="M7"/>
  <c r="N7"/>
  <c r="E7"/>
  <c r="O8"/>
  <c r="G8"/>
  <c r="I8"/>
  <c r="K8"/>
  <c r="P7"/>
  <c r="M9"/>
  <c r="Q8"/>
  <c r="E9"/>
  <c r="H9"/>
  <c r="R8"/>
  <c r="I10"/>
  <c r="N9"/>
  <c r="P9"/>
  <c r="U9"/>
  <c r="J9"/>
  <c r="E11"/>
  <c r="K10"/>
  <c r="R10"/>
  <c r="O10"/>
  <c r="G10"/>
  <c r="P11"/>
  <c r="H11"/>
  <c r="J11"/>
  <c r="M11"/>
  <c r="Q10"/>
  <c r="R12"/>
  <c r="U11"/>
  <c r="G12"/>
  <c r="I12"/>
  <c r="N11"/>
  <c r="J13"/>
  <c r="O12"/>
  <c r="Q12"/>
  <c r="E13"/>
  <c r="K12"/>
  <c r="G14"/>
  <c r="M13"/>
  <c r="N13"/>
  <c r="P13"/>
  <c r="H13"/>
  <c r="Q14"/>
  <c r="I14"/>
  <c r="K14"/>
  <c r="R14"/>
  <c r="U13"/>
  <c r="N15"/>
  <c r="E15"/>
  <c r="H15"/>
  <c r="J15"/>
  <c r="O14"/>
  <c r="K16"/>
  <c r="P15"/>
  <c r="U15"/>
  <c r="G16"/>
  <c r="M15"/>
  <c r="H17"/>
  <c r="R16"/>
  <c r="O16"/>
  <c r="Q16"/>
  <c r="I16"/>
  <c r="U17"/>
  <c r="J17"/>
  <c r="M17"/>
  <c r="N17"/>
  <c r="E17"/>
  <c r="O18"/>
  <c r="G18"/>
  <c r="I18"/>
  <c r="K18"/>
  <c r="P17"/>
  <c r="M19"/>
  <c r="Q18"/>
  <c r="E19"/>
  <c r="H19"/>
  <c r="R18"/>
  <c r="I20"/>
  <c r="N19"/>
  <c r="P19"/>
  <c r="U19"/>
  <c r="J19"/>
  <c r="E21"/>
  <c r="K20"/>
  <c r="R20"/>
  <c r="O20"/>
  <c r="G20"/>
  <c r="P21"/>
  <c r="H21"/>
  <c r="J21"/>
  <c r="M21"/>
  <c r="Q20"/>
  <c r="R22"/>
  <c r="U21"/>
  <c r="G22"/>
  <c r="I22"/>
  <c r="N21"/>
  <c r="J23"/>
  <c r="O22"/>
  <c r="Q22"/>
  <c r="E23"/>
  <c r="K22"/>
  <c r="G24"/>
  <c r="M23"/>
  <c r="N23"/>
  <c r="P23"/>
  <c r="H23"/>
  <c r="Q24"/>
  <c r="I24"/>
  <c r="K24"/>
  <c r="R24"/>
  <c r="U23"/>
  <c r="N25"/>
  <c r="E25"/>
  <c r="H25"/>
  <c r="J25"/>
  <c r="O24"/>
  <c r="E29"/>
  <c r="F29" s="1"/>
  <c r="P25"/>
  <c r="U25"/>
  <c r="G28"/>
  <c r="M25"/>
  <c r="E31"/>
  <c r="F31" s="1"/>
  <c r="H29"/>
  <c r="J29"/>
  <c r="G30"/>
  <c r="I28"/>
  <c r="E33"/>
  <c r="F33" s="1"/>
  <c r="H31"/>
  <c r="J31"/>
  <c r="G32"/>
  <c r="I30"/>
  <c r="E35"/>
  <c r="F35" s="1"/>
  <c r="H33"/>
  <c r="J33"/>
  <c r="G34"/>
  <c r="I32"/>
  <c r="E37"/>
  <c r="F37" s="1"/>
  <c r="H35"/>
  <c r="J35"/>
  <c r="G36"/>
  <c r="I34"/>
  <c r="E39"/>
  <c r="F39" s="1"/>
  <c r="H37"/>
  <c r="J37"/>
  <c r="G38"/>
  <c r="I36"/>
  <c r="E41"/>
  <c r="F41" s="1"/>
  <c r="H39"/>
  <c r="J39"/>
  <c r="G40"/>
  <c r="I38"/>
  <c r="E43"/>
  <c r="F43" s="1"/>
  <c r="H41"/>
  <c r="J41"/>
  <c r="G42"/>
  <c r="I40"/>
  <c r="E45"/>
  <c r="F45" s="1"/>
  <c r="H43"/>
  <c r="J43"/>
  <c r="G44"/>
  <c r="I42"/>
  <c r="E47"/>
  <c r="F47" s="1"/>
  <c r="H45"/>
  <c r="J45"/>
  <c r="G46"/>
  <c r="I44"/>
  <c r="I48"/>
  <c r="H47"/>
  <c r="J47"/>
  <c r="G48"/>
  <c r="I46"/>
  <c r="J30" i="44"/>
  <c r="I65"/>
  <c r="E3" i="19" l="1"/>
  <c r="F3"/>
  <c r="G3"/>
  <c r="H3"/>
  <c r="I3"/>
  <c r="J3"/>
  <c r="K3"/>
  <c r="L3"/>
  <c r="M3"/>
  <c r="N3"/>
  <c r="O3"/>
  <c r="P3"/>
  <c r="Q3"/>
  <c r="R3"/>
  <c r="U3"/>
  <c r="E3" i="1"/>
  <c r="F3"/>
  <c r="G3"/>
  <c r="H3"/>
  <c r="I3"/>
  <c r="J3"/>
  <c r="K3"/>
  <c r="L3"/>
  <c r="M3"/>
  <c r="N3"/>
  <c r="R3"/>
  <c r="D6" i="28"/>
  <c r="E6"/>
  <c r="F6"/>
  <c r="G6"/>
  <c r="H6"/>
  <c r="I6"/>
  <c r="J6"/>
  <c r="K6"/>
  <c r="L6"/>
  <c r="M6"/>
  <c r="N6"/>
  <c r="O6"/>
  <c r="P6"/>
  <c r="Q6"/>
  <c r="D8"/>
  <c r="H8"/>
  <c r="J8"/>
  <c r="L8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36"/>
  <c r="N37"/>
  <c r="N38"/>
  <c r="N56"/>
  <c r="N57"/>
  <c r="N58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G8"/>
  <c r="I8"/>
  <c r="M8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36"/>
  <c r="O37"/>
  <c r="O38"/>
  <c r="O56"/>
  <c r="O57"/>
  <c r="O58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F4" i="1"/>
  <c r="E8" i="28"/>
  <c r="F8"/>
  <c r="G51" i="1" l="1"/>
  <c r="I51"/>
  <c r="F51"/>
  <c r="H51"/>
  <c r="J51"/>
  <c r="G52" i="19"/>
  <c r="I52"/>
  <c r="O52"/>
  <c r="F52"/>
  <c r="H52"/>
  <c r="J52"/>
  <c r="N52"/>
  <c r="P52"/>
  <c r="L25"/>
  <c r="L23"/>
  <c r="L21"/>
  <c r="L19"/>
  <c r="L17"/>
  <c r="L15"/>
  <c r="L13"/>
  <c r="L11"/>
  <c r="L9"/>
  <c r="L7"/>
  <c r="L5"/>
  <c r="L24"/>
  <c r="L22"/>
  <c r="L20"/>
  <c r="L18"/>
  <c r="L16"/>
  <c r="L14"/>
  <c r="L12"/>
  <c r="L10"/>
  <c r="L8"/>
  <c r="L6"/>
  <c r="K8" i="28"/>
  <c r="E9"/>
  <c r="F9"/>
  <c r="K52" i="19" l="1"/>
  <c r="K9" i="28"/>
  <c r="E10"/>
  <c r="F10"/>
  <c r="K10"/>
  <c r="E11"/>
  <c r="F11"/>
  <c r="K11"/>
  <c r="E12"/>
  <c r="F12"/>
  <c r="K12"/>
  <c r="E13"/>
  <c r="F13"/>
  <c r="K13"/>
  <c r="E14"/>
  <c r="F14"/>
  <c r="K14"/>
  <c r="E15"/>
  <c r="F15"/>
  <c r="K15"/>
  <c r="E16"/>
  <c r="F16"/>
  <c r="K16"/>
  <c r="E17"/>
  <c r="F17"/>
  <c r="K17"/>
  <c r="E18"/>
  <c r="F18"/>
  <c r="K18"/>
  <c r="E19"/>
  <c r="F19"/>
  <c r="K19"/>
  <c r="E20"/>
  <c r="F20"/>
  <c r="K20"/>
  <c r="E21"/>
  <c r="F21"/>
  <c r="K21"/>
  <c r="E22"/>
  <c r="F22"/>
  <c r="K22"/>
  <c r="E23"/>
  <c r="F23"/>
  <c r="K23"/>
  <c r="E24"/>
  <c r="F24"/>
  <c r="K24"/>
  <c r="E25"/>
  <c r="F25"/>
  <c r="K25"/>
  <c r="E26"/>
  <c r="F26"/>
  <c r="K26"/>
  <c r="E27"/>
  <c r="F27"/>
  <c r="K27"/>
  <c r="E28"/>
  <c r="F28"/>
  <c r="K28"/>
  <c r="D33"/>
  <c r="E33"/>
  <c r="F33"/>
  <c r="G33"/>
  <c r="H33"/>
  <c r="I33"/>
  <c r="J33"/>
  <c r="K33"/>
  <c r="L33"/>
  <c r="M33"/>
  <c r="N33"/>
  <c r="O33"/>
  <c r="P33"/>
  <c r="Q33"/>
  <c r="E35"/>
  <c r="F35"/>
  <c r="K35"/>
  <c r="E36"/>
  <c r="F36"/>
  <c r="K36"/>
  <c r="E37"/>
  <c r="F37"/>
  <c r="K37"/>
  <c r="E38"/>
  <c r="F38"/>
  <c r="K38"/>
  <c r="D53"/>
  <c r="E53"/>
  <c r="F53"/>
  <c r="G53"/>
  <c r="H53"/>
  <c r="I53"/>
  <c r="L53"/>
  <c r="M53"/>
  <c r="N53"/>
  <c r="O53"/>
  <c r="P53"/>
  <c r="Q53"/>
  <c r="E55"/>
  <c r="F55"/>
  <c r="E56"/>
  <c r="F56"/>
  <c r="E57"/>
  <c r="F57"/>
  <c r="E58"/>
  <c r="F58"/>
  <c r="E61"/>
  <c r="G30"/>
  <c r="E41"/>
  <c r="I41"/>
  <c r="F30"/>
  <c r="J30"/>
  <c r="H41"/>
  <c r="F61"/>
  <c r="E30"/>
  <c r="I30"/>
  <c r="G41"/>
  <c r="G61"/>
  <c r="H30"/>
  <c r="F41"/>
  <c r="J41"/>
  <c r="H61"/>
</calcChain>
</file>

<file path=xl/sharedStrings.xml><?xml version="1.0" encoding="utf-8"?>
<sst xmlns="http://schemas.openxmlformats.org/spreadsheetml/2006/main" count="1770" uniqueCount="290">
  <si>
    <t>LMT</t>
  </si>
  <si>
    <t>ESLT</t>
  </si>
  <si>
    <t>CQ42013</t>
  </si>
  <si>
    <t>CQ32013</t>
  </si>
  <si>
    <t>CQ22013</t>
  </si>
  <si>
    <t>CQ12013</t>
  </si>
  <si>
    <t>CQ42012</t>
  </si>
  <si>
    <t>CQ32012</t>
  </si>
  <si>
    <t>CQ22012</t>
  </si>
  <si>
    <t>CQ12012</t>
  </si>
  <si>
    <t>CQ42011</t>
  </si>
  <si>
    <t>CQ32011</t>
  </si>
  <si>
    <t>CQ22011</t>
  </si>
  <si>
    <t>CQ12011</t>
  </si>
  <si>
    <t>CQ42010</t>
  </si>
  <si>
    <t>CQ32010</t>
  </si>
  <si>
    <t>CQ22010</t>
  </si>
  <si>
    <t>CQ12010</t>
  </si>
  <si>
    <t>CQ42009</t>
  </si>
  <si>
    <t>CQ32009</t>
  </si>
  <si>
    <t>CQ22009</t>
  </si>
  <si>
    <t>CQ12009</t>
  </si>
  <si>
    <t>CQ42008</t>
  </si>
  <si>
    <t>Guess</t>
  </si>
  <si>
    <t>Corr</t>
  </si>
  <si>
    <t>bhe</t>
  </si>
  <si>
    <t>ibm</t>
  </si>
  <si>
    <t>Repurchase payout ratio</t>
  </si>
  <si>
    <t>Return on Equity</t>
  </si>
  <si>
    <t>Repo</t>
  </si>
  <si>
    <t>Debt/Capital</t>
  </si>
  <si>
    <t>Debt/EBITDA</t>
  </si>
  <si>
    <t>Capex/Revenue</t>
  </si>
  <si>
    <t>Dividend Yield</t>
  </si>
  <si>
    <t>EV Multiple</t>
  </si>
  <si>
    <t xml:space="preserve">BA </t>
  </si>
  <si>
    <t>RTN</t>
  </si>
  <si>
    <t>GD</t>
  </si>
  <si>
    <t>Correlation Multiple vs Factors</t>
  </si>
  <si>
    <t>http://finance.yahoo.com/q/ks?s=LMT+Key+Statistics</t>
  </si>
  <si>
    <t>RADA</t>
  </si>
  <si>
    <t>IMPV</t>
  </si>
  <si>
    <t>TATT</t>
  </si>
  <si>
    <t>BHE</t>
  </si>
  <si>
    <t>http://www.bloomberg.com/quote/LT:IN/profile</t>
  </si>
  <si>
    <t>GCPL</t>
  </si>
  <si>
    <t>TTM</t>
  </si>
  <si>
    <t>MM</t>
  </si>
  <si>
    <t>Godrej Industries Ltd. (BSE:500164) Financials &gt; Key Stats</t>
  </si>
  <si>
    <t xml:space="preserve">Tata Motors Limited (BSE:500570) </t>
  </si>
  <si>
    <t xml:space="preserve">Bharat Heavy Electricals Ltd. (BSE:500103) </t>
  </si>
  <si>
    <t>Mahindra &amp; Mahindra Ltd. (BSE:500520)</t>
  </si>
  <si>
    <t xml:space="preserve"> 
Bharat Electronics Limited (BSE:500049) </t>
  </si>
  <si>
    <t>FY2013</t>
  </si>
  <si>
    <t xml:space="preserve">Rolta India Limited (BSE:500366) </t>
  </si>
  <si>
    <t>Ashok Leyland Limited (BSE:500477) F</t>
  </si>
  <si>
    <t>BEML Limited (BSE:500048)</t>
  </si>
  <si>
    <t>IQ_FILINGDATE_BS</t>
  </si>
  <si>
    <t>IQ_TEV_EBITDA</t>
  </si>
  <si>
    <t>IQ_DIVIDEND_YIELD</t>
  </si>
  <si>
    <t>IQ_CAPEX_PCT_REV</t>
  </si>
  <si>
    <t>IQ_TOTAL_DEBT_EBITDA</t>
  </si>
  <si>
    <t>IQ_TOTAL_DEBT_CAPITAL</t>
  </si>
  <si>
    <t>IQ_RETURN_EQUITY</t>
  </si>
  <si>
    <t>IQ_COMMON_REP</t>
  </si>
  <si>
    <t>IQ_NI</t>
  </si>
  <si>
    <t>IQ_LASTSALEPRICE</t>
  </si>
  <si>
    <t>IQ_ANNUALIZED_DIVIDEND</t>
  </si>
  <si>
    <t>IQ_CAPEX</t>
  </si>
  <si>
    <t>IQ_TOTAL_REV</t>
  </si>
  <si>
    <t>NM</t>
  </si>
  <si>
    <t/>
  </si>
  <si>
    <t>http://www.crmz.com/Directory/Industry203.htm</t>
  </si>
  <si>
    <t>Aryt Industries Ltd. (TASE:ARYT)</t>
  </si>
  <si>
    <t>Bet Shemesh Engines Holdings (1997) Ltd (TASE:BSEN)</t>
  </si>
  <si>
    <t xml:space="preserve">Ashot Ashkelon Industries Ltd. (TASE:ASHO) </t>
  </si>
  <si>
    <t>CI Systems Ltd. (TASE:CISY)</t>
  </si>
  <si>
    <t>Defense Industries International Inc. (OTCPK:DFNS)</t>
  </si>
  <si>
    <t xml:space="preserve">FMS Enterprises Migun Ltd. (TASE:FBRT) </t>
  </si>
  <si>
    <t>ITL Optronics Ltd. F</t>
  </si>
  <si>
    <t>Indian companies</t>
  </si>
  <si>
    <t>Astra Microwave Products Ltd. (BSE:532493)</t>
  </si>
  <si>
    <t>Sika Interplant Systems Ltd. (BSE:523606)</t>
  </si>
  <si>
    <t xml:space="preserve">Taneja Aerospace and Aviation Limited (BSE:522229) </t>
  </si>
  <si>
    <t>Zen Technologies Ltd. (BSE:533339)</t>
  </si>
  <si>
    <t>Aryt</t>
  </si>
  <si>
    <t>Industries</t>
  </si>
  <si>
    <t>Ltd.</t>
  </si>
  <si>
    <t>(TASE:ARYT)</t>
  </si>
  <si>
    <t>Bet</t>
  </si>
  <si>
    <t>Shemesh</t>
  </si>
  <si>
    <t>Engines</t>
  </si>
  <si>
    <t>Holdings</t>
  </si>
  <si>
    <t>Ltd</t>
  </si>
  <si>
    <t>(TASE:BSEN)</t>
  </si>
  <si>
    <t>Ashot</t>
  </si>
  <si>
    <t>Ashkelon</t>
  </si>
  <si>
    <t>(TASE:ASHO)</t>
  </si>
  <si>
    <t>CI</t>
  </si>
  <si>
    <t>Systems</t>
  </si>
  <si>
    <t>(TASE:CISY)</t>
  </si>
  <si>
    <t>Defense</t>
  </si>
  <si>
    <t>International</t>
  </si>
  <si>
    <t>Inc.</t>
  </si>
  <si>
    <t>(OTCPK:DFNS)</t>
  </si>
  <si>
    <t>FMS</t>
  </si>
  <si>
    <t>Enterprises</t>
  </si>
  <si>
    <t>Migun</t>
  </si>
  <si>
    <t>(TASE:FBRT)</t>
  </si>
  <si>
    <t>ITL</t>
  </si>
  <si>
    <t>Optronics</t>
  </si>
  <si>
    <t>F</t>
  </si>
  <si>
    <t>Indian</t>
  </si>
  <si>
    <t>companies</t>
  </si>
  <si>
    <t>Astra</t>
  </si>
  <si>
    <t>Microwave</t>
  </si>
  <si>
    <t>Products</t>
  </si>
  <si>
    <t>Sika</t>
  </si>
  <si>
    <t>Interplant</t>
  </si>
  <si>
    <t>(BSE:523606)</t>
  </si>
  <si>
    <t>Taneja</t>
  </si>
  <si>
    <t>Aerospace</t>
  </si>
  <si>
    <t>and</t>
  </si>
  <si>
    <t>Aviation</t>
  </si>
  <si>
    <t>Limited</t>
  </si>
  <si>
    <t>(BSE:522229)</t>
  </si>
  <si>
    <t>Zen</t>
  </si>
  <si>
    <t>Technologies</t>
  </si>
  <si>
    <t>(BSE:533339)</t>
  </si>
  <si>
    <t>(BSE:)</t>
  </si>
  <si>
    <t>IQ645738</t>
  </si>
  <si>
    <t>IQ5926945</t>
  </si>
  <si>
    <t>FY2012</t>
  </si>
  <si>
    <t>IQ3147799</t>
  </si>
  <si>
    <t>IQ3109273</t>
  </si>
  <si>
    <t>IQ11168741</t>
  </si>
  <si>
    <t>IQ20384840</t>
  </si>
  <si>
    <t>IQ919162</t>
  </si>
  <si>
    <t>not found</t>
  </si>
  <si>
    <t>Company Name</t>
  </si>
  <si>
    <t>Finacial Yr</t>
  </si>
  <si>
    <t>Filing date</t>
  </si>
  <si>
    <t>FY2008</t>
  </si>
  <si>
    <t>IQ_COMPANY_NAME</t>
  </si>
  <si>
    <t>Lockheed Martin Corporation</t>
  </si>
  <si>
    <t>The Boeing Company</t>
  </si>
  <si>
    <t>Raytheon Co.</t>
  </si>
  <si>
    <t>General Dynamics Corp.</t>
  </si>
  <si>
    <t>Bharat Electronics Limited</t>
  </si>
  <si>
    <t>Mahindra &amp; Mahindra Ltd.</t>
  </si>
  <si>
    <t>Godrej Industries Ltd.</t>
  </si>
  <si>
    <t>Tata Motors Limited</t>
  </si>
  <si>
    <t>Rolta India Limited</t>
  </si>
  <si>
    <t>Ashok Leyland Limited</t>
  </si>
  <si>
    <t>Astra Microwave Products Ltd.</t>
  </si>
  <si>
    <t>Zen Technologies Ltd.</t>
  </si>
  <si>
    <t>Sika Interplant Systems Ltd.</t>
  </si>
  <si>
    <t>Taneja Aerospace and Aviation Limited</t>
  </si>
  <si>
    <t>Elbit Systems Ltd.</t>
  </si>
  <si>
    <t>Ashot Ashkelon Industries Ltd.</t>
  </si>
  <si>
    <t>CI Systems Ltd.</t>
  </si>
  <si>
    <t>FMS Enterprises Migun Ltd.</t>
  </si>
  <si>
    <t>Bet Shemesh Engines Holdings (1997) Ltd</t>
  </si>
  <si>
    <t>Defense Industries International Inc.</t>
  </si>
  <si>
    <t>ITL Optronics Ltd.</t>
  </si>
  <si>
    <t>Spearman Corr</t>
  </si>
  <si>
    <t>Fin Year</t>
  </si>
  <si>
    <t>Filing Date</t>
  </si>
  <si>
    <t>iq_lastsaleprice</t>
  </si>
  <si>
    <t>IQT36183839 </t>
  </si>
  <si>
    <t>TATACHEM</t>
  </si>
  <si>
    <t>ALTI</t>
  </si>
  <si>
    <t>NVMI</t>
  </si>
  <si>
    <t>EZCH</t>
  </si>
  <si>
    <t>TSEM</t>
  </si>
  <si>
    <t xml:space="preserve"> ARSP.B1</t>
  </si>
  <si>
    <t>ICL</t>
  </si>
  <si>
    <t>ORTC</t>
  </si>
  <si>
    <t>v</t>
  </si>
  <si>
    <t>Tower Semiconductor Ltd.</t>
  </si>
  <si>
    <t>EZchip Semiconductor Ltd.</t>
  </si>
  <si>
    <t>Nova Measuring Instruments Ltd.</t>
  </si>
  <si>
    <t>Altair Nanotechnologies, Inc.</t>
  </si>
  <si>
    <t>(Invalid Identifier)</t>
  </si>
  <si>
    <t>(Invalid Date)</t>
  </si>
  <si>
    <t>(Invalid As Of Time Period)</t>
  </si>
  <si>
    <t>Moser-Baer India Ltd.</t>
  </si>
  <si>
    <t>MIRC Electronics Limited</t>
  </si>
  <si>
    <t>MIC Electronics Ltd.</t>
  </si>
  <si>
    <t>SPEL Semiconductor Limited</t>
  </si>
  <si>
    <t>MphasiS Limited</t>
  </si>
  <si>
    <t>Siemens Limited</t>
  </si>
  <si>
    <t>Zensar Technologies Limited</t>
  </si>
  <si>
    <t>JCT Electronics Limited</t>
  </si>
  <si>
    <t>ORT Technologies Ltd.</t>
  </si>
  <si>
    <t>Israel Chemicals Ltd.</t>
  </si>
  <si>
    <t>Israel Aerospace Industries Ltd.</t>
  </si>
  <si>
    <t>Suzlon Energy Limited</t>
  </si>
  <si>
    <t>Adani Power Limited</t>
  </si>
  <si>
    <t>The Tata Power Company Limited</t>
  </si>
  <si>
    <t>Reliance Power Limited</t>
  </si>
  <si>
    <t>NTPC Ltd.</t>
  </si>
  <si>
    <t>AwABTAVMT0NBTAFI/////wFQTwIAACRDSVEuNTAwNTcwLklRX0xBU1RTQUxFUFJJQ0UuOC85LzIwMTIBAAAAnFgNAAIAAAAGMjM5LjM1ANDdCvxz8tEIwD4e/HPy0QgKQ0lRLkVaQ0guLgUAAAABAAAACAAAABYoSW52YWxpZCBGb3JtdWxhIE5hbWUp0F3S+nPy0QjQXdL6c/LRCB1DSVEuTlZNSS5JUV9DT01NT05fUkVQLkZZMjAxMgEAAABQ5wEAAwAAAAAA8KvS+nPy0QhQxPX6c/LRCCZDSVEuNTAwNTcwLklRX0RJVklERU5EX1lJRUxELjExLzcvMjAxMgEAAACcWA0AAgAAAAYxLjQ4NTYA0N0K/HPy0QjAPh78c/LRCBpDSVEuRVpDSC5JUV9MQVNUU0FMRVBSSUNFLgEAAAC86AQAAgAAAAUxOS42MQDQXdL6c/LRCFA1+Ppz8tEII0NJUS41MDA1NzAuSVFfVE9UQUxfREVCVF9FQklUREEuNDk3AQAAAJxYDQACAAAACDEuNzA1NzQ4AQgAAAAFAAAAATEBAAAACjE2NTczNzg0NTADAAAAAjcyAgAAAAQ0MTkyBAAAAAEwBwAAAAoxMi8zMC8yMDE0CAAAAAoxMi8zMS8yMDEzCQAAAAEwANPS+nPy0QiwPfT6c/LRCCRDSVEuRVpDSC5JUV9UT1RBTF9ERUJUX0VCSVREQS5GWTIwMTMBAAAAvOgEAAMAAAAAAPCr0vpz8tEIQA74+nPy0QgfQ0lRLjUxNzE0MC5JUV9DT01NT05fUkVQLkZZMjAxMwEAAAC7eQoAAwAAAAAAwNz1uHPy0Qjgff24c/LRCCJDSVEuNTMzMjU3LklRX0ZJTElOR0RBVEVfQlMuRlkyMDEzAQAAAMLHwAQ</t>
  </si>
  <si>
    <t>FAAAACDkvNS8yMDE0ADBXatdz8tEI0L9w13Py0QglQ0lRLjUzMjY2Ny5JUV9ESVZJREVORF9ZSUVMRC45LzkvMjAxNAEAAAAeT7IAAwAAAAAA8PSLrXPy0QiA/f/6c/LRCCZDSVEuNTE3MTQwLklRX1RPVEFMX0RFQlRfRUJJVERBLkZZMjAxMwEAAAC7eQoAAwAAAAJOTQEIAAAABQAAAAExAQAAAAoxNjgyOTM5MDY5AwAAAAI3MgIAAAAENDE5MgQAAAABMAcAAAAKMTIvMzAvMjAxNAgAAAAKMTIvMzEvMjAxMwkAAAABMMDc9bhz8tEI8KT9uHPy0QgXQ0lRLjUwMDU3MC5JUV9DQVBFWC40ODYBAAAAnFgNAAMAAAAAAPCr0vpz8tEI0Pz2+nPy0QgmQ0lRLjUzMjkzOS5JUV9UT1RBTF9ERUJUX0VCSVREQS5GWTIwMTMBAAAAUH8lAgIAAAAJMTUuNjQ2ODUxAQgAAAAFAAAAATEBAAAACjE2OTc1MDI1MzIDAAAAAjcyAgAAAAQ0MTkyBAAAAAEwBwAAAAoxMi8zMC8yMDE0CAAAAAkzLzMxLzIwMTMJAAAAATDAxMWXc/LRCODnAPtz8tEIG0NJUS41MDA1NzAuSVFfVE9UQUxfUkVWLjQ5OQEAAACcWA0AAgAAAAg2NDE1MDcuNAEIAAAABQAAAAExAQAAAAoxNzAzNTgwNTAyAwAAAAI3MgIAAAACMjgEAAAAATAHAAAACjEyLzMwLzIwMTQIAAAACTYvMzAvMjAxNAkAAAABMADT0vpz8tEIoBb0+nPy0QgcQ0lRLjUwMDU3MC5JUV9DT01NT05fUkVQLjQ5NQEAAACcWA0AAwAAAAAAANPS+nPy0Qjw2fT6c/LRCBRDSVEuNTAwNTcwLk</t>
  </si>
  <si>
    <t>lRX05JLjQ5MQEAAACcWA0AAgAAAAcyMjQ0OS4xAQgAAAAFAAAAATEBAAAACjE1NTc4MTQ1MjcDAAAAAjcyAgAAAAIxNQQAAAABMAcAAAAKMTIvMzAvMjAxNAgAAAAJNi8zMC8yMDEyCQAAAAEw8KvS+nPy0QiAOfb6c/LRCB9DSVEuNTAwNTcwLklRX0NBUEVYX1BDVF9SRVYuNDg3AQAAAJxYDQADAAAAAADwq9L6c/LRCMDV9vpz8tEIHUNJUS5OVk1JLklRX0NPTU1PTl9SRVAuRlkyMDEzAQAAAFDnAQADAAAAAADwq9L6c/LRCGBc+Ppz8tEIG0NJUS5OVk1JLklRX0RJVklERU5EX1lJRUxELgEAAABQ5wEAAwAAAAAA4ITS+nPy0QjQP9f6c/LRCBtDSVEuNTAwNTcwLklRX1RPVEFMX1JFVi40ODkBAAAAnFgNAAIAAAAINDUxOTkyLjkBCAAAAAUAAAABMQEAAAAKMTUwNzUzNzYyNQMAAAACNzICAAAAAjI4BAAAAAEwBwAAAAoxMi8zMC8yMDE0CAAAAAoxMi8zMS8yMDExCQAAAAEw8KvS+nPy0Qiwrvb6c/LRCCNDSVEuNTAwNTcwLklRX1RPVEFMX0RFQlRfRUJJVERBLjQ4MgEAAACcWA0AAgAAAAgzLjgxMTg5OQEIAAAABQAAAAExAQAAAAoxNDYyNjg2NzQyAwAAAAI3MgIAAAAENDE5MgQAAAABMAcAAAAKMTIvMzAvMjAxNAgAAAAJMy8zMS8yMDEwCQAAAAEw8KvS+nPy0QgQmff6c/LRCBxDSVEuLklRX0FOTlVBTElaRURfRElWSURFTkQuBQAAAAEAAAAIAAAAFChJbnZhbGlkIElkZW50aWZpZXIpMHTl2nPy0QiA/f/6c</t>
  </si>
  <si>
    <t>/LRCB1DSVEuRVpDSC5JUV9DT01NT05fUkVQLkZZMjAxMwEAAAC86AQAAwAAAAAA8KvS+nPy0QhQNfj6c/LRCCNDSVEuNTAwNTcwLklRX1RFVl9FQklUREEuLjYvMjQvMjAxMwEAAACcWA0AAgAAAAg1LjI1MDE0MwEHAAAABQAAAAExAQAAAAoxNjI3NzI3ODAxAwAAAAEwAgAAAAYxMDAwMzAEAAAAATAHAAAACTYvMjQvMjAxMwgAAAAJNi8yNC8yMDEz0N0K/HPy0QiwFx78c/LRCCZDSVEuNTAwNTcwLklRX0xBU1RTQUxFUFJJQ0UuMTEvMjcvMjAwOQEAAACcWA0AAgAAAAoxMjUuODk5OTk5ANDdCvxz8tEIkMkd/HPy0QgiQ0lRLjUzMjkzOS5JUV9SRVRVUk5fRVFVSVRZLkZZMjAxMwEAAABQfyUCAgAAAAY1LjU5NTMBCAAAAAUAAAABMQEAAAAKMTY5NzUwMjUzMgMAAAACNzICAAAABDQxMjgEAAAAATAHAAAACjEyLzMwLzIwMTQIAAAACTMvMzEvMjAxMwkAAAABMMDExZdz8tEI0MAA+3Py0QgrQ0lRLjUwMDU3MC5JUV9BTk5VQUxJWkVEX0RJVklERU5ELjIvMTAvMjAxNAEAAACcWA0AAgAAAAEyANDdCvxz8tEI0GUe/HPy0QgjQ0lRLjUwMDU3MC5JUV9UT1RBTF9ERUJUX0VCSVREQS40OTYBAAAAnFgNAAIAAAAIMS45OTk5MzgBCAAAAAUAAAABMQEAAAAKMTY0Mzg3NjQ1MQMAAAACNzICAAAABDQxOTIEAAAAATAHAAAACjEyLzMwLzIwMTQIAAAACTkvMzAvMjAxMwkAAAABMADT0vpz8tEI0Iv0+nPy0QgmQ0lRLjUw</t>
  </si>
  <si>
    <t>MDQwMC5JUV9UT1RBTF9ERUJUX0VCSVREQS5GWTIwMTIBAAAAoVcNAAIAAAAINi42MDYzODUBCAAAAAUAAAABMQEAAAAKMTYyNjUwMjAzNgMAAAACNzICAAAABDQxOTIEAAAAATAHAAAACjEyLzMwLzIwMTQIAAAACTMvMzEvMjAxMgkAAAABMMDQmZ5z8tEIwJkA+3Py0QgnQ0lRLjUzMzI1Ny5JUV9UT1RBTF9ERUJUX0NBUElUQUwuRlkyMDEzAQAAAMLHwAQCAAAABjkwLjUxMgEIAAAABQAAAAExAQAAAAoxNjk3Nzc4ODIzAwAAAAI3MgIAAAAENDE4NgQAAAABMAcAAAAKMTIvMzAvMjAxNAgAAAAJMy8zMS8yMDEzCQAAAAEwMFdq13Py0Qjg5nDXc/LRCAxDSVEuLi5GWTIwMTMFAAAAAQAAAAgAAAAUKEludmFsaWQgSWRlbnRpZmllcinQXdL6c/LRCNBd0vpz8tEIH0NJUS41MDA1NzAuSVFfRklMSU5HREFURV9CUy40OTcBAAAAnFgNAAUAAAAJMi8xMC8yMDE0AADT0vpz8tEIsD30+nPy0QglQ0lRLjUzMjc3OC5JUV9ESVZJREVORF9ZSUVMRC45LzUvMjAxNAEAAAApxrUBAwAAAAAAgB2BtHPy0QhA8oK0c/LRCCZDSVEuNTMyNzc4LklRX1RPVEFMX0RFQlRfRUJJVERBLkZZMjAxMwEAAAApxrUBAgAAAAkxMi43MzMxODYBCAAAAAUAAAABMQEAAAAKMTY5NjU4MDg2MAMAAAACNzICAAAABDQxOTIEAAAAATAHAAAACjEyLzMwLzIwMTQIAAAACTMvMzEvMjAxMwkAAAABMPCU9LNz8tEIEDb8s3Py0QgXQ0lRLjUwMDU3MC5</t>
  </si>
  <si>
    <t>JUV9DQVBFWC40ODEBAAAAnFgNAAMAAAAAAPCr0vpz8tEIMOf3+nPy0QgnQ0lRLjUzMzA5Ni5JUV9UT1RBTF9ERUJUX0NBUElUQUwuRlkyMDEyAQAAAIMNOQICAAAABzg1LjM5NzYBCAAAAAUAAAABMQEAAAAKMTYyNjUwMzQ0NgMAAAACNzICAAAABDQxODYEAAAAATAHAAAACjEyLzMwLzIwMTQIAAAACTMvMzEvMjAxMgkAAAABMPAJ96Vz8tEIoEsA+3Py0QgcQ0lRLjUwMDU3MC5JUV9DT01NT05fUkVQLjQ5OQEAAACcWA0AAwAAAAAAANPS+nPy0QiQ7/P6c/LRCB9DSVEuNTAwNTcwLklRX1JFVFVSTl9FUVVJVFkuNDk3AQAAAJxYDQACAAAABzM0LjU4NjQBCAAAAAUAAAABMQEAAAAKMTY1NzM3ODQ1MAMAAAACNzICAAAABDQxMjgEAAAAATAHAAAACjEyLzMwLzIwMTQIAAAACjEyLzMxLzIwMTMJAAAAATAA09L6c/LRCMBk9Ppz8tEII0NJUS5BUlNQLkIxLklRX0ZJTElOR0RBVEVfQlMuRlkyMDEyAQAAAPvnGwAFAAAACTMvMjYvMjAxNAAA09L6c/LRCCBP9fpz8tEILUNJUS5JUV9ESVZJREVORF9ZSUVMRC5JUV9GSUxJTkdEQVRFX0JTLkZZMjAxMwUAAAAAAAAACAAAABQoSW52YWxpZCBJZGVudGlmaWVyKeCE0vpz8tEI4JT5+nPy0QgUQ0lRLjUwMDU3MC5JUV9OSS40ODQBAAAAnFgNAAIAAAAHMjIyMjkuOQEIAAAABQAAAAExAQAAAAoxNDA5OTAyMTkwAwAAAAI3MgIAAAACMTUEAAAAATAHAAAACjEyLzMwLzIwMT</t>
  </si>
  <si>
    <t>QIAAAACTkvMzAvMjAxMAkAAAABMPCr0vpz8tEI8Er3+nPy0QgfQ0lRLjUwMDU3MC5JUV9DQVBFWF9QQ1RfUkVWLjQ5MgEAAACcWA0AAwAAAAAAANPS+nPy0QgAAfX6c/LRCBxDSVEuNTAwNTcwLklRX0NPTU1PTl9SRVAuNDg5AQAAAJxYDQADAAAAAADwq9L6c/LRCLCu9vpz8tEIH0NJUS41MDA1NzAuSVFfQ0FQRVhfUENUX1JFVi40ODYBAAAAnFgNAAMAAAAAAPCr0vpz8tEI0Pz2+nPy0QgiQ0lRLjUzMjc3OC5JUV9BTk5VQUxJWkVEX0RJVklERU5ELgEAAAApxrUBAwAAAAAA8JT0s3Py0QggXfyzc/LRCCJDSVEuNTMyNzc4LklRX0ZJTElOR0RBVEVfQlMuRlkyMDEzAQAAACnGtQEFAAAACDkvNS8yMDE0APCU9LNz8tEIEDb8s3Py0QgbQ0lRLjUwMDU3MC5JUV9UT1RBTF9SRVYuNDg4AQAAAJxYDQACAAAACDM1OTM4NC43AQgAAAAFAAAAATEBAAAACjE0ODE4OTE1MDEDAAAAAjcyAgAAAAIyOAQAAAABMAcAAAAKMTIvMzAvMjAxNAgAAAAJOS8zMC8yMDExCQAAAAEw8KvS+nPy0QjA1fb6c/LRCCNDSVEuNTAwNTcwLklRX1RPVEFMX0RFQlRfRUJJVERBLjQ4MwEAAACcWA0AAgAAAAgyLjMwNjQ4MwEIAAAABQAAAAExAQAAAAoxMzkxNTY1MTkxAwAAAAI3MgIAAAAENDE5MgQAAAABMAcAAAAKMTIvMzAvMjAxNAgAAAAJNi8zMC8yMDEwCQAAAAEw8KvS+nPy0QgAcvf6c/LRCCBDSVEuVFNFTS5JUV9SRVRVUk5fRVFVS</t>
  </si>
  <si>
    <t>VRZLkZZMjAxMwEAAADfDQUAAgAAAAgtNTkuNjAwMwEIAAAABQAAAAExAQAAAAoxNjYxODEzMjM5AwAAAAMxNjACAAAABDQxMjgEAAAAATAHAAAACjEyLzMwLzIwMTQIAAAACjEyLzMxLzIwMTMJAAAAATDwq9L6c/LRCEAO+Ppz8tEIF0NJUS4uSVFfRElWSURFTkRfWUlFTEQuBQAAAAEAAAAIAAAAFChJbnZhbGlkIElkZW50aWZpZXIpMHTl2nPy0Qgg5dz6c/LRCB9DSVEuNTAwNTcwLklRX0ZJTElOR0RBVEVfQlMuNTAwAQAAAJxYDQAFAAAACjExLzE0LzIwMTQAANPS+nPy0QiAyPP6c/LRCBdDSVEuNTAwNTcwLklRX0NBUEVYLjQ5NAEAAACcWA0AAwAAAAAAANPS+nPy0Qjw2fT6c/LRCBxDSVEuTlZNSS5JUV9UT1RBTF9SRVYuRlkyMDEyAQAAAFDnAQACAAAABjk2LjE2OAEIAAAABQAAAAExAQAAAAoxNjYxMTA0MjUxAwAAAAMxNjACAAAAAjI4BAAAAAEwBwAAAAoxMi8zMC8yMDE0CAAAAAoxMi8zMS8yMDEyCQAAAAEw8KvS+nPy0QhwEvb6c/LRCCBDSVEuTlZNSS5JUV9BTk5VQUxJWkVEX0RJVklERU5ELgEAAABQ5wEAAwAAAAAA4ITS+nPy0Qhwg/j6c/LRCB5DSVEuNTE3MTQwLklRX1RPVEFMX1JFVi5GWTIwMTMBAAAAu3kKAAIAAAAMMTU4NDguODE1Mjg2AQgAAAAFAAAAATEBAAAACjE2ODI5MzkwNjkDAAAAAjcyAgAAAAIyOAQAAAABMAcAAAAKMTIvMzAvMjAxNAgAAAAKMTIvMzEvMjAxMwkAAAABMMDc9bhz</t>
  </si>
  <si>
    <t>8tEI4H39uHPy0QgfQ0lRLjUwMDU3MC5JUV9SRVRVUk5fRVFVSVRZLjQ5NgEAAACcWA0AAgAAAAczMC4zMzg4AQgAAAAFAAAAATEBAAAACjE2NDM4NzY0NTEDAAAAAjcyAgAAAAQ0MTI4BAAAAAEwBwAAAAoxMi8zMC8yMDE0CAAAAAk5LzMwLzIwMTMJAAAAATAA09L6c/LRCNCL9Ppz8tEIF0NJUS5SVE4uSVFfVEVWX0VCSVREQS4uAQAAAIycAQACAAAACTEwLjE5ODg5NgEHAAAABQAAAAExAQAAAAoxNzAyOTIyOTY0AwAAAAEwAgAAAAYxMDAwMzAEAAAAATAHAAAACjEyLzI5LzIwMTQIAAAACjEyLzI5LzIwMTTghNL6c/LRCNCS3vpz8tEIHENJUS41MDA1NzAuSVFfQ09NTU9OX1JFUC40OTMBAAAAnFgNAAMAAAAAAADT0vpz8tEIAAH1+nPy0QgGQ0lRLi4uBQAAAAEAAAAIAAAAFChJbnZhbGlkIElkZW50aWZpZXIp0F3S+nPy0QjQXdL6c/LRCBRDSVEuNTAwNTcwLklRX05JLjQ4NQEAAACcWA0AAgAAAAcyNDI0My44AQgAAAAFAAAAATEBAAAACjE0Mjg4MDI1MDQDAAAAAjcyAgAAAAIxNQQAAAABMAcAAAAKMTIvMzAvMjAxNAgAAAAKMTIvMzEvMjAxMAkAAAABMPCr0vpz8tEI8Er3+nPy0QglQ0lRLjUwMDU3MC5JUV9MQVNUU0FMRVBSSUNFLjIvMTAvMjAxNAEAAACcWA0AAgAAAAMzNjQA0N0K/HPy0QjQZR78c/LRCB5DSVEuNTMyNTU1LklRX1RPVEFMX1JFVi5GWTIwMTMBAAAArZmTAAIAAAAINzIwOTgwLjkBCAA</t>
  </si>
  <si>
    <t>AAAUAAAABMQEAAAAKMTY4ODkxNDY2NwMAAAACNzICAAAAAjI4BAAAAAEwBwAAAAoxMi8zMC8yMDE0CAAAAAkzLzMxLzIwMTMJAAAAATDA8/aRc/LRCAA2Aftz8tEIHENJUS41MDA1NzAuSVFfQ09NTU9OX1JFUC40ODgBAAAAnFgNAAMAAAAAAPCr0vpz8tEIwNX2+nPy0QgbQ0lRLkVaQ0guSVFfRElWSURFTkRfWUlFTEQuAQAAALzoBAADAAAAAADghNL6c/LRCOCE0vpz8tEIG0NJUS41MDA1NzAuSVFfVE9UQUxfUkVWLjQ4NwEAAACcWA0AAgAAAAgzMzM5MTcuOAEIAAAABQAAAAExAQAAAAoxNDY1ODMyNDgxAwAAAAI3MgIAAAACMjgEAAAAATAHAAAACjEyLzMwLzIwMTQIAAAACTYvMzAvMjAxMQkAAAABMPCr0vpz8tEI0Pz2+nPy0QgkQ0lRLjUwMDU3MC5JUV9MQVNUU0FMRVBSSUNFLjcvNi8yMDExAQAAAJxYDQACAAAACjIwNi41MTk5OTkA0N0K/HPy0Qig8B38c/LRCCNDSVEuNTAwNTcwLklRX1RPVEFMX0RFQlRfRUJJVERBLjQ4OAEAAACcWA0AAgAAAAgyLjc3MjQ4NAEIAAAABQAAAAExAQAAAAoxNDgxODkxNTAxAwAAAAI3MgIAAAAENDE5MgQAAAABMAcAAAAKMTIvMzAvMjAxNAgAAAAJOS8zMC8yMDExCQAAAAEw8KvS+nPy0Qiwrvb6c/LRCCZDSVEuNTAwNTcwLklRX0RJVklERU5EX1lJRUxELjYvMjQvMjAxMwEAAACcWA0AAgAAAAUwLjcwNQDQ3Qr8c/LRCLAXHvxz8tEIJ0NJUS41MzI2NjcuSVFfVE9UQU</t>
  </si>
  <si>
    <t>xfREVCVF9DQVBJVEFMLkZZMjAxMwEAAAAeT7IAAgAAAAY5My45MDQBCAAAAAUAAAABMQEAAAAKMTcwMDcwNTA1NQMAAAACNzICAAAABDQxODYEAAAAATAHAAAACjEyLzMwLzIwMTQIAAAACTMvMzEvMjAxMwkAAAABMDAOEK1z8tEIgP3/+nPy0QgrQ0lRLjUwMDU3MC5JUV9BTk5VQUxJWkVEX0RJVklERU5ELjIvMTEvMjAxMQEAAACcWA0AAgAAAAEzANDdCvxz8tEIoPAd/HPy0QgXQ0lRLjUwMDU3MC5JUV9DQVBFWC40ODABAAAAnFgNAAMAAAAAAPCr0vpz8tEIMOf3+nPy0QgfQ0lRLjUwMDU3MC5JUV9SRVRVUk5fRVFVSVRZLjQ5MQEAAACcWA0AAgAAAAcyNy4xNjkyAQgAAAAFAAAAATEBAAAACjE1NTc4MTQ1MjcDAAAAAjcyAgAAAAQ0MTI4BAAAAAEwBwAAAAoxMi8zMC8yMDE0CAAAAAk2LzMwLzIwMTIJAAAAATAA09L6c/LRCBAo9fpz8tEIHENJUS5OVk1JLklRX1RPVEFMX1JFVi5GWTIwMTMBAAAAUOcBAAIAAAAHMTExLjUwOQEIAAAABQAAAAExAQAAAAoxNjYxMTA0MzY0AwAAAAMxNjACAAAAAjI4BAAAAAEwBwAAAAoxMi8zMC8yMDE0CAAAAAoxMi8zMS8yMDEzCQAAAAEw8KvS+nPy0Qhwg/j6c/LRCBpDSVEuNTMyNTU1LklRX0NBUEVYLkZZMjAxMwEAAACtmZMAAgAAAAktMjA0MDU3LjQBCAAAAAUAAAABMQEAAAAKMTY4ODkxNDY2NwMAAAACNzICAAAABDIwMjEEAAAAATAHAAAACjEyLzMwLzIwMTQIAAAAC</t>
  </si>
  <si>
    <t>TMvMzEvMjAxMwkAAAABMMDz9pFz8tEIADYB+3Py0QgUQ0lRLjUwMDU3MC5JUV9OSS40ODIBAAAAnFgNAAIAAAAFMjIyNzgBCAAAAAUAAAABMQEAAAAKMTQ2MjY4Njc0MgMAAAACNzICAAAAAjE1BAAAAAEwBwAAAAoxMi8zMC8yMDE0CAAAAAkzLzMxLzIwMTAJAAAAATDwq9L6c/LRCBCZ9/pz8tEIH0NJUS41MDA1NzAuSVFfQ0FQRVhfUENUX1JFVi40OTQBAAAAnFgNAAMAAAAAAADT0vpz8tEI8Nn0+nPy0QgcQ0lRLi5JUV9SRVRVUk5fRVFVSVRZLkZZMjAxMwUAAAABAAAACAAAABQoSW52YWxpZCBJZGVudGlmaWVyKTB05dpz8tEIcNb/+nPy0QgbQ0lRLjUwMDU3MC5JUV9UT1RBTF9SRVYuNDgwAQAAAJxYDQACAAAACDIwODg5NC40AQgAAAAFAAAAATEBAAAACjEyNjU4ODA0NzEDAAAAAjcyAgAAAAIyOAQAAAABMAcAAAAKMTIvMzAvMjAxNAgAAAAJOS8zMC8yMDA5CQAAAAEw8KvS+nPy0Qgw5/f6c/LRCCBDSVEuUlROLklRX1RFVl9FQklUREEuLjIvMTEvMjAxNAEAAACMnAEAAgAAAAg5LjA3NDQwMQEHAAAABQAAAAExAQAAAAoxNjU3NjAzOTY0AwAAAAEwAgAAAAYxMDAwMzAEAAAAATAHAAAACTIvMTEvMjAxNAgAAAAJMi8xMS8yMDE04AQL/HPy0QiAoh38c/LRCBtDSVEuNTAwNTcwLklRX1RPVEFMX1JFVi40ODYBAAAAnFgNAAIAAAAGMzUxNzI4AQgAAAAFAAAAATEBAAAACjE1NTYyNDcxNTIDAAAAAjcyAgAA</t>
  </si>
  <si>
    <t>AAIyOAQAAAABMAcAAAAKMTIvMzAvMjAxNAgAAAAJMy8zMS8yMDExCQAAAAEw8KvS+nPy0QjgI/f6c/LRCCNDSVEuNTAwNTcwLklRX1RPVEFMX0RFQlRfRUJJVERBLjQ4OQEAAACcWA0AAgAAAAgxLjgzMTI4MwEIAAAABQAAAAExAQAAAAoxNTA3NTM3NjI1AwAAAAI3MgIAAAAENDE5MgQAAAABMAcAAAAKMTIvMzAvMjAxNAgAAAAKMTIvMzEvMjAxMQkAAAABMPCr0vpz8tEIsK72+nPy0QgrQ0lRLjUwMDU3MC5JUV9BTk5VQUxJWkVEX0RJVklERU5ELjgvMTAvMjAxMAEAAACcWA0AAgAAAAEzANDdCvxz8tEIoPAd/HPy0QgUQ0lRLklDTC5JUV9OSS5GWTIwMTMBAAAASXgNAAIAAAAHODE4LjU3MwEIAAAABQAAAAExAQAAAAoxNzAxMDQ2MzQwAwAAAAMxNjACAAAAAjE1BAAAAAEwBwAAAAoxMi8zMC8yMDE0CAAAAAoxMi8zMS8yMDEzCQAAAAEw8KvS+nPy0QgwOv/6c/LRCB9DSVEuNTAwNTcwLklRX1JFVFVSTl9FUVVJVFkuNDg0AQAAAJxYDQACAAAABTg0LjYzAQgAAAAFAAAAATEBAAAACjE0MDk5MDIxOTADAAAAAjcyAgAAAAQ0MTI4BAAAAAEwBwAAAAoxMi8zMC8yMDE0CAAAAAk5LzMwLzIwMTAJAAAAATDwq9L6c/LRCPBK9/pz8tEIHkNJUS41MzMyNTcuSVFfVE9UQUxfUkVWLkZZMjAxMwEAAADCx8AEAgAAAAc1MzEuMTU1AQgAAAAFAAAAATEBAAAACjE2OTc3Nzg4MjMDAAAAAjcyAgAAAAIyOAQAAAABMAcAAAA</t>
  </si>
  <si>
    <t>KMTIvMzAvMjAxNAgAAAAJMy8zMS8yMDEzCQAAAAEwMFdq13Py0QjQv3DXc/LRCCRDSVEuNTAwNTcwLklRX1RFVl9FQklUREEuLjExLzE0LzIwMTQBAAAAnFgNAAIAAAAINS4xMDkzNzcBBwAAAAUAAAABMQEAAAAKMTcwNjY3OTE1OAMAAAABMAIAAAAGMTAwMDMwBAAAAAEwBwAAAAoxMS8xNC8yMDE0CAAAAAoxMS8xNC8yMDE00N0K/HPy0QjgjB78c/LRCApDSVEuVFNFTS4uBQAAAAEAAAAIAAAAFihJbnZhbGlkIEZvcm11bGEgTmFtZSnQXdL6c/LRCNBd0vpz8tEII0NJUS41MzMwOTYuSVFfVEVWX0VCSVREQS4uNy8xNS8yMDEzAQAAAIMNOQICAAAACDQ3LjMwNzUyAQcAAAAFAAAAATEBAAAACjE2MjY1MjYwMjIDAAAAATACAAAABjEwMDAzMAQAAAABMAcAAAAJNy8xNS8yMDEzCAAAAAk3LzE1LzIwMTOAXXemc/LRCJAkAPtz8tEII0NJUS41MDA1NzAuSVFfVE9UQUxfREVCVF9FQklUREEuNDk5AQAAAJxYDQACAAAACDEuNjM3NDI4AQgAAAAFAAAAATEBAAAACjE3MDM1ODA1MDIDAAAAAjcyAgAAAAQ0MTkyBAAAAAEwBwAAAAoxMi8zMC8yMDE0CAAAAAk2LzMwLzIwMTQJAAAAATAA09L6c/LRCJDv8/pz8tEIFUNJUS5PUlRDLklRX05JLkZZMjAxMwEAAACXojQAAgAAAAYtMi42ODIBCAAAAAUAAAABMQEAAAAKMTY5MDc3MjAxMgMAAAACNzECAAAAAjE1BAAAAAEwBwAAAAoxMi8zMC8yMDE0CAAAAAoxMi8zMS8yMD</t>
  </si>
  <si>
    <t>EzCQAAAAEw8KvS+nPy0QjglPn6c/LRCB9DSVEuTE1ULklRX0ZJTElOR0RBVEVfQlMuRlkyMDEzAQAAAINcBAAFAAAACTIvMTQvMjAxNADwq9L6c/LRCDDn9/pz8tEIH0NJUS41MDA1NzAuSVFfRklMSU5HREFURV9CUy40ODUBAAAAnFgNAAUAAAAJMi8xMS8yMDExAPCr0vpz8tEI4CP3+nPy0QgcQ0lRLjUwMDU3MC5JUV9DT01NT05fUkVQLjQ4MAEAAACcWA0AAwAAAAAA8KvS+nPy0Qgw5/f6c/LRCBRDSVEuNTAwNTcwLklRX05JLjQ4MwEAAACcWA0AAgAAAAcxOTg4Ny4zAQgAAAAFAAAAATEBAAAACjEzOTE1NjUxOTEDAAAAAjcyAgAAAAIxNQQAAAABMAcAAAAKMTIvMzAvMjAxNAgAAAAJNi8zMC8yMDEwCQAAAAEw8KvS+nPy0QgAcvf6c/LRCCJDSVEuNTMzMjU3LklRX1JFVFVSTl9FUVVJVFkuRlkyMDEzAQAAAMLHwAQCAAAACC04MS4wOTE5AQgAAAAFAAAAATEBAAAACjE2OTc3Nzg4MjMDAAAAAjcyAgAAAAQ0MTI4BAAAAAEwBwAAAAoxMi8zMC8yMDE0CAAAAAkzLzMxLzIwMTMJAAAAATAwV2rXc/LRCNC/cNdz8tEIG0NJUS5JQ0wuSVFfVE9UQUxfUkVWLkZZMjAxMwEAAABJeA0AAgAAAAg2MjcxLjU0MgEIAAAABQAAAAExAQAAAAoxNzAxMDQ2MzQwAwAAAAMxNjACAAAAAjI4BAAAAAEwBwAAAAoxMi8zMC8yMDE0CAAAAAoxMi8zMS8yMDEzCQAAAAEw8KvS+nPy0QgwOv/6c/LRCCBDSVEuQUxUSS5JUV9DQVBFW</t>
  </si>
  <si>
    <t>F9QQ1RfUkVWLkZZMjAxMwEAAADXswUAAwAAAAAA8KvS+nPy0Qhwg/j6c/LRCCNDSVEuNTAwNTcwLklRX1RFVl9FQklUREEuLjgvMTEvMjAxMQEAAACcWA0AAgAAAAg0LjI1Njc4MgEHAAAABQAAAAExAQAAAAoxNDY1ODMyNzQ3AwAAAAEwAgAAAAYxMDAwMzAEAAAAATAHAAAACTgvMTEvMjAxMQgAAAAJOC8xMS8yMDEx0N0K/HPy0QiwFx78c/LRCBtDSVEuQUxUSS5JUV9ESVZJREVORF9ZSUVMRC4BAAAA17MFAAMAAAAAAOCE0vpz8tEIoB3e+nPy0QgcQ0lRLjUzMjkzOS5JUV9MQVNUU0FMRVBSSUNFLgEAAABQfyUCAgAAAAQ2MS40AMDExZdz8tEI4OcA+3Py0QgiQ0lRLjUzMjU1NS5JUV9BTk5VQUxJWkVEX0RJVklERU5ELgEAAACtmZMAAgAAAAQ1Ljc1AMDz9pFz8tEIADYB+3Py0QgiQ0lRLjUzMjY2Ny5JUV9GSUxJTkdEQVRFX0JTLkZZMjAxMwEAAAAeT7IABQAAAAg5LzkvMjAxNAAwDhCtc/LRCID9//pz8tEIHENJUS41MzMwOTYuSVFfTEFTVFNBTEVQUklDRS4BAAAAgw05AgIAAAAFNDQuMzUA8An3pXPy0QiwcgD7c/LRCBRDSVEuNTAwNTcwLklRX05JLjQ4OAEAAACcWA0AAgAAAAcxODc3My4zAQgAAAAFAAAAATEBAAAACjE0ODE4OTE1MDEDAAAAAjcyAgAAAAIxNQQAAAABMAcAAAAKMTIvMzAvMjAxNAgAAAAJOS8zMC8yMDExCQAAAAEw8KvS+nPy0QjA1fb6c/LRCCNDSVEuNTMzMjYzLklRX1RFVl9FQklU</t>
  </si>
  <si>
    <t>REEuLjcvMjIvMjAxNAEAAAB1dRkGAwAAAAAAUMVl0HPy0Qggo2zQc/LRCCNDSVEuNTMyNTU1LklRX1RFVl9FQklUREEuLjcvMzAvMjAxNAEAAACtmZMAAgAAAAg5LjM5MzY4NAEHAAAABQAAAAExAQAAAAoxNjg4OTIyNzc1AwAAAAEwAgAAAAYxMDAwMzAEAAAAATAHAAAACTcvMzAvMjAxNAgAAAAJNy8zMC8yMDE0EDp0knPy0QjwDgH7c/LRCCVDSVEuSVFfRElWSURFTkRfWUlFTEQuSVFfVEVWX0VCSVREQS4uBQAAAAAAAAAIAAAAFChJbnZhbGlkIElkZW50aWZpZXIp4ITS+nPy0QjghNL6c/LRCBxDSVEuNTAwNTcwLklRX0xBU1RTQUxFUFJJQ0UuAQAAAJxYDQACAAAABTQ5My45AOCE0vpz8tEI4ITS+nPy0QgcQ0lRLk9SVEMuSVFfVE9UQUxfUkVWLkZZMjAxMwEAAACXojQAAgAAAAcyNjcuMjM5AQgAAAAFAAAAATEBAAAACjE2OTA3NzIwMTIDAAAAAjcxAgAAAAIyOAQAAAABMAcAAAAKMTIvMzAvMjAxNAgAAAAKMTIvMzEvMjAxMwkAAAABMPCr0vpz8tEI4JT5+nPy0QgfQ0lRLklDTC5JUV9BTk5VQUxJWkVEX0RJVklERU5ELgEAAABJeA0AAgAAAAQwLjQ1AOCE0vpz8tEIMDr/+nPy0QgdQ0lRLkFSU1AuQjEuSVFfTEFTVFNBTEVQUklDRS4BAAAA++cbAAMAAAAAANBd0vpz8tEIYOv1+nPy0QgnQ0lRLjUwMDQwMC5JUV9UT1RBTF9ERUJUX0NBUElUQUwuRlkyMDEyAQAAAKFXDQACAAAABzcyLjU4MTkBCAAAAAU</t>
  </si>
  <si>
    <t>AAAABMQEAAAAKMTYyNjUwMjAzNgMAAAACNzICAAAABDQxODYEAAAAATAHAAAACjEyLzMwLzIwMTQIAAAACTMvMzEvMjAxMgkAAAABMMDQmZ5z8tEI0MAA+3Py0QgaQ0lRLklDTC5JUV9ESVZJREVORF9ZSUVMRC4BAAAASXgNAAIAAAAGMS42MDE0AOCE0vpz8tEIkBTZ+nPy0QgmQ0lRLjUwMDU3MC5JUV9ESVZJREVORF9ZSUVMRC44LzExLzIwMTEBAAAAnFgNAAIAAAAGMi4zNjUxANDdCvxz8tEIsBce/HPy0QgiQ0lRLjUwMDU3MC5JUV9BTk5VQUxJWkVEX0RJVklERU5ELgEAAACcWA0AAgAAAAEyAOCE0vpz8tEI4ITS+nPy0QgMQ0lRLjUzMjU1NS4uBQAAAAEAAAAIAAAAFihJbnZhbGlkIEZvcm11bGEgTmFtZSnQXdL6c/LRCNBd0vpz8tEIIkNJUS41MDA1NzAuSVFfRklMSU5HREFURV9CUy5GWTIwMTMBAAAAnFgNAAUAAAAKMTAvMjMvMjAxNADwq9L6c/LRCHCD+Ppz8tEICkNJUS5JQ0wuLi4FAAAAAQAAAAgAAAAWKEludmFsaWQgRm9ybXVsYSBOYW1lKdBd0vpz8tEI0F3S+nPy0QgfQ0lRLjUwMDU3MC5JUV9DQVBFWF9QQ1RfUkVWLjUwMAEAAACcWA0AAwAAAAAAANPS+nPy0QiAyPP6c/LRCBpDSVEuNTMyOTM5LklRX0NBUEVYLkZZMjAxMwEAAABQfyUCAgAAAAgtODkxMzAuMwEIAAAABQAAAAExAQAAAAoxNjk3NTAyNTMyAwAAAAI3MgIAAAAEMjAyMQQAAAABMAcAAAAKMTIvMzAvMjAxNAgAAAAJMy8zMS8yMD</t>
  </si>
  <si>
    <t>EzCQAAAAEwwMTFl3Py0QjwDgH7c/LRCCRDSVEuNTAwNTcwLklRX1RPVEFMX0RFQlRfQ0FQSVRBTC40OTABAAAAnFgNAAIAAAAHNTkuNDU2NQEIAAAABQAAAAExAQAAAAoxNjI3NzI4MzIzAwAAAAI3MgIAAAAENDE4NgQAAAABMAcAAAAKMTIvMzAvMjAxNAgAAAAJMy8zMS8yMDEyCQAAAAEw8KvS+nPy0Qigh/b6c/LRCBJDSVEuNTMyNjY3Li5GWTIwMTMFAAAAAQAAAAgAAAAWKEludmFsaWQgRm9ybXVsYSBOYW1lKdBd0vpz8tEI0F3S+nPy0QgfQ0lRLjUwMDU3MC5JUV9GSUxJTkdEQVRFX0JTLjQ4MwEAAACcWA0ABQAAAAk4LzEwLzIwMTAA8KvS+nPy0QgAcvf6c/LRCCdDSVEuNTMyOTM5LklRX1RPVEFMX0RFQlRfQ0FQSVRBTC5GWTIwMTMBAAAAUH8lAgIAAAAHNTkuNjU5OAEIAAAABQAAAAExAQAAAAoxNjk3NTAyNTMyAwAAAAI3MgIAAAAENDE4NgQAAAABMAcAAAAKMTIvMzAvMjAxNAgAAAAJMy8zMS8yMDEzCQAAAAEwwMTFl3Py0Qjg5wD7c/LRCCZDSVEuNTAwNTcwLklRX0xBU1RTQUxFUFJJQ0UuMTEvMTQvMjAxNAEAAACcWA0AAgAAAAU1MjMuOADQ3Qr8c/LRCOCMHvxz8tEIGkNJUS41MzMyNTcuSVFfQ0FQRVguRlkyMDEzAQAAAMLHwAQCAAAACC03ODcuNDk4AQgAAAAFAAAAATEBAAAACjE2OTc3Nzg4MjMDAAAAAjcyAgAAAAQyMDIxBAAAAAEwBwAAAAoxMi8zMC8yMDE0CAAAAAkzLzMxLzIwMTMJAAAAA</t>
  </si>
  <si>
    <t>TAwV2rXc/LRCNC/cNdz8tEIDUNJUS41MzMwOTYuLi4FAAAAAQAAAAgAAAAWKEludmFsaWQgRm9ybXVsYSBOYW1lKdBd0vpz8tEI0F3S+nPy0QgjQ0lRLkFSU1AuQjEuSVFfQU5OVUFMSVpFRF9ESVZJREVORC4BAAAA++cbAAMAAAAAAOCE0vpz8tEIYOv1+nPy0QgcQ0lRLjUwMDU3MC5JUV9DT01NT05fUkVQLjQ4MQEAAACcWA0AAwAAAAAA8KvS+nPy0QggwPf6c/LRCBdDSVEuNTE3MTQwLklRX05JLkZZMjAxMwEAAAC7eQoAAgAAAAwtOTI3NC4xODk4OTIBCAAAAAUAAAABMQEAAAAKMTY4MjkzOTA2OQMAAAACNzICAAAAAjE1BAAAAAEwBwAAAAoxMi8zMC8yMDE0CAAAAAoxMi8zMS8yMDEzCQAAAAEwwNz1uHPy0Qjgff24c/LRCBRDSVEuNTAwNTcwLklRX05JLjQ4OQEAAACcWA0AAgAAAAczNDA1NS41AQgAAAAFAAAAATEBAAAACjE1MDc1Mzc2MjUDAAAAAjcyAgAAAAIxNQQAAAABMAcAAAAKMTIvMzAvMjAxNAgAAAAKMTIvMzEvMjAxMQkAAAABMPCr0vpz8tEIsK72+nPy0QgLQ0lRLk9SVEMuLi4FAAAAAQAAAAgAAAAWKEludmFsaWQgRm9ybXVsYSBOYW1lKdBd0vpz8tEI0F3S+nPy0QgrQ0lRLjUwMDU3MC5JUV9BTk5VQUxJWkVEX0RJVklERU5ELjYvMjEvMjAxMgEAAACcWA0AAgAAAAE0ANDdCvxz8tEIoPAd/HPy0QgcQ0lRLkVaQ0guSVFfVE9UQUxfUkVWLkZZMjAxMwEAAAC86AQAAgAAAAU3MC44NQEIAAAA</t>
  </si>
  <si>
    <t>BQAAAAExAQAAAAoxNjY1ODA0OTY4AwAAAAMxNjACAAAAAjI4BAAAAAEwBwAAAAoxMi8zMC8yMDE0CAAAAAoxMi8zMS8yMDEzCQAAAAEw8KvS+nPy0QhQNfj6c/LRCBRDSVEuNTAwNTcwLklRX05JLjQ5OQEAAACcWA0AAgAAAAc1Mzk4Mi4xAQgAAAAFAAAAATEBAAAACjE3MDM1ODA1MDIDAAAAAjcyAgAAAAIxNQQAAAABMAcAAAAKMTIvMzAvMjAxNAgAAAAJNi8zMC8yMDE0CQAAAAEwANPS+nPy0QiQ7/P6c/LRCCBDSVEuRVpDSC5JUV9BTk5VQUxJWkVEX0RJVklERU5ELgEAAAC86AQAAwAAAAAA4ITS+nPy0QhQNfj6c/LRCCNDSVEuNTAwNTcwLklRX1RPVEFMX0RFQlRfRUJJVERBLjQ5MAEAAACcWA0AAgAAAAgyLjAwMTYzMwEIAAAABQAAAAExAQAAAAoxNjI3NzI4MzIzAwAAAAI3MgIAAAAENDE5MgQAAAABMAcAAAAKMTIvMzAvMjAxNAgAAAAJMy8zMS8yMDEyCQAAAAEw8KvS+nPy0Qigh/b6c/LRCCNDSVEuNTAwNTcwLklRX1RFVl9FQklUREEuLjExLzcvMjAxMgEAAACcWA0AAgAAAAg0LjY1MTA4OAEHAAAABQAAAAExAQAAAAoxNTc1MDYyNzE2AwAAAAEwAgAAAAYxMDAwMzAEAAAAATAHAAAACTExLzcvMjAxMggAAAAJMTEvNy8yMDEy0N0K/HPy0QjAPh78c/LRCA1DSVEuNTMyOTM5Li4uBQAAAAEAAAAIAAAAFihJbnZhbGlkIEZvcm11bGEgTmFtZSnQXdL6c/LRCNBd0vpz8tEIHkNJUS41MTQxNjIuSVFfVE9</t>
  </si>
  <si>
    <t>UQUxfUkVWLkZZMjAxMwEAAACsdowAAgAAAAgzNjQ4MS4xMgEIAAAABQAAAAExAQAAAAoxNjk0MDI2Mzc5AwAAAAI3MgIAAAACMjgEAAAAATAHAAAACjEyLzMwLzIwMTQIAAAACTMvMzEvMjAxMwkAAAABMDC0F8Nz8tEI4EMew3Py0QgVQ0lRLkVaQ0guSVFfTkkuRlkyMDEzAQAAALzoBAACAAAABjIxLjY5OAEIAAAABQAAAAExAQAAAAoxNjY1ODA0OTY4AwAAAAMxNjACAAAAAjE1BAAAAAEwBwAAAAoxMi8zMC8yMDE0CAAAAAoxMi8zMS8yMDEzCQAAAAEw8KvS+nPy0QhQNfj6c/LRCBxDSVEuNTAwNTcwLklRX0NPTU1PTl9SRVAuNDk0AQAAAJxYDQADAAAAAAAA09L6c/LRCPDZ9Ppz8tEIHENJUS5UU0VNLklRX1RPVEFMX1JFVi5GWTIwMTMBAAAA3w0FAAIAAAAHNTA1LjAwOQEIAAAABQAAAAExAQAAAAoxNjYxODEzMjM5AwAAAAMxNjACAAAAAjI4BAAAAAEwBwAAAAoxMi8zMC8yMDE0CAAAAAoxMi8zMS8yMDEzCQAAAAEw8KvS+nPy0QhADvj6c/LRCBpDSVEuNTAwNDAwLklRX0NPTVBBTllfTkFNRQEAAAChVw0AAwAAAB5UaGUgVGF0YSBQb3dlciBDb21wYW55IExpbWl0ZWQAwNCZnnPy0QggOWT3c/LRCCpDSVEuSVFUMzYxODM4MzkuSVFfTEFTVFNBTEVQUklDRS4yLzE0LzIwMTQBAAAAHR8oAgIAAAAEMi43NQDQ3Qr8c/LRCJDJHfxz8tEIG0NJUS5PUlRDLklRX0RJVklERU5EX1lJRUxELgEAAACXojQAAwAAAA</t>
  </si>
  <si>
    <t>AA4ITS+nPy0QjghNL6c/LRCB9DSVEuNTAwNTcwLklRX0NBUEVYX1BDVF9SRVYuNDgzAQAAAJxYDQADAAAAAADwq9L6c/LRCABy9/pz8tEIFENJUS41MDA1NzAuSVFfTkkuNDk4AQAAAJxYDQACAAAABzM5MTgyLjkBCAAAAAUAAAABMQEAAAAKMTcwNDU1OTY0MQMAAAACNzICAAAAAjE1BAAAAAEwBwAAAAoxMi8zMC8yMDE0CAAAAAkzLzMxLzIwMTQJAAAAATAA09L6c/LRCKAW9Ppz8tEIF0NJUS41MTQxNjIuSVFfTkkuRlkyMDEzAQAAAKx2jAACAAAABzIyNDguMjMBCAAAAAUAAAABMQEAAAAKMTY5NDAyNjM3OQMAAAACNzICAAAAAjE1BAAAAAEwBwAAAAoxMi8zMC8yMDE0CAAAAAkzLzMxLzIwMTMJAAAAATAwtBfDc/LRCOBDHsNz8tEIHUNJUS41MzMyNTcuSVFfRElWSURFTkRfWUlFTEQuAQAAAMLHwAQDAAAAAAAgMGrXc/LRCCAwatdz8tEIIENJUS5PUlRDLklRX1JFVFVSTl9FUVVJVFkuRlkyMDEzAQAAAJeiNAACAAAABi0wLjAwNwEIAAAABQAAAAExAQAAAAoxNjkwNzcyMDEyAwAAAAI3MQIAAAAENDEyOAQAAAABMAcAAAAKMTIvMzAvMjAxNAgAAAAKMTIvMzEvMjAxMwkAAAABMPCr0vpz8tEI4JT5+nPy0QgcQ0lRLjUwMDU3MC5JUV9DT01NT05fUkVQLjQ5OAEAAACcWA0AAwAAAAAAANPS+nPy0QigFvT6c/LRCB9DSVEuQkEuSVFfVEVWX0VCSVREQS4uMi8xNC8yMDE0AQAAAKmoBQACAAAACTExLjE3MzA5N</t>
  </si>
  <si>
    <t>AEHAAAABQAAAAExAQAAAAoxNjU4MzQ0NDE4AwAAAAEwAgAAAAYxMDAwMzAEAAAAATAHAAAACTIvMTQvMjAxNAgAAAAJMi8xNC8yMDE04AQL/HPy0QiAoh38c/LRCDVDSVEuSVFUMzYxODM4MzkuSVFfTEFTVFNBTEVQUklDRS4oSU5WQUxJRCBJREVOVElGSUVSKQUAAAABAAAACAAAAA4oSW52YWxpZCBEYXRlKdBd0vpz8tEIQGH/+nPy0QgiQ0lRLjUzMzA5Ni5JUV9GSUxJTkdEQVRFX0JTLkZZMjAxMgEAAACDDTkCBQAAAAk3LzE1LzIwMTMA8An3pXPy0QiQJAD7c/LRCCJDSVEuNTMzMDk2LklRX0FOTlVBTElaRURfRElWSURFTkQuAQAAAIMNOQIDAAAAAADwCfelc/LRCKBLAPtz8tEIHENJUS5BTFRJLklRX1RPVEFMX1JFVi5GWTIwMTMBAAAA17MFAAMAAAAAAPCr0vpz8tEI4JT5+nPy0QgjQ0lRLklDTC5JUV9ESVZJREVORF9ZSUVMRC45LzI0LzIwMTQBAAAASXgNAAIAAAAGMS42MTkyANDdCvxz8tEIcHsd/HPy0QgjQ0lRLjUwMDU3MC5JUV9UT1RBTF9ERUJUX0VCSVREQS40OTIBAAAAnFgNAAIAAAAHMi4yNzk3NwEIAAAABQAAAAExAQAAAAoxNTc1MDQ4MTYxAwAAAAI3MgIAAAAENDE5MgQAAAABMAcAAAAKMTIvMzAvMjAxNAgAAAAJOS8zMC8yMDEyCQAAAAEwANPS+nPy0QgQKPX6c/LRCCRDSVEuNTAwNTcwLklRX1RPVEFMX0RFQlRfQ0FQSVRBTC40OTEBAAAAnFgNAAIAAAAHNTkuMTI4NgEIAAAABQAAAAEx</t>
  </si>
  <si>
    <t>AQAAAAoxNTU3ODE0NTI3AwAAAAI3MgIAAAAENDE4NgQAAAABMAcAAAAKMTIvMzAvMjAxNAgAAAAJNi8zMC8yMDEyCQAAAAEwANPS+nPy0QggT/X6c/LRCBhDSVEuTlZNSS5JUV9DQVBFWC5GWTIwMTMBAAAAUOcBAAIAAAAGLTQuMTE5AQgAAAAFAAAAATEBAAAACjE2NjExMDQzNjQDAAAAAzE2MAIAAAAEMjAyMQQAAAABMAcAAAAKMTIvMzAvMjAxNAgAAAAKMTIvMzEvMjAxMwkAAAABMPCr0vpz8tEIcIP4+nPy0QgfQ0lRLjUwMDU3MC5JUV9GSUxJTkdEQVRFX0JTLjQ4OQEAAACcWA0ABQAAAAkyLzE0LzIwMTIA8KvS+nPy0Qigh/b6c/LRCBdDSVEuNTAwNTcwLklRX0NBUEVYLjQ4NQEAAACcWA0AAwAAAAAA8KvS+nPy0QjwSvf6c/LRCB9DSVEuNTAwNTcwLklRX1JFVFVSTl9FUVVJVFkuNDkwAQAAAJxYDQACAAAABjg4LjY0MgEIAAAABQAAAAExAQAAAAoxNjI3NzI4MzIzAwAAAAI3MgIAAAAENDEyOAQAAAABMAcAAAAKMTIvMzAvMjAxNAgAAAAJMy8zMS8yMDEyCQAAAAEw8KvS+nPy0Qigh/b6c/LRCBdDSVEuNTMyNzc4LklRX05JLkZZMjAxMwEAAAApxrUBAgAAAAYtMTA3MzMBCAAAAAUAAAABMQEAAAAKMTY5NjU4MDg2MAMAAAACNzICAAAAAjE1BAAAAAEwBwAAAAoxMi8zMC8yMDE0CAAAAAkzLzMxLzIwMTMJAAAAATDwlPSzc/LRCBA2/LNz8tEIH0NJUS41MDA1NzAuSVFfRklMSU5HREFURV9CUy40OTkBAAA</t>
  </si>
  <si>
    <t>AnFgNAAUAAAAKMTAvMjMvMjAxNAAA09L6c/LRCJDv8/pz8tEIC0NJUS5UU0VNLi4uBQAAAAEAAAAIAAAAFihJbnZhbGlkIEZvcm11bGEgTmFtZSnQXdL6c/LRCNBd0vpz8tEIJUNJUS41MDA1NzAuSVFfTEFTVFNBTEVQUklDRS4xMS83LzIwMTIBAAAAnFgNAAIAAAAGMjY5LjI1ANDdCvxz8tEIwD4e/HPy0QgUQ0lRLjUwMDU3MC5JUV9OSS40OTQBAAAAnFgNAAIAAAAHMzk0NTQuNwEIAAAABQAAAAExAQAAAAoxNzA0NTU5NjY3AwAAAAI3MgIAAAACMTUEAAAAATAHAAAACjEyLzMwLzIwMTQIAAAACTMvMzEvMjAxMwkAAAABMADT0vpz8tEI8Nn0+nPy0QgjQ0lRLjUwMDU3MC5JUV9URVZfRUJJVERBLi4yLzI2LzIwMTABAAAAnFgNAAIAAAAJMjEuMjQxNzM3AQcAAAAFAAAAATEBAAAACjEzMzAxNzAwMTcDAAAAATACAAAABjEwMDAzMAQAAAABMAcAAAAJMi8yNi8yMDEwCAAAAAkyLzI2LzIwMTDgBAv8c/LRCJDJHfxz8tEIH0NJUS41MDA1NzAuSVFfQ0FQRVhfUENUX1JFVi40ODIBAAAAnFgNAAMAAAAAAPCr0vpz8tEIEJn3+nPy0QgfQ0lRLjUzMjU1NS5JUV9DT01NT05fUkVQLkZZMjAxMwEAAACtmZMAAwAAAAAAwPP2kXPy0QjwDgH7c/LRCCpDSVEuNTAwNTcwLklRX0FOTlVBTElaRURfRElWSURFTkQuOC85LzIwMTIBAAAAnFgNAAIAAAABNADQ3Qr8c/LRCMA+Hvxz8tEIJENJUS41MDA1NzAuSVFfVE9UQUxfRE</t>
  </si>
  <si>
    <t>VCVF9DQVBJVEFMLjQ4NAEAAACcWA0AAgAAAAc3NC4yMjA0AQgAAAAFAAAAATEBAAAACjE0MDk5MDIxOTADAAAAAjcyAgAAAAQ0MTg2BAAAAAEwBwAAAAoxMi8zMC8yMDE0CAAAAAk5LzMwLzIwMTAJAAAAATDwq9L6c/LRCPBK9/pz8tEIJUNJUS41MzMyNTcuSVFfRElWSURFTkRfWUlFTEQuOS81LzIwMTQBAAAAwsfABAMAAAAAAJDE59dz8tEIsGXv13Py0QgiQ0lRLjUzMzI1Ny5JUV9URVZfRUJJVERBLi45LzUvMjAxNAEAAADCx8AEAwAAAAJOTQEHAAAABQAAAAExAQAAAAoxNjkzNzE0NjgxAwAAAAEwAgAAAAYxMDAwMzAEAAAAATAHAAAACDkvNS8yMDE0CAAAAAg5LzUvMjAxNJDE59dz8tEIsGXv13Py0QgVQ0lRLkFMVEkuSVFfTkkuRlkyMDEzAQAAANezBQADAAAAAADwq9L6c/LRCHCD+Ppz8tEIHENJUS41MDA1NzAuSVFfQ09NTU9OX1JFUC40OTIBAAAAnFgNAAMAAAAAAADT0vpz8tEIECj1+nPy0QgqQ0lRLklRVDM2MTgzODM5LklRX0xBU1RTQUxFUFJJQ0UuOS8yNC8yMDE0AQAAAB0fKAICAAAABDIuNTcA0N0K/HPy0Qhwex38c/LRCBpDSVEuNTMzMDk2LklRX0NPTVBBTllfTkFNRQEAAACDDTkCAwAAABNBZGFuaSBQb3dlciBMaW1pdGVkAPAJ96Vz8tEIMGBk93Py0QgnQ0lRLjUwMDU3MC5JUV9ESVZJREVORF9ZSUVMRC4xMC8yMy8yMDE0AQAAAJxYDQACAAAABjAuMzg2OADQ3Qr8c/LRCOCMHvxz8tEIF</t>
  </si>
  <si>
    <t>0NJUS41MDA1NzAuSVFfQ0FQRVguNDg0AQAAAJxYDQADAAAAAADwq9L6c/LRCABy9/pz8tEIOUNJUS5JUV9ESVZJREVORF9ZSUVMRC5JUV9URVZfRUJJVERBLi4oSU5WQUxJRCBJREVOVElGSUVSKQUAAAABAAAACAAAABsoSW52YWxpZCBBcyBPZiBUaW1lIFBlcmlvZCnQ3Qr8c/LRCICiHfxz8tEIFENJUS41MDA1NzAuSVFfTkkuNDkwAQAAAJxYDQACAAAABTYyMzQwAQgAAAAFAAAAATEBAAAACjE2Mjc3MjgzMjMDAAAAAjcyAgAAAAIxNQQAAAABMAcAAAAKMTIvMzAvMjAxNAgAAAAJMy8zMS8yMDEyCQAAAAEw8KvS+nPy0Qigh/b6c/LRCB9DSVEuNTMzMjYzLklRX0NPTU1PTl9SRVAuRlkyMDEzAQAAAHV1GQYDAAAAAAAgzejPc/LRCNBc789z8tEIH0NJUS41MDA1NzAuSVFfRklMSU5HREFURV9CUy40OTgBAAAAnFgNAAUAAAAKMTAvMjMvMjAxNAAA09L6c/LRCKAW9Ppz8tEIJkNJUS41MDA1NzAuSVFfRElWSURFTkRfWUlFTEQuMi8yNi8yMDEwAQAAAJxYDQACAAAABjAuODQzOADQ3Qr8c/LRCJDJHfxz8tEIJUNJUS41MTcxNDAuSVFfRElWSURFTkRfWUlFTEQuNi85LzIwMTQBAAAAu3kKAAMAAAAAAPBFdblz8tEIUIN9uXPy0QgiQ0lRLjUzMjY2Ny5JUV9SRVRVUk5fRVFVSVRZLkZZMjAxMwEAAAAeT7IAAgAAAAktMTUwLjkzMzkBCAAAAAUAAAABMQEAAAAKMTcwMDcwNTA1NQMAAAACNzICAAAABDQxMjgEAAAA</t>
  </si>
  <si>
    <t>ATAHAAAACjEyLzMwLzIwMTQIAAAACTMvMzEvMjAxMwkAAAABMDAOEK1z8tEIkCQA+3Py0QgjQ0lRLjUwMDU3MC5JUV9UT1RBTF9ERUJUX0VCSVREQS40ODQBAAAAnFgNAAIAAAAHMi4zNTc1NAEIAAAABQAAAAExAQAAAAoxNDA5OTAyMTkwAwAAAAI3MgIAAAAENDE5MgQAAAABMAcAAAAKMTIvMzAvMjAxNAgAAAAJOS8zMC8yMDEwCQAAAAEw8KvS+nPy0QjwSvf6c/LRCCdDSVEuNTAwNTcwLklRX0RJVklERU5EX1lJRUxELjExLzE0LzIwMTEBAAAAnFgNAAIAAAAGMi4yNDg0ANDdCvxz8tEIsBce/HPy0QgmQ0lRLjUzMzI2My5JUV9UT1RBTF9ERUJUX0VCSVREQS5GWTIwMTMBAAAAdXUZBgIAAAAJMTAuMDk1MjQyAQgAAAAFAAAAATEBAAAACjE2ODc4NDg3MDkDAAAAAjcyAgAAAAQ0MTkyBAAAAAEwBwAAAAoxMi8zMC8yMDE0CAAAAAkzLzMxLzIwMTMJAAAAATAgzejPc/LRCMA1789z8tEIH0NJUS41MDA1NzAuSVFfQ0FQRVhfUENUX1JFVi40ODgBAAAAnFgNAAMAAAAAAPCr0vpz8tEIsK72+nPy0QgeQ0lRLjUzMjY2Ny5JUV9UT1RBTF9SRVYuRlkyMDEzAQAAAB5PsgACAAAACDE4NjE0Ny41AQgAAAAFAAAAATEBAAAACjE3MDA3MDUwNTUDAAAAAjcyAgAAAAIyOAQAAAABMAcAAAAKMTIvMzAvMjAxNAgAAAAJMy8zMS8yMDEzCQAAAAEwIOcPrXPy0QigSwD7c/LRCCRDSVEuNTAwNTcwLklRX1RPVEFMX0RFQlRfQ0F</t>
  </si>
  <si>
    <t>QSVRBTC40ODUBAAAAnFgNAAIAAAAHNzQuMjIwNAEIAAAABQAAAAExAQAAAAoxNDI4ODAyNTA0AwAAAAI3MgIAAAAENDE4NgQAAAABMAcAAAAKMTIvMzAvMjAxNAgAAAAKMTIvMzEvMjAxMAkAAAABMPCr0vpz8tEI4CP3+nPy0QgiQ0lRLjUzMjY2Ny5JUV9URVZfRUJJVERBLi45LzkvMjAxNAEAAAAeT7IAAgAAAAkzNy43NDg0ODEBBwAAAAUAAAABMQEAAAAKMTY4ODUzMDM0MwMAAAABMAIAAAAGMTAwMDMwBAAAAAEwBwAAAAg5LzkvMjAxNAgAAAAIOS85LzIwMTTw9Iutc/LRCID9//pz8tEIEENJUS5UU0VNLi5GWTIwMTMFAAAAAQAAAAgAAAAWKEludmFsaWQgRm9ybXVsYSBOYW1lKdBd0vpz8tEI0F3S+nPy0QgfQ0lRLjUwMDU3MC5JUV9GSUxJTkdEQVRFX0JTLjQ5MQEAAACcWA0ABQAAAAg4LzkvMjAxMgAA09L6c/LRCBAo9fpz8tEIJENJUS5JQ0wuSVFfVE9UQUxfREVCVF9DQVBJVEFMLkZZMjAxMwEAAABJeA0AAgAAAAczNS42NDE4AQgAAAAFAAAAATEBAAAACjE3MDEwNDYzNDADAAAAAzE2MAIAAAAENDE4NgQAAAABMAcAAAAKMTIvMzAvMjAxNAgAAAAKMTIvMzEvMjAxMwkAAAABMPCr0vpz8tEIMDr/+nPy0QgfQ0lRLjUwMDU3MC5JUV9SRVRVUk5fRVFVSVRZLjQ5NQEAAACcWA0AAgAAAAcxOC4zNzM2AQgAAAAFAAAAATEBAAAACjE3MDM1ODA0MjADAAAAAjcyAgAAAAQ0MTI4BAAAAAEwBwAAAAoxMi8zMC</t>
  </si>
  <si>
    <t>8yMDE0CAAAAAk2LzMwLzIwMTMJAAAAATAA09L6c/LRCOCy9Ppz8tEIGkNJUS41MzMyNjMuSVFfQ0FQRVguRlkyMDEzAQAAAHV1GQYCAAAADC02MDMzLjA3NjU3NAEIAAAABQAAAAExAQAAAAoxNjg3ODQ4NzA5AwAAAAI3MgIAAAAEMjAyMQQAAAABMAcAAAAKMTIvMzAvMjAxNAgAAAAJMy8zMS8yMDEzCQAAAAEwIM3oz3Py0QjQXO/Pc/LRCBJDSVEuNTMyNTU1Li5GWTIwMTMFAAAAAQAAAAgAAAAWKEludmFsaWQgRm9ybXVsYSBOYW1lKdBd0vpz8tEI0F3S+nPy0QgnQ0lRLkFSU1AuQjEuSVFfRElWSURFTkRfWUlFTEQuMy8yNi8yMDE0AQAAAPvnGwADAAAAAADQ3Qr8c/LRCFAtHfxz8tEIFENJUS41MDA1NzAuSVFfTkkuNDkyAQAAAJxYDQACAAAABzIwNzQ3LjMBCAAAAAUAAAABMQEAAAAKMTU3NTA0ODE2MQMAAAACNzICAAAAAjE1BAAAAAEwBwAAAAoxMi8zMC8yMDE0CAAAAAk5LzMwLzIwMTIJAAAAATAA09L6c/LRCBAo9fpz8tEIH0NJUS41MDA1NzAuSVFfQ0FQRVhfUENUX1JFVi40ODQBAAAAnFgNAAMAAAAAAPCr0vpz8tEI8Er3+nPy0QggQ0lRLk9SVEMuSVFfRklMSU5HREFURV9CUy5GWTIwMTMBAAAAl6I0AAUAAAAJMy8yMS8yMDE0APCr0vpz8tEIIE/1+nPy0QgXQ0lRLjUzMzA5Ni5JUV9OSS5GWTIwMTIBAAAAgw05AgIAAAAHLTI4NzIuNwEIAAAABQAAAAExAQAAAAoxNjI2NTAzNDQ2AwAAAAI3MgIAA</t>
  </si>
  <si>
    <t>AACMTUEAAAAATAHAAAACjEyLzMwLzIwMTQIAAAACTMvMzEvMjAxMgkAAAABMPAJ96Vz8tEIsHIA+3Py0QgjQ0lRLjUwMDU3MC5JUV9UT1RBTF9ERUJUX0VCSVREQS40ODUBAAAAnFgNAAIAAAAIMi4xNjU5MDQBCAAAAAUAAAABMQEAAAAKMTQyODgwMjUwNAMAAAACNzICAAAABDQxOTIEAAAAATAHAAAACjEyLzMwLzIwMTQIAAAACjEyLzMxLzIwMTAJAAAAATDwq9L6c/LRCOAj9/pz8tEIF0NJUS41MzI5MzkuSVFfTkkuRlkyMDEzAQAAAFB/JQICAAAABzEwMTE0LjYBCAAAAAUAAAABMQEAAAAKMTY5NzUwMjUzMgMAAAACNzICAAAAAjE1BAAAAAEwBwAAAAoxMi8zMC8yMDE0CAAAAAkzLzMxLzIwMTMJAAAAATDAxMWXc/LRCODnAPtz8tEIJENJUS41MDA1NzAuSVFfVE9UQUxfREVCVF9DQVBJVEFMLjQ4MgEAAACcWA0AAgAAAAc4MC42NjQ4AQgAAAAFAAAAATEBAAAACjE0NjI2ODY3NDIDAAAAAjcyAgAAAAQ0MTg2BAAAAAEwBwAAAAoxMi8zMC8yMDE0CAAAAAkzLzMxLzIwMTAJAAAAATDwq9L6c/LRCBCZ9/pz8tEIF0NJUS41MzI2NjcuSVFfTkkuRlkyMDEzAQAAAB5PsgACAAAACC00NzIzOS42AQgAAAAFAAAAATEBAAAACjE3MDA3MDUwNTUDAAAAAjcyAgAAAAIxNQQAAAABMAcAAAAKMTIvMzAvMjAxNAgAAAAJMy8zMS8yMDEzCQAAAAEwMA4QrXPy0QiQJAD7c/LRCApDSVEuTlZNSS4uBQAAAAEAAAAIAAAAFihJ</t>
  </si>
  <si>
    <t>bnZhbGlkIEZvcm11bGEgTmFtZSnQXdL6c/LRCNBd0vpz8tEIH0NJUS41MDA1NzAuSVFfRklMSU5HREFURV9CUy40ODQBAAAAnFgNAAUAAAAJMTEvOS8yMDEwAPCr0vpz8tEI8Er3+nPy0QgrQ0lRLjUwMDU3MC5JUV9BTk5VQUxJWkVEX0RJVklERU5ELjgvMTEvMjAxMQEAAACcWA0AAgAAAAE0ANDdCvxz8tEIsBce/HPy0QgXQ0lRLjUwMDU3MC5JUV9DQVBFWC40OTIBAAAAnFgNAAMAAAAAAADT0vpz8tEIECj1+nPy0QgiQ0lRLjUxNzE0MC5JUV9BTk5VQUxJWkVEX0RJVklERU5ELgEAAAC7eQoAAwAAAAAAwNz1uHPy0Qjgff24c/LRCB9DSVEuNTAwNTcwLklRX1JFVFVSTl9FUVVJVFkuNDk5AQAAAJxYDQACAAAABzMyLjgyNTYBCAAAAAUAAAABMQEAAAAKMTcwMzU4MDUwMgMAAAACNzICAAAABDQxMjgEAAAAATAHAAAACjEyLzMwLzIwMTQIAAAACTYvMzAvMjAxNAkAAAABMADT0vpz8tEIkO/z+nPy0QgfQ0lRLjUwMDU3MC5JUV9SRVRVUk5fRVFVSVRZLjQ5NAEAAACcWA0AAgAAAAY0MC4yODIBCAAAAAUAAAABMQEAAAAKMTcwNDU1OTY2NwMAAAACNzICAAAABDQxMjgEAAAAATAHAAAACjEyLzMwLzIwMTQIAAAACTMvMzEvMjAxMwkAAAABMADT0vpz8tEI8Nn0+nPy0QgfQ0lRLjUwMDU3MC5JUV9GSUxJTkdEQVRFX0JTLjQ5MAEAAACcWA0ABQAAAAk2LzI0LzIwMTMA8KvS+nPy0QiAOfb6c/LRCCJDSVEuNTMzMjY</t>
  </si>
  <si>
    <t>zLklRX1JFVFVSTl9FUVVJVFkuRlkyMDEzAQAAAHV1GQYCAAAABy02LjU2MTQBCAAAAAUAAAABMQEAAAAKMTY4Nzg0ODcwOQMAAAACNzICAAAABDQxMjgEAAAAATAHAAAACjEyLzMwLzIwMTQIAAAACTMvMzEvMjAxMwkAAAABMCDN6M9z8tEI0Fzvz3Py0QgUQ0lRLjUwMDU3MC5JUV9OSS40ODcBAAAAnFgNAAIAAAAHMTk5OTYuMgEIAAAABQAAAAExAQAAAAoxNDY1ODMyNDgxAwAAAAI3MgIAAAACMTUEAAAAATAHAAAACjEyLzMwLzIwMTQIAAAACTYvMzAvMjAxMQkAAAABMPCr0vpz8tEIwNX2+nPy0QgfQ0lRLjUwMDU3MC5JUV9DQVBFWF9QQ1RfUkVWLjQ5MQEAAACcWA0AAwAAAAAAANPS+nPy0QggT/X6c/LRCCdDSVEuNTE0MTYyLklRX1RPVEFMX0RFQlRfQ0FQSVRBTC5GWTIwMTMBAAAArHaMAAIAAAAGNjYuNzgzAQgAAAAFAAAAATEBAAAACjE2OTQwMjYzNzkDAAAAAjcyAgAAAAQ0MTg2BAAAAAEwBwAAAAoxMi8zMC8yMDE0CAAAAAkzLzMxLzIwMTMJAAAAATAwtBfDc/LRCOBDHsNz8tEIKUNJUS5JUVQzNjE4MzgzOS5JUV9MQVNUU0FMRVBSSUNFLjMvMy8yMDE0AQAAAB0fKAICAAAAAzIuNgDQ3Qr8c/LRCGBUHfxz8tEIG0NJUS41MDA1NzAuSVFfVE9UQUxfUkVWLjQ4MQEAAACcWA0AAgAAAAgyNTk3OTYuMQEIAAAABQAAAAExAQAAAAoxMzMwMTQ5NTgyAwAAAAI3MgIAAAACMjgEAAAAATAHAAAACjEyLzMwLz</t>
  </si>
  <si>
    <t>IwMTQIAAAACjEyLzMxLzIwMDkJAAAAATDwq9L6c/LRCCDA9/pz8tEIIkNJUS41MzI1NTUuSVFfRklMSU5HREFURV9CUy5GWTIwMTMBAAAArZmTAAUAAAAJNy8zMC8yMDE0AMDz9pFz8tEI8A4B+3Py0QgkQ0lRLjUwMDU3MC5JUV9UT1RBTF9ERUJUX0NBUElUQUwuNDgzAQAAAJxYDQACAAAABzgwLjY5MzUBCAAAAAUAAAABMQEAAAAKMTM5MTU2NTE5MQMAAAACNzICAAAABDQxODYEAAAAATAHAAAACjEyLzMwLzIwMTQIAAAACTYvMzAvMjAxMAkAAAABMPCr0vpz8tEIAHL3+nPy0QgaQ0lRLk9SVEMuSVFfTEFTVFNBTEVQUklDRS4BAAAAl6I0AAIAAAAFMTkuODUA0F3S+nPy0QjglPn6c/LRCBdDSVEuNTAwNTcwLklRX0NBUEVYLjQ5MwEAAACcWA0AAwAAAAAAANPS+nPy0QgAAfX6c/LRCCJDSVEuNTE3MTQwLklRX1RFVl9FQklUREEuLjYvOS8yMDE0AQAAALt5CgADAAAAAk5NAQcAAAAFAAAAATEBAAAACjE2ODI5NTE4OTUDAAAAATACAAAABjEwMDAzMAQAAAABMAcAAAAINi85LzIwMTQIAAAACDYvOS8yMDE08EV1uXPy0QhQg325c/LRCCZDSVEuNTAwNTcwLklRX0xBU1RTQUxFUFJJQ0UuMTAvMjMvMjAxNAEAAACcWA0AAgAAAAY1MTYuOTUA0N0K/HPy0QjgjB78c/LRCB9DSVEuNTAwNTcwLklRX1JFVFVSTl9FUVVJVFkuNDk4AQAAAJxYDQACAAAABzI1Ljg5MzYBCAAAAAUAAAABMQEAAAAKMTcwNDU1OTY0MQMAA</t>
  </si>
  <si>
    <t>AACNzICAAAABDQxMjgEAAAAATAHAAAACjEyLzMwLzIwMTQIAAAACTMvMzEvMjAxNAkAAAABMADT0vpz8tEIsD30+nPy0QgaQ0lRLjUwMDU3MC5JUV9URVZfRUJJVERBLi4BAAAAnFgNAAIAAAAINC44ODcxMDMBBwAAAAUAAAABMQEAAAAKMTcwNjY3OTE1OAMAAAABMAIAAAAGMTAwMDMwBAAAAAEwBwAAAAoxMi8zMC8yMDE0CAAAAAoxMi8zMC8yMDE04ITS+nPy0QhQAOz6c/LRCCVDSVEuQUxUSS5JUV9UT1RBTF9ERUJUX0NBUElUQUwuRlkyMDEzAQAAANezBQADAAAAAADwq9L6c/LRCHCD+Ppz8tEIJUNJUS41MDA1NzAuSVFfTEFTVFNBTEVQUklDRS4xMS84LzIwMTMBAAAAnFgNAAIAAAADMzg1ANDdCvxz8tEI0GUe/HPy0QgYQ0lRLk9SVEMuSVFfQ09NUEFOWV9OQU1FAQAAAJeiNAADAAAAFU9SVCBUZWNobm9sb2dpZXMgTHRkLgDghNL6c/LRCAA2Aftz8tEIJUNJUS41MDA1NzAuSVFfTEFTVFNBTEVQUklDRS4xMS85LzIwMTABAAAAnFgNAAIAAAAKMjU0LjEwOTk5OQDQ3Qr8c/LRCKDwHfxz8tEIG0NJUS41MDA1NzAuSVFfVE9UQUxfUkVWLjQ5NAEAAACcWA0AAgAAAAg1Njk4MTMuNQEIAAAABQAAAAExAQAAAAoxNzA0NTU5NjY3AwAAAAI3MgIAAAACMjgEAAAAATAHAAAACjEyLzMwLzIwMTQIAAAACTMvMzEvMjAxMwkAAAABMADT0vpz8tEI8Nn0+nPy0QgqQ0lRLklRVDM2MTgzODM5LklRX0xBU1RTQUxFUFJJ</t>
  </si>
  <si>
    <t>Q0UuMi8yOC8yMDE0AQAAAB0fKAICAAAABDIuNjYA0N0K/HPy0Qhwex38c/LRCBhDSVEuRVpDSC5JUV9DT01QQU5ZX05BTUUBAAAAvOgEAAMAAAAZRVpjaGlwIFNlbWljb25kdWN0b3IgTHRkLgDghNL6c/LRCHBHAvtz8tEICkNJUS5PUlRDLi4FAAAAAQAAAAgAAAAWKEludmFsaWQgRm9ybXVsYSBOYW1lKdBd0vpz8tEI0F3S+nPy0QgaQ0lRLlRTRU0uSVFfTEFTVFNBTEVQUklDRS4BAAAA3w0FAAIAAAAFMTIuOTQA0F3S+nPy0QhADvj6c/LRCB9DSVEuNTAwNTcwLklRX0ZJTElOR0RBVEVfQlMuNDgyAQAAAJxYDQAFAAAACDcvNi8yMDExAPCr0vpz8tEIEJn3+nPy0QgcQ0lRLjUzMzI1Ny5JUV9MQVNUU0FMRVBSSUNFLgEAAADCx8AEAgAAAAQ1LjY1ACAwatdz8tEI0L9w13Py0QgbQ0lRLkFSU1AuQjEuSVFfQ0FQRVguRlkyMDEyAQAAAPvnGwACAAAABC0xMDQBCAAAAAUAAAABMQEAAAAKMTY2OTk4Mjg4MgMAAAADMTYwAgAAAAQyMDIxBAAAAAEwBwAAAAoxMi8zMC8yMDE0CAAAAAoxMi8zMS8yMDEyCQAAAAEw8KvS+nPy0QhwEvb6c/LRCB9DSVEuNTAwNTcwLklRX1JFVFVSTl9FUVVJVFkuNDgyAQAAAJxYDQADAAAAAADwq9L6c/LRCBCZ9/pz8tEIJkNJUS41MzMyNjMuSVFfRElWSURFTkRfWUlFTEQuNy8yMi8yMDE0AQAAAHV1GQYDAAAAAABQxWXQc/LRCDDKbNBz8tEIGkNJUS41MzMyNjMuSVFfQ09NUEFOWV9</t>
  </si>
  <si>
    <t>OQU1FAQAAAHV1GQYDAAAAIk9yaWVudCBHcmVlbiBQb3dlciBDb21wYW55IExpbWl0ZWQAIM3oz3Py0QjQXO/Pc/LRCCBDSVEuQVJTUC5CMS5JUV9DT01NT05fUkVQLkZZMjAxMgEAAAD75xsAAwAAAAAA8KvS+nPy0QhQxPX6c/LRCB9DSVEuNTAwNTcwLklRX0ZJTElOR0RBVEVfQlMuNDg3AQAAAJxYDQAFAAAACTgvMTEvMjAxMQDwq9L6c/LRCMDV9vpz8tEIHENJUS41MDA1NzAuSVFfQ09NTU9OX1JFUC40ODUBAAAAnFgNAAMAAAAAAPCr0vpz8tEI8Er3+nPy0QgmQ0lRLjUwMDU3MC5JUV9ESVZJREVORF9ZSUVMRC4yLzExLzIwMTEBAAAAnFgNAAIAAAAGMS4zMTA0ANDdCvxz8tEIoPAd/HPy0QgfQ0lRLjUwMDU3MC5JUV9DQVBFWF9QQ1RfUkVWLjQ5MAEAAACcWA0AAwAAAAAA8KvS+nPy0QiAOfb6c/LRCBpDSVEuNTMyNjY3LklRX0NBUEVYLkZZMjAxMwEAAAAeT7IAAgAAAActNjg5OS45AQgAAAAFAAAAATEBAAAACjE3MDA3MDUwNTUDAAAAAjcyAgAAAAQyMDIxBAAAAAEwBwAAAAoxMi8zMC8yMDE0CAAAAAkzLzMxLzIwMTMJAAAAATAwDhCtc/LRCKBLAPtz8tEIHUNJUS5UU0VNLklRX0NPTU1PTl9SRVAuRlkyMDEzAQAAAN8NBQADAAAAAADwq9L6c/LRCEAO+Ppz8tEIJENJUS41MDA1NzAuSVFfVE9UQUxfREVCVF9DQVBJVEFMLjUwMAEAAACcWA0AAgAAAAc0Ny4xMDA4AQgAAAAFAAAAATEBAAAACjE3MDY2Nz</t>
  </si>
  <si>
    <t>g4MDYDAAAAAjcyAgAAAAQ0MTg2BAAAAAEwBwAAAAoxMi8zMC8yMDE0CAAAAAk5LzMwLzIwMTQJAAAAATAA09L6c/LRCIDI8/pz8tEIJENJUS5FWkNILklRX0RJVklERU5EX1lJRUxELjMvMjcvMjAxNAEAAAC86AQAAwAAAAAA0N0K/HPy0Qhwex38c/LRCB1DSVEuNTAwNTcwLklRX0RJVklERU5EX1lJRUxELgEAAACcWA0AAgAAAAUwLjQwNADghNL6c/LRCLDq7Ppz8tEIG0NJUS41MDA1NzAuSVFfVE9UQUxfUkVWLjQ5NQEAAACcWA0AAgAAAAg0Njc2MTkuMQEIAAAABQAAAAExAQAAAAoxNzAzNTgwNDIwAwAAAAI3MgIAAAACMjgEAAAAATAHAAAACjEyLzMwLzIwMTQIAAAACTYvMzAvMjAxMwkAAAABMADT0vpz8tEI8Nn0+nPy0QgYQ0lRLlRTRU0uSVFfQ09NUEFOWV9OQU1FAQAAAN8NBQADAAAAGFRvd2VyIFNlbWljb25kdWN0b3IgTHRkLgDghNL6c/LRCHBHAvtz8tEIJUNJUS5FWkNILklRX1RPVEFMX0RFQlRfQ0FQSVRBTC5GWTIwMTMBAAAAvOgEAAMAAAAAAPCr0vpz8tEIUDX4+nPy0QgfQ0lRLjUxNDE2Mi5JUV9DT01NT05fUkVQLkZZMjAxMwEAAACsdowAAwAAAAAAMLQXw3Py0QjgQx7Dc/LRCCdDSVEuNTMyNTU1LklRX1RPVEFMX0RFQlRfQ0FQSVRBTC5GWTIwMTMBAAAArZmTAAIAAAAGNDYuMjQzAQgAAAAFAAAAATEBAAAACjE2ODg5MTQ2NjcDAAAAAjcyAgAAAAQ0MTg2BAAAAAEwBwAAAAoxMi8zMC8yM</t>
  </si>
  <si>
    <t>DE0CAAAAAkzLzMxLzIwMTMJAAAAATDA8/aRc/LRCPAOAftz8tEIDENJUS41MzI5MzkuLgUAAAABAAAACAAAABYoSW52YWxpZCBGb3JtdWxhIE5hbWUp0F3S+nPy0QjQXdL6c/LRCCxDSVEuNTAwNTcwLklRX0FOTlVBTElaRURfRElWSURFTkQuMTEvMjcvMjAwOQEAAACcWA0AAgAAAAMxLjIA0N0K/HPy0QiQyR38c/LRCCVDSVEuNTAwNTcwLklRX0xBU1RTQUxFUFJJQ0UuOC8xMC8yMDEwAQAAAJxYDQACAAAACjE5MS40NTk5OTkA0N0K/HPy0Qig8B38c/LRCB9DSVEuNTAwNTcwLklRX1JFVFVSTl9FUVVJVFkuNDgzAQAAAJxYDQACAAAABzk0Ljc3NDQBCAAAAAUAAAABMQEAAAAKMTM5MTU2NTE5MQMAAAACNzICAAAABDQxMjgEAAAAATAHAAAACjEyLzMwLzIwMTQIAAAACTYvMzAvMjAxMAkAAAABMPCr0vpz8tEIAHL3+nPy0QgaQ0lRLjUzMjY2Ny5JUV9DT01QQU5ZX05BTUUBAAAAHk+yAAMAAAAVU3V6bG9uIEVuZXJneSBMaW1pdGVkACDnD61z8tEIQIdk93Py0QgXQ0lRLjUwMDQwMC5JUV9OSS5GWTIwMTIBAAAAoVcNAAIAAAAILTEwODc2LjgBCAAAAAUAAAABMQEAAAAKMTYyNjUwMjAzNgMAAAACNzICAAAAAjE1BAAAAAEwBwAAAAoxMi8zMC8yMDE0CAAAAAkzLzMxLzIwMTIJAAAAATDA0Jmec/LRCNDAAPtz8tEIJkNJUS41MDA1NzAuSVFfTEFTVFNBTEVQUklDRS4xMS8xNC8yMDExAQAAAJxYDQACAAAABTE3</t>
  </si>
  <si>
    <t>Ny45ANDdCvxz8tEIsBce/HPy0QgcQ0lRLjUwMDU3MC5JUV9DT01NT05fUkVQLjQ4NAEAAACcWA0AAwAAAAAA8KvS+nPy0QjwSvf6c/LRCBtDSVEuNTAwNTcwLklRX1RPVEFMX1JFVi40OTIBAAAAnFgNAAIAAAAGNDI4MTg5AQgAAAAFAAAAATEBAAAACjE1NzUwNDgxNjEDAAAAAjcyAgAAAAIyOAQAAAABMAcAAAAKMTIvMzAvMjAxNAgAAAAJOS8zMC8yMDEyCQAAAAEwANPS+nPy0QgQKPX6c/LRCCJDSVEuNTE0MTYyLklRX0ZJTElOR0RBVEVfQlMuRlkyMDEzAQAAAKx2jAAFAAAACTgvMjUvMjAxNAAwtBfDc/LRCOBDHsNz8tEIEkNJUS41MDA0MDAuLkZZMjAxMgUAAAABAAAACAAAABYoSW52YWxpZCBGb3JtdWxhIE5hbWUp0F3S+nPy0QjQXdL6c/LRCCRDSVEuRVpDSC5JUV9ESVZJREVORF9ZSUVMRC4yLzE0LzIwMTQBAAAAvOgEAAMAAAAAANDdCvxz8tEIkMkd/HPy0QgYQ0lRLkVaQ0guSVFfQ0FQRVguRlkyMDEzAQAAALzoBAACAAAABi0xLjU5NwEIAAAABQAAAAExAQAAAAoxNjY1ODA0OTY4AwAAAAMxNjACAAAABDIwMjEEAAAAATAHAAAACjEyLzMwLzIwMTQIAAAACjEyLzMxLzIwMTMJAAAAATDwq9L6c/LRCFA1+Ppz8tEIIENJUS5UU0VNLklRX1RFVl9FQklUREEuLjMvMy8yMDE0AQAAAN8NBQACAAAACDUuMjIyNzQ5AQcAAAAFAAAAATEBAAAACjE2NjE4MzU1NjUDAAAAATACAAAABjEwMDAzMAQAAAABMAc</t>
  </si>
  <si>
    <t>AAAAIMy8zLzIwMTQIAAAACDMvMy8yMDE04AQL/HPy0QhgVB38c/LRCCdDSVEuNTAwNTcwLklRX0RJVklERU5EX1lJRUxELjExLzI3LzIwMDkBAAAAnFgNAAIAAAAGMC45NTMxANDdCvxz8tEIkMkd/HPy0QggQ0lRLi5JUV9UT1RBTF9ERUJUX0VCSVREQS5GWTIwMTMFAAAAAQAAAAgAAAAUKEludmFsaWQgSWRlbnRpZmllcikwdOXac/LRCID9//pz8tEIEkNJUS41MzI5MzkuLkZZMjAxMwUAAAABAAAACAAAABYoSW52YWxpZCBGb3JtdWxhIE5hbWUp0F3S+nPy0QjQXdL6c/LRCCNDSVEuNTAwNTcwLklRX1RPVEFMX0RFQlRfRUJJVERBLjQ5MwEAAACcWA0AAgAAAAgyLjM1ODA1OQEIAAAABQAAAAExAQAAAAoxNTg3NDgyMjI1AwAAAAI3MgIAAAAENDE5MgQAAAABMAcAAAAKMTIvMzAvMjAxNAgAAAAKMTIvMzEvMjAxMgkAAAABMADT0vpz8tEIAAH1+nPy0QgYQ0lRLk5WTUkuSVFfQ0FQRVguRlkyMDEyAQAAAFDnAQACAAAABS0zLjY2AQgAAAAFAAAAATEBAAAACjE2NjExMDQyNTEDAAAAAzE2MAIAAAAEMjAyMQQAAAABMAcAAAAKMTIvMzAvMjAxNAgAAAAKMTIvMzEvMjAxMgkAAAABMPCr0vpz8tEIcBL2+nPy0QgfQ0lRLjUwMDU3MC5JUV9GSUxJTkdEQVRFX0JTLjQ4OAEAAACcWA0ABQAAAAoxMS8xNC8yMDExAPCr0vpz8tEIsK72+nPy0QggQ0lRLkFMVEkuSVFfUkVUVVJOX0VRVUlUWS5GWTIwMTMBAAAA17MFAA</t>
  </si>
  <si>
    <t>MAAAAAAPCr0vpz8tEIcIP4+nPy0QgfQ0lRLjUwMDU3MC5JUV9DQVBFWF9QQ1RfUkVWLjQ5OAEAAACcWA0AAwAAAAAAANPS+nPy0QigFvT6c/LRCCJDSVEuNTMzMjYzLklRX0ZJTElOR0RBVEVfQlMuRlkyMDEzAQAAAHV1GQYFAAAACTcvMjIvMjAxNAAgzejPc/LRCMA1789z8tEIHENJUS41MDA1NzAuSVFfQ09NTU9OX1JFUC40ODMBAAAAnFgNAAMAAAAAAPCr0vpz8tEIAHL3+nPy0QgUQ0lRLjUwMDU3MC5JUV9OSS40OTUBAAAAnFgNAAIAAAAHMTcyNjAuNwEIAAAABQAAAAExAQAAAAoxNzAzNTgwNDIwAwAAAAI3MgIAAAACMTUEAAAAATAHAAAACjEyLzMwLzIwMTQIAAAACTYvMzAvMjAxMwkAAAABMADT0vpz8tEI4LL0+nPy0QgaQ0lRLjUxNDE2Mi5JUV9DQVBFWC5GWTIwMTMBAAAArHaMAAIAAAAILTI4NDcuMDYBCAAAAAUAAAABMQEAAAAKMTY5NDAyNjM3OQMAAAACNzICAAAABDIwMjEEAAAAATAHAAAACjEyLzMwLzIwMTQIAAAACTMvMzEvMjAxMwkAAAABMDC0F8Nz8tEI8Goew3Py0QgbQ0lRLjUwMDU3MC5JUV9UT1RBTF9SRVYuNTAwAQAAAJxYDQACAAAACDYwMTYzOS45AQgAAAAFAAAAATEBAAAACjE3MDY2Nzg4MDYDAAAAAjcyAgAAAAIyOAQAAAABMAcAAAAKMTIvMzAvMjAxNAgAAAAJOS8zMC8yMDE0CQAAAAEwANPS+nPy0QiQ7/P6c/LRCCZDSVEuNTMzMjU3LklRX1RPVEFMX0RFQlRfRUJJVERBLkZZM</t>
  </si>
  <si>
    <t>jAxMwEAAADCx8AEAwAAAAJOTQEIAAAABQAAAAExAQAAAAoxNjk3Nzc4ODIzAwAAAAI3MgIAAAAENDE5MgQAAAABMAcAAAAKMTIvMzAvMjAxNAgAAAAJMy8zMS8yMDEzCQAAAAEwMFdq13Py0Qjg5nDXc/LRCBtDSVEuNTAwNTcwLklRX1RPVEFMX1JFVi40OTMBAAAAnFgNAAIAAAAINDU4MjEzLjEBCAAAAAUAAAABMQEAAAAKMTU4NzQ4MjIyNQMAAAACNzICAAAAAjI4BAAAAAEwBwAAAAoxMi8zMC8yMDE0CAAAAAoxMi8zMS8yMDEyCQAAAAEwANPS+nPy0QgAAfX6c/LRCBdDSVEuNTAwNTcwLklRX0NBUEVYLjUwMAEAAACcWA0AAwAAAAAAANPS+nPy0QiAyPP6c/LRCB1DSVEuT1JUQy5JUV9DT01NT05fUkVQLkZZMjAxMwEAAACXojQAAwAAAAAA8KvS+nPy0QjglPn6c/LRCCNDSVEuQVJTUC5CMS5JUV9SRVRVUk5fRVFVSVRZLkZZMjAxMgEAAAD75xsAAgAAAAY4LjM3NTcBCAAAAAUAAAABMQEAAAAKMTY2OTk4Mjg4MgMAAAADMTYwAgAAAAQ0MTI4BAAAAAEwBwAAAAoxMi8zMC8yMDE0CAAAAAoxMi8zMS8yMDEyCQAAAAEw8KvS+nPy0QhAnfX6c/LRCBRDSVEuLklRX0NBUEVYLkZZMjAxMwUAAAABAAAACAAAABQoSW52YWxpZCBJZGVudGlmaWVyKTB05dpz8tEIgP3/+nPy0QgeQ0lRLjUzMzA5Ni5JUV9UT1RBTF9SRVYuRlkyMDEyAQAAAIMNOQICAAAABzQwOTIxLjYBCAAAAAUAAAABMQEAAAAKMTYyNjUwMzQ0NgMA</t>
  </si>
  <si>
    <t>AAACNzICAAAAAjI4BAAAAAEwBwAAAAoxMi8zMC8yMDE0CAAAAAkzLzMxLzIwMTIJAAAAATDwCfelc/LRCLByAPtz8tEIJUNJUS5OVk1JLklRX1RPVEFMX0RFQlRfQ0FQSVRBTC5GWTIwMTIBAAAAUOcBAAMAAAAAAPCr0vpz8tEIMHb1+nPy0QgNQ0lRLjUwMDQwMC4uLgUAAAABAAAACAAAABYoSW52YWxpZCBGb3JtdWxhIE5hbWUp0F3S+nPy0QjQXdL6c/LRCCRDSVEuNTAwNTcwLklRX1RPVEFMX0RFQlRfQ0FQSVRBTC40OTkBAAAAnFgNAAIAAAAGNDguNjE3AQgAAAAFAAAAATEBAAAACjE3MDM1ODA1MDIDAAAAAjcyAgAAAAQ0MTg2BAAAAAEwBwAAAAoxMi8zMC8yMDE0CAAAAAk2LzMwLzIwMTQJAAAAATAA09L6c/LRCJDv8/pz8tEIHENJUS41MDA1NzAuSVFfQ09NTU9OX1JFUC40OTYBAAAAnFgNAAMAAAAAAADT0vpz8tEI0Iv0+nPy0QgkQ0lRLjUwMDU3MC5JUV9UT1RBTF9ERUJUX0NBUElUQUwuNDk0AQAAAJxYDQACAAAABzU5LjIyOTkBCAAAAAUAAAABMQEAAAAKMTcwNDU1OTY2NwMAAAACNzICAAAABDQxODYEAAAAATAHAAAACjEyLzMwLzIwMTQIAAAACTMvMzEvMjAxMwkAAAABMADT0vpz8tEI8Nn0+nPy0QgcQ0lRLjUwMDU3MC5JUV9DT01NT05fUkVQLjUwMAEAAACcWA0AAwAAAAAAANPS+nPy0QiAyPP6c/LRCB9DSVEuNTAwNTcwLklRX0NBUEVYX1BDVF9SRVYuNDk5AQAAAJxYDQADAAAAAAAA09L6c/L</t>
  </si>
  <si>
    <t>RCJDv8/pz8tEIH0NJUS41MDA1NzAuSVFfUkVUVVJOX0VRVUlUWS41MDABAAAAnFgNAAIAAAAHMTkuNzIxNgEIAAAABQAAAAExAQAAAAoxNzA2Njc4ODA2AwAAAAI3MgIAAAAENDEyOAQAAAABMAcAAAAKMTIvMzAvMjAxNAgAAAAJOS8zMC8yMDE0CQAAAAEwANPS+nPy0QiAyPP6c/LRCCRDSVEuTlZNSS5JUV9UT1RBTF9ERUJUX0VCSVREQS5GWTIwMTIBAAAAUOcBAAMAAAAAAPCr0vpz8tEIIE/1+nPy0QgcQ0lRLjUwMDU3MC5JUV9DT01NT05fUkVQLjQ4MgEAAACcWA0AAwAAAAAA8KvS+nPy0QgQmff6c/LRCB9DSVEuNTAwNDAwLklRX0NPTU1PTl9SRVAuRlkyMDEyAQAAAKFXDQADAAAAAADA0Jmec/LRCNDAAPtz8tEIH0NJUS41MDA1NzAuSVFfQ0FQRVhfUENUX1JFVi40ODkBAAAAnFgNAAMAAAAAAPCr0vpz8tEIsK72+nPy0QgkQ0lRLjUwMDU3MC5JUV9UT1RBTF9ERUJUX0NBUElUQUwuNDk4AQAAAJxYDQACAAAABjQ4LjYxNwEIAAAABQAAAAExAQAAAAoxNzA0NTU5NjQxAwAAAAI3MgIAAAAENDE4NgQAAAABMAcAAAAKMTIvMzAvMjAxNAgAAAAJMy8zMS8yMDE0CQAAAAEwANPS+nPy0QigFvT6c/LRCA1DSVEuQVJTUC5CMS4uBQAAAAEAAAAIAAAAFihJbnZhbGlkIEZvcm11bGEgTmFtZSnANtL6c/LRCMA20vpz8tEII0NJUS41MDA1NzAuSVFfVE9UQUxfREVCVF9FQklUREEuNDk0AQAAAJxYDQACAAAACDIuMT</t>
  </si>
  <si>
    <t>MwMTMxAQgAAAAFAAAAATEBAAAACjE3MDQ1NTk2NjcDAAAAAjcyAgAAAAQ0MTkyBAAAAAEwBwAAAAoxMi8zMC8yMDE0CAAAAAkzLzMxLzIwMTMJAAAAATAA09L6c/LRCPDZ9Ppz8tEIIkNJUS41MzI2NjcuSVFfQU5OVUFMSVpFRF9ESVZJREVORC4BAAAAHk+yAAMAAAAAACDnD61z8tEIkCQA+3Py0QgjQ0lRLjUwMDU3MC5JUV9URVZfRUJJVERBLi42LzIxLzIwMTIBAAAAnFgNAAIAAAAINC45MzQ0ODgBBwAAAAUAAAABMQEAAAAKMTU1NjI0NzAzMgMAAAABMAIAAAAGMTAwMDMwBAAAAAEwBwAAAAk2LzIxLzIwMTIIAAAACTYvMjEvMjAxMuAEC/xz8tEIoPAd/HPy0QgqQ0lRLklRVDM2MTgzODM5LklRX0xBU1RTQUxFUFJJQ0UuMy8yNy8yMDE0AQAAAB0fKAICAAAABDIuNjkA0N0K/HPy0QhQLR38c/LRCBxDSVEuNTAwNTcwLklRX0NPTU1PTl9SRVAuNDk3AQAAAJxYDQADAAAAAAAA09L6c/LRCLA99Ppz8tEIH0NJUS41MDA1NzAuSVFfRklMSU5HREFURV9CUy40OTUBAAAAnFgNAAUAAAAKMTAvMjMvMjAxNAAA09L6c/LRCOCy9Ppz8tEIGENJUS5BUlNQLkIxLklRX05JLkZZMjAxMgEAAAD75xsAAgAAAAI3MwEIAAAABQAAAAExAQAAAAoxNjY5OTgyODgyAwAAAAMxNjACAAAAAjE1BAAAAAEwBwAAAAoxMi8zMC8yMDE0CAAAAAoxMi8zMS8yMDEyCQAAAAEw8KvS+nPy0QhQxPX6c/LRCCRDSVEuNTAwNTcwLklRX1RFV</t>
  </si>
  <si>
    <t>l9FQklUREEuLjEwLzIzLzIwMTQBAAAAnFgNAAIAAAAINS4zMzAwNTIBBwAAAAUAAAABMQEAAAAKMTcwMzYwMzg5NwMAAAABMAIAAAAGMTAwMDMwBAAAAAEwBwAAAAoxMC8yMy8yMDE0CAAAAAoxMC8yMy8yMDE04AQL/HPy0QjgjB78c/LRCBRDSVEuNTAwNTcwLklRX05JLjQ5MwEAAACcWA0AAgAAAAUxNjI3NQEIAAAABQAAAAExAQAAAAoxNTg3NDgyMjI1AwAAAAI3MgIAAAACMTUEAAAAATAHAAAACjEyLzMwLzIwMTQIAAAACjEyLzMxLzIwMTIJAAAAATAA09L6c/LRCAAB9fpz8tEIH0NJUS41MDA1NzAuSVFfQ0FQRVhfUENUX1JFVi40ODUBAAAAnFgNAAMAAAAAAPCr0vpz8tEI4CP3+nPy0QgaQ0lRLjUzMzI1Ny5JUV9URVZfRUJJVERBLi4BAAAAwsfABAMAAAACTk0BBwAAAAUAAAABMQEAAAAKMTcwNzc3NjU3NQMAAAABMAIAAAAGMTAwMDMwBAAAAAEwBwAAAAoxMi8zMC8yMDE0CAAAAAoxMi8zMC8yMDE0IDBq13Py0QggMGrXc/LRCCZDSVEuNTAwNTcwLklRX0RJVklERU5EX1lJRUxELjExLzgvMjAxMwEAAACcWA0AAgAAAAYwLjUxOTQA0N0K/HPy0QjQZR78c/LRCCBDSVEuQUxUSS5JUV9BTk5VQUxJWkVEX0RJVklERU5ELgEAAADXswUAAwAAAAAA4ITS+nPy0Qhwg/j6c/LRCCNDSVEuNTAwNTcwLklRX1RFVl9FQklUREEuLjIvMTAvMjAxNAEAAACcWA0AAgAAAAg0LjkxNzQ3MQEHAAAABQAAAAExAQAAAAox</t>
  </si>
  <si>
    <t>NjU3Mzc4NDk3AwAAAAEwAgAAAAYxMDAwMzAEAAAAATAHAAAACTIvMTAvMjAxNAgAAAAJMi8xMC8yMDE00N0K/HPy0QjQZR78c/LRCCRDSVEuNTAwNTcwLklRX1RFVl9FQklUREEuLjExLzE0LzIwMTEBAAAAnFgNAAIAAAAINC43MjQwNjkBBwAAAAUAAAABMQEAAAAKMTQ4MTkwNzQwMwMAAAABMAIAAAAGMTAwMDMwBAAAAAEwBwAAAAoxMS8xNC8yMDExCAAAAAoxMS8xNC8yMDEx0N0K/HPy0QiwFx78c/LRCBxDSVEuNTMzMjYzLklRX0xBU1RTQUxFUFJJQ0UuAQAAAHV1GQYCAAAABDE1LjcAIM3oz3Py0QjQXO/Pc/LRCCNDSVEuNTAwNTcwLklRX1RPVEFMX0RFQlRfRUJJVERBLjQ4MQEAAACcWA0AAwAAAAAA8KvS+nPy0QggwPf6c/LRCCRDSVEuNTAwNTcwLklRX1RPVEFMX0RFQlRfQ0FQSVRBTC40ODYBAAAAnFgNAAIAAAAHNjMuNDI4NgEIAAAABQAAAAExAQAAAAoxNTU2MjQ3MTUyAwAAAAI3MgIAAAAENDE4NgQAAAABMAcAAAAKMTIvMzAvMjAxNAgAAAAJMy8zMS8yMDExCQAAAAEw8KvS+nPy0QjQ/Pb6c/LRCCtDSVEuNTAwNTcwLklRX0FOTlVBTElaRURfRElWSURFTkQuMi8yNi8yMDEwAQAAAJxYDQACAAAAAzEuMgDQ3Qr8c/LRCJDJHfxz8tEIJENJUS41MDA1NzAuSVFfVEVWX0VCSVREQS4uMTEvMjcvMjAwOQEAAACcWA0AAwAAAAJOTQEHAAAABQAAAAExAQAAAAoxMjY1OTY0NTI2AwAAAAEwAgAAAAYxMDA</t>
  </si>
  <si>
    <t>wMzAEAAAAATAHAAAACjExLzI3LzIwMDkIAAAACjExLzI3LzIwMDngBAv8c/LRCJDJHfxz8tEIGENJUS5PUlRDLklRX0NBUEVYLkZZMjAxMwEAAACXojQAAgAAAAYtNC4zMzgBCAAAAAUAAAABMQEAAAAKMTY5MDc3MjAxMgMAAAACNzECAAAABDIwMjEEAAAAATAHAAAACjEyLzMwLzIwMTQIAAAACjEyLzMxLzIwMTMJAAAAATDwq9L6c/LRCDA6//pz8tEIF0NJUS41MDA1NzAuSVFfQ0FQRVguNDk2AQAAAJxYDQADAAAAAAAA09L6c/LRCNCL9Ppz8tEIH0NJUS41MzI5MzkuSVFfQ09NTU9OX1JFUC5GWTIwMTMBAAAAUH8lAgMAAAAAAMDExZdz8tEI4OcA+3Py0QgkQ0lRLjUwMDU3MC5JUV9UT1RBTF9ERUJUX0NBUElUQUwuNDkyAQAAAJxYDQACAAAABzUwLjYxOTcBCAAAAAUAAAABMQEAAAAKMTU3NTA0ODE2MQMAAAACNzICAAAABDQxODYEAAAAATAHAAAACjEyLzMwLzIwMTQIAAAACTkvMzAvMjAxMgkAAAABMADT0vpz8tEIECj1+nPy0QgcQ0lRLklDTC5JUV9DT01NT05fUkVQLkZZMjAxMwEAAABJeA0AAwAAAAAA8KvS+nPy0QgwOv/6c/LRCBRDSVEuNTAwNTcwLklRX05JLjQ4NgEAAACcWA0AAgAAAAcyNjM3NS4yAQgAAAAFAAAAATEBAAAACjE1NTYyNDcxNTIDAAAAAjcyAgAAAAIxNQQAAAABMAcAAAAKMTIvMzAvMjAxNAgAAAAJMy8zMS8yMDExCQAAAAEw8KvS+nPy0QjgI/f6c/LRCB1DSVEuQUxUSS5JUV9DT0</t>
  </si>
  <si>
    <t>1NT05fUkVQLkZZMjAxMwEAAADXswUAAwAAAAAA8KvS+nPy0QjglPn6c/LRCB9DSVEuQVJTUC5CMS5JUV9UT1RBTF9SRVYuRlkyMDEyAQAAAPvnGwACAAAABDMzMzgBCAAAAAUAAAABMQEAAAAKMTY2OTk4Mjg4MgMAAAADMTYwAgAAAAIyOAQAAAABMAcAAAAKMTIvMzAvMjAxNAgAAAAKMTIvMzEvMjAxMgkAAAABMPCr0vpz8tEIcBL2+nPy0QgfQ0lRLjUwMDU3MC5JUV9GSUxJTkdEQVRFX0JTLjQ5NAEAAACcWA0ABQAAAAoxMC8yMy8yMDE0AADT0vpz8tEI8Nn0+nPy0QgjQ0lRLjUxNDE2Mi5JUV9URVZfRUJJVERBLi44LzI1LzIwMTQBAAAArHaMAAIAAAAINS4xMzI2NzcBBwAAAAUAAAABMQEAAAAKMTY4ODc3NTUxNwMAAAABMAIAAAAGMTAwMDMwBAAAAAEwBwAAAAk4LzI1LzIwMTQIAAAACTgvMjUvMjAxNFCFlMNz8tEI0J+aw3Py0QgXQ0lRLjUwMDU3MC5JUV9DQVBFWC40ODIBAAAAnFgNAAMAAAAAAPCr0vpz8tEIEJn3+nPy0QgfQ0lRLjUwMDU3MC5JUV9SRVRVUk5fRVFVSVRZLjQ4OQEAAACcWA0AAgAAAAc1OC4zOTE2AQgAAAAFAAAAATEBAAAACjE1MDc1Mzc2MjUDAAAAAjcyAgAAAAQ0MTI4BAAAAAEwBwAAAAoxMi8zMC8yMDE0CAAAAAoxMi8zMS8yMDExCQAAAAEw8KvS+nPy0Qigh/b6c/LRCCJDSVEuNTAwNTcwLklRX1RFVl9FQklUREEuLjcvNi8yMDExAQAAAJxYDQACAAAACDQuOTgwMTc0AQcAAAAFA</t>
  </si>
  <si>
    <t>AAAATEBAAAACjE0NjI2ODY2MjIDAAAAATACAAAABjEwMDAzMAQAAAABMAcAAAAINy82LzIwMTEIAAAACDcvNi8yMDEx4AQL/HPy0QiQyR38c/LRCBhDSVEuTlZNSS5JUV9DT01QQU5ZX05BTUUBAAAAUOcBAAMAAAAfTm92YSBNZWFzdXJpbmcgSW5zdHJ1bWVudHMgTHRkLgDghNL6c/LRCHBHAvtz8tEII0NJUS41MDA1NzAuSVFfVEVWX0VCSVREQS4uMTEvOS8yMDEwAQAAAJxYDQACAAAACDYuODM0NTI3AQcAAAAFAAAAATEBAAAACjE0MDk5MTc2MTMDAAAAATACAAAABjEwMDAzMAQAAAABMAcAAAAJMTEvOS8yMDEwCAAAAAkxMS85LzIwMTDgBAv8c/LRCKDwHfxz8tEIHENJUS41MTcxNDAuSVFfTEFTVFNBTEVQUklDRS4BAAAAu3kKAAIAAAAENy43MQDA3PW4c/LRCOB9/bhz8tEIIUNJUS5PUlRDLklRX1RFVl9FQklUREEuLjMvMjEvMjAxNAEAAACXojQAAgAAAAgxMS4zMjM3MQEHAAAABQAAAAExAQAAAAoxNjkwNzgyMTE2AwAAAAEwAgAAAAYxMDAwMzAEAAAAATAHAAAACTMvMjAvMjAxNAgAAAAJMy8yMC8yMDE04AQL/HPy0QiAoh38c/LRCCtDSVEuNTAwNTcwLklRX0FOTlVBTElaRURfRElWSURFTkQuMTEvNy8yMDEyAQAAAJxYDQACAAAAATQA0N0K/HPy0QjAPh78c/LRCCNDSVEuNTAwNTcwLklRX1RFVl9FQklUREEuLjIvMTQvMjAxMwEAAACcWA0AAgAAAAg1LjM5OTIyMQEHAAAABQAAAAExAQAAAAoxNTg3</t>
  </si>
  <si>
    <t>NDgyNTA1AwAAAAEwAgAAAAYxMDAwMzAEAAAAATAHAAAACTIvMTQvMjAxMwgAAAAJMi8xNC8yMDEz0N0K/HPy0QjAPh78c/LRCB9DSVEuNTMzMjU3LklRX0NPTU1PTl9SRVAuRlkyMDEzAQAAAMLHwAQDAAAAAAAwV2rXc/LRCNC/cNdz8tEIDkNJUS5BUlNQLkIxLi4uBQAAAAEAAAAIAAAAFihJbnZhbGlkIEZvcm11bGEgTmFtZSnANtL6c/LRCMA20vpz8tEIFUNJUS5OVk1JLklRX05JLkZZMjAxMwEAAABQ5wEAAgAAAAYxMC41MTUBCAAAAAUAAAABMQEAAAAKMTY2MTEwNDM2NAMAAAADMTYwAgAAAAIxNQQAAAABMAcAAAAKMTIvMzAvMjAxNAgAAAAKMTIvMzEvMjAxMwkAAAABMPCr0vpz8tEIYFz4+nPy0QgoQ0lRLkFSU1AuQjEuSVFfVE9UQUxfREVCVF9DQVBJVEFMLkZZMjAxMgEAAAD75xsAAgAAAAczMC4xMzM5AQgAAAAFAAAAATEBAAAACjE2Njk5ODI4ODIDAAAAAzE2MAIAAAAENDE4NgQAAAABMAcAAAAKMTIvMzAvMjAxNAgAAAAKMTIvMzEvMjAxMgkAAAABMPCr0vpz8tEIMHb1+nPy0QgWQ0lRLi5JUV9MQVNUU0FMRVBSSUNFLgUAAAABAAAACAAAABQoSW52YWxpZCBJZGVudGlmaWVyKTB05dpz8tEIgP3/+nPy0QgvQ0lRLk9SVEMuSVFfRElWSURFTkRfWUlFTEQuKElOVkFMSUQgSURFTlRJRklFUikFAAAAAQAAAAgAAAAOKEludmFsaWQgRGF0ZSnQXdL6c/LRCIDI8/pz8tEIHENJUS41MzI2NjcuSVFfTEF</t>
  </si>
  <si>
    <t>TVFNBTEVQUklDRS4BAAAAHk+yAAIAAAAFMTMuNjgAIOcPrXPy0QiQJAD7c/LRCCRDSVEuNTAwNTcwLklRX1RPVEFMX0RFQlRfQ0FQSVRBTC40ODcBAAAAnFgNAAIAAAAGNjIuODEyAQgAAAAFAAAAATEBAAAACjE0NjU4MzI0ODEDAAAAAjcyAgAAAAQ0MTg2BAAAAAEwBwAAAAoxMi8zMC8yMDE0CAAAAAk2LzMwLzIwMTEJAAAAATDwq9L6c/LRCND89vpz8tEII0NJUS41MDA1NzAuSVFfVE9UQUxfREVCVF9FQklUREEuNDgwAQAAAJxYDQADAAAAAADwq9L6c/LRCDDn9/pz8tEIIkNJUS41MTQxNjIuSVFfUkVUVVJOX0VRVUlUWS5GWTIwMTMBAAAArHaMAAIAAAAHMjUuMjE4OAEIAAAABQAAAAExAQAAAAoxNjk0MDI2Mzc5AwAAAAI3MgIAAAAENDEyOAQAAAABMAcAAAAKMTIvMzAvMjAxNAgAAAAJMy8zMS8yMDEzCQAAAAEwMLQXw3Py0QjgQx7Dc/LRCBdDSVEuNTAwNTcwLklRX0NBUEVYLjQ5NwEAAACcWA0AAwAAAAAAANPS+nPy0QjQi/T6c/LRCBpDSVEuQUxUSS5JUV9MQVNUU0FMRVBSSUNFLgEAAADXswUAAgAAAAMxLjIA0F3S+nPy0Qhwg/j6c/LRCCxDSVEuNTAwNTcwLklRX0FOTlVBTElaRURfRElWSURFTkQuMTEvMTQvMjAxMQEAAACcWA0AAgAAAAE0ANDdCvxz8tEIsBce/HPy0QgfQ0lRLjUwMDU3MC5JUV9GSUxJTkdEQVRFX0JTLjQ5MwEAAACcWA0ABQAAAAkyLzE0LzIwMTMAANPS+nPy0Qjw2fT6c/LRCC</t>
  </si>
  <si>
    <t>RDSVEuT1JUQy5JUV9ESVZJREVORF9ZSUVMRC4zLzIxLzIwMTQBAAAAl6I0AAIAAAAFNS44NTQA0N0K/HPy0QiAoh38c/LRCBhDSVEuVFNFTS5JUV9DQVBFWC5GWTIwMTMBAAAA3w0FAAIAAAAHLTgxLjgxOQEIAAAABQAAAAExAQAAAAoxNjYxODEzMjM5AwAAAAMxNjACAAAABDIwMjEEAAAAATAHAAAACjEyLzMwLzIwMTQIAAAACjEyLzMxLzIwMTMJAAAAATDwq9L6c/LRCEAO+Ppz8tEIJUNJUS41MDA1NzAuSVFfTEFTVFNBTEVQUklDRS4yLzExLzIwMTEBAAAAnFgNAAIAAAAKMjI4LjkyOTk5OQDQ3Qr8c/LRCKDwHfxz8tEIJkNJUS41MTQxNjIuSVFfVE9UQUxfREVCVF9FQklUREEuRlkyMDEzAQAAAKx2jAACAAAACDMuMDE5NjcyAQgAAAAFAAAAATEBAAAACjE2OTQwMjYzNzkDAAAAAjcyAgAAAAQ0MTkyBAAAAAEwBwAAAAoxMi8zMC8yMDE0CAAAAAkzLzMxLzIwMTMJAAAAATAwtBfDc/LRCOBDHsNz8tEIF0NJUS41MDA1NzAuSVFfQ0FQRVguNDg4AQAAAJxYDQADAAAAAADwq9L6c/LRCMDV9vpz8tEIIkNJUS41MTQxNjIuSVFfQU5OVUFMSVpFRF9ESVZJREVORC4BAAAArHaMAAIAAAABNgAwtBfDc/LRCPBqHsNz8tEIJENJUS5PUlRDLklRX1RPVEFMX0RFQlRfRUJJVERBLkZZMjAxMwEAAACXojQAAgAAAAgzLjM5OTY1MQEIAAAABQAAAAExAQAAAAoxNjkwNzcyMDEyAwAAAAI3MQIAAAAENDE5MgQAAAABMAcAA</t>
  </si>
  <si>
    <t>AAKMTIvMzAvMjAxNAgAAAAKMTIvMzEvMjAxMwkAAAABMPCr0vpz8tEI4JT5+nPy0QgcQ0lRLjUxNDE2Mi5JUV9MQVNUU0FMRVBSSUNFLgEAAACsdowAAgAAAAYzMjEuMTUAMLQXw3Py0QjgQx7Dc/LRCCZDSVEuNTAwNTcwLklRX0RJVklERU5EX1lJRUxELjYvMjEvMjAxMgEAAACcWA0AAgAAAAYxLjYxMjIA0N0K/HPy0Qig8B38c/LRCCNDSVEuNTAwNTcwLklRX1RFVl9FQklUREEuLjIvMTQvMjAxMgEAAACcWA0AAgAAAAg1LjYwNzY1MQEHAAAABQAAAAExAQAAAAoxNTA3NTQyNTk5AwAAAAEwAgAAAAYxMDAwMzAEAAAAATAHAAAACTIvMTQvMjAxMggAAAAJMi8xNC8yMDEy0N0K/HPy0QiwFx78c/LRCBtDSVEuNTAwNTcwLklRX1RPVEFMX1JFVi40ODQBAAAAnFgNAAIAAAAIMjg1NzI3LjEBCAAAAAUAAAABMQEAAAAKMTQwOTkwMjE5MAMAAAACNzICAAAAAjI4BAAAAAEwBwAAAAoxMi8zMC8yMDE0CAAAAAk5LzMwLzIwMTAJAAAAATDwq9L6c/LRCABy9/pz8tEIJkNJUS41MzI5MzkuSVFfRElWSURFTkRfWUlFTEQuOS8xMS8yMDE0AQAAAFB/JQIDAAAAAABQxT6Yc/LRCODnAPtz8tEII0NJUS41MDA1NzAuSVFfVE9UQUxfREVCVF9FQklUREEuNDg3AQAAAJxYDQACAAAACDIuMTEwNzM5AQgAAAAFAAAAATEBAAAACjE0NjU4MzI0ODEDAAAAAjcyAgAAAAQ0MTkyBAAAAAEwBwAAAAoxMi8zMC8yMDE0CAAAAAk2LzMw</t>
  </si>
  <si>
    <t>LzIwMTEJAAAAATDwq9L6c/LRCMDV9vpz8tEIH0NJUS41MzI2NjcuSVFfQ09NTU9OX1JFUC5GWTIwMTMBAAAAHk+yAAMAAAAAADAOEK1z8tEIgP3/+nPy0QgiQ0lRLjUzMzI2My5JUV9BTk5VQUxJWkVEX0RJVklERU5ELgEAAAB1dRkGAwAAAAAAIM3oz3Py0QjQXO/Pc/LRCBVDSVEuTlZNSS5JUV9OSS5GWTIwMTIBAAAAUOcBAAIAAAAGMTEuODI4AQgAAAAFAAAAATEBAAAACjE2NjExMDQyNTEDAAAAAzE2MAIAAAACMTUEAAAAATAHAAAACjEyLzMwLzIwMTQIAAAACjEyLzMxLzIwMTIJAAAAATDwq9L6c/LRCFDE9fpz8tEIIUNJUS4uSVFfVE9UQUxfREVCVF9DQVBJVEFMLkZZMjAxMwUAAAABAAAACAAAABQoSW52YWxpZCBJZGVudGlmaWVyKTB05dpz8tEIcNb/+nPy0QgfQ0lRLjUwMDU3MC5JUV9GSUxJTkdEQVRFX0JTLjQ4NgEAAACcWA0ABQAAAAk2LzIxLzIwMTIA8KvS+nPy0QjQ/Pb6c/LRCB5DSVEuNTAwNDAwLklRX1RPVEFMX1JFVi5GWTIwMTIBAAAAoVcNAAIAAAAGMjYwMDE0AQgAAAAFAAAAATEBAAAACjE2MjY1MDIwMzYDAAAAAjcyAgAAAAIyOAQAAAABMAcAAAAKMTIvMzAvMjAxNAgAAAAJMy8zMS8yMDEyCQAAAAEwwNCZnnPy0QjQwAD7c/LRCCBDSVEuRVpDSC5JUV9SRVRVUk5fRVFVSVRZLkZZMjAxMwEAAAC86AQAAgAAAAY3LjQzMTgBCAAAAAUAAAABMQEAAAAKMTY2NTgwNDk2OAMAAAADMTYwAgA</t>
  </si>
  <si>
    <t>AAAQ0MTI4BAAAAAEwBwAAAAoxMi8zMC8yMDE0CAAAAAoxMi8zMS8yMDEzCQAAAAEw8KvS+nPy0QhQNfj6c/LRCBlDSVEuLklRX0NPTU1PTl9SRVAuRlkyMDEzBQAAAAEAAAAIAAAAFChJbnZhbGlkIElkZW50aWZpZXIpMHTl2nPy0Qhw1v/6c/LRCCRDSVEuTlZNSS5JUV9ESVZJREVORF9ZSUVMRC4yLzExLzIwMTQBAAAAUOcBAAMAAAAAANDdCvxz8tEIkMkd/HPy0QgfQ0lRLjUwMDU3MC5JUV9GSUxJTkdEQVRFX0JTLjQ5MgEAAACcWA0ABQAAAAkxMS83LzIwMTIAANPS+nPy0QgAAfX6c/LRCB9DSVEuNTAwNTcwLklRX1JFVFVSTl9FUVVJVFkuNDkyAQAAAJxYDQACAAAABzIyLjYyOTYBCAAAAAUAAAABMQEAAAAKMTU3NTA0ODE2MQMAAAACNzICAAAABDQxMjgEAAAAATAHAAAACjEyLzMwLzIwMTQIAAAACTkvMzAvMjAxMgkAAAABMADT0vpz8tEIECj1+nPy0QgaQ0lRLjUxNzE0MC5JUV9DQVBFWC5GWTIwMTMBAAAAu3kKAAIAAAAKLTQ1MS42Mjc1MgEIAAAABQAAAAExAQAAAAoxNjgyOTM5MDY5AwAAAAI3MgIAAAAEMjAyMQQAAAABMAcAAAAKMTIvMzAvMjAxNAgAAAAKMTIvMzEvMjAxMwkAAAABMMDc9bhz8tEI4H39uHPy0QgUQ0lRLjUwMDU3MC5JUV9OSS40ODEBAAAAnFgNAAIAAAAGNjUwMi42AQgAAAAFAAAAATEBAAAACjEzMzAxNDk1ODIDAAAAAjcyAgAAAAIxNQQAAAABMAcAAAAKMTIvMzAvMjAxNAgAAA</t>
  </si>
  <si>
    <t>AKMTIvMzEvMjAwOQkAAAABMPCr0vpz8tEIIMD3+nPy0QgfQ0lRLjUwMDU3MC5JUV9DQVBFWF9QQ1RfUkVWLjQ5NwEAAACcWA0AAwAAAAAAANPS+nPy0QiwPfT6c/LRCB1DSVEuNTE3MTQwLklRX0RJVklERU5EX1lJRUxELgEAAAC7eQoAAwAAAAAAwNz1uHPy0QjA3PW4c/LRCAxDSVEuNTMzMDk2Li4FAAAAAQAAAAgAAAAWKEludmFsaWQgRm9ybXVsYSBOYW1lKdBd0vpz8tEI0F3S+nPy0QgeQ0lRLjUzMzI2My5JUV9UT1RBTF9SRVYuRlkyMDEzAQAAAHV1GQYCAAAACzQyMTkuODExNjQyAQgAAAAFAAAAATEBAAAACjE2ODc4NDg3MDkDAAAAAjcyAgAAAAIyOAQAAAABMAcAAAAKMTIvMzAvMjAxNAgAAAAJMy8zMS8yMDEzCQAAAAEwIM3oz3Py0QjQXO/Pc/LRCCZDSVEuNTMzMDk2LklRX0RJVklERU5EX1lJRUxELjcvMTUvMjAxMwEAAACDDTkCAwAAAAAAgF13pnPy0QigSwD7c/LRCA9DSVEuSUNMLi5GWTIwMTMFAAAAAQAAAAgAAAAWKEludmFsaWQgRm9ybXVsYSBOYW1lKdBd0vpz8tEI0F3S+nPy0QgqQ0lRLklRVDM2MTgzODM5LklRX0xBU1RTQUxFUFJJQ0UuMi8xMS8yMDE0AQAAAB0fKAICAAAABDIuNzUA0N0K/HPy0QiAoh38c/LRCCRDSVEuQVJTUC5CMS5JUV9URVZfRUJJVERBLi4zLzI2LzIwMTQBAAAA++cbAAMAAAAAAOAEC/xz8tEIUC0d/HPy0QgSQ0lRLjUzMzA5Ni4uRlkyMDEyBQAAAAEAAAAIAAAAF</t>
  </si>
  <si>
    <t>ihJbnZhbGlkIEZvcm11bGEgTmFtZSnQXdL6c/LRCNBd0vpz8tEIGkNJUS41MzMwOTYuSVFfQ0FQRVguRlkyMDEyAQAAAIMNOQICAAAABy0xMDQxMTABCAAAAAUAAAABMQEAAAAKMTYyNjUwMzQ0NgMAAAACNzICAAAABDIwMjEEAAAAATAHAAAACjEyLzMwLzIwMTQIAAAACTMvMzEvMjAxMgkAAAABMPAJ96Vz8tEIsHIA+3Py0QgrQ0lRLjUwMDU3MC5JUV9BTk5VQUxJWkVEX0RJVklERU5ELjExLzgvMjAxMwEAAACcWA0AAgAAAAEyANDdCvxz8tEI0GUe/HPy0QgXQ0lRLjUwMDU3MC5JUV9DQVBFWC40OTEBAAAAnFgNAAMAAAAAAPCr0vpz8tEIgDn2+nPy0QgaQ0lRLjUzMzI1Ny5JUV9DT01QQU5ZX05BTUUBAAAAwsfABAMAAAARSW5kb3NvbGFyIExpbWl0ZWQAIDBq13Py0QjQv3DXc/LRCB9DSVEuNTAwNTcwLklRX1JFVFVSTl9FUVVJVFkuNDg3AQAAAJxYDQACAAAABzQxLjI3MTIBCAAAAAUAAAABMQEAAAAKMTQ2NTgzMjQ4MQMAAAACNzICAAAABDQxMjgEAAAAATAHAAAACjEyLzMwLzIwMTQIAAAACTYvMzAvMjAxMQkAAAABMPCr0vpz8tEIwNX2+nPy0QgXQ0lRLjUzMzI2My5JUV9OSS5GWTIwMTMBAAAAdXUZBgIAAAALLTY5OC44Nzg1ODUBCAAAAAUAAAABMQEAAAAKMTY4Nzg0ODcwOQMAAAACNzICAAAAAjE1BAAAAAEwBwAAAAoxMi8zMC8yMDE0CAAAAAkzLzMxLzIwMTMJAAAAATAgzejPc/LRCNBc789z8tEI</t>
  </si>
  <si>
    <t>HENJUS4uSVFfRklMSU5HREFURV9CUy5GWTIwMTMFAAAAAQAAAAgAAAAUKEludmFsaWQgSWRlbnRpZmllcikwdOXac/LRCHDW//pz8tEIJkNJUS41MzMwOTYuSVFfVE9UQUxfREVCVF9FQklUREEuRlkyMDEyAQAAAIMNOQICAAAACTI2LjE0MTU0MgEIAAAABQAAAAExAQAAAAoxNjI2NTAzNDQ2AwAAAAI3MgIAAAAENDE5MgQAAAABMAcAAAAKMTIvMzAvMjAxNAgAAAAJMy8zMS8yMDEyCQAAAAEw8An3pXPy0QigSwD7c/LRCCVDSVEuNTAwNTcwLklRX0RJVklERU5EX1lJRUxELjcvNi8yMDExAQAAAJxYDQACAAAABjEuOTM2OADQ3Qr8c/LRCJDJHfxz8tEIEUNJUS4uSVFfTkkuRlkyMDEzBQAAAAEAAAAIAAAAFChJbnZhbGlkIElkZW50aWZpZXIpMHTl2nPy0Qhw1v/6c/LRCCpDSVEuSVFUMzYxODM4MzkuSVFfTEFTVFNBTEVQUklDRS4zLzIxLzIwMTQBAAAAHR8oAgIAAAAEMi43NQDQ3Qr8c/LRCHB7Hfxz8tEII0NJUS41MDA1NzAuSVFfVEVWX0VCSVREQS4uMi8xMS8yMDExAQAAAJxYDQACAAAACDUuNzExNDg0AQcAAAAFAAAAATEBAAAACjE0MjkyMzA4OTIDAAAAATACAAAABjEwMDAzMAQAAAABMAcAAAAJMi8xMS8yMDExCAAAAAkyLzExLzIwMTHgBAv8c/LRCKDwHfxz8tEIJENJUS5BTFRJLklRX1RPVEFMX0RFQlRfRUJJVERBLkZZMjAxMwEAAADXswUAAwAAAAAA8KvS+nPy0Qhwg/j6c/LRCC5DSVEuSUNMLkl</t>
  </si>
  <si>
    <t>RX0RJVklERU5EX1lJRUxELihJTlZBTElEIElERU5USUZJRVIpBQAAAAEAAAAIAAAADihJbnZhbGlkIERhdGUp0N0K/HPy0Qhwex38c/LRCBtDSVEuNTAwNTcwLklRX1RPVEFMX1JFVi40OTYBAAAAnFgNAAIAAAAINTU3MDEyLjIBCAAAAAUAAAABMQEAAAAKMTY0Mzg3NjQ1MQMAAAACNzICAAAAAjI4BAAAAAEwBwAAAAoxMi8zMC8yMDE0CAAAAAk5LzMwLzIwMTMJAAAAATAA09L6c/LRCOCy9Ppz8tEIIkNJUS41MDA0MDAuSVFfRklMSU5HREFURV9CUy5GWTIwMTIBAAAAoVcNAAUAAAAJNy8xNi8yMDEzAMDQmZ5z8tEIsHIA+3Py0QgmQ0lRLjUzMjY2Ny5JUV9UT1RBTF9ERUJUX0VCSVREQS5GWTIwMTMBAAAAHk+yAAMAAAACTk0BCAAAAAUAAAABMQEAAAAKMTcwMDcwNTA1NQMAAAACNzICAAAABDQxOTIEAAAAATAHAAAACjEyLzMwLzIwMTQIAAAACTMvMzEvMjAxMwkAAAABMDAOEK1z8tEIkCQA+3Py0QgrQ0lRLi5JUV9ESVZJREVORF9ZSUVMRC4oSU5WQUxJRCBJREVOVElGSUVSKQUAAAABAAAACAAAABQoSW52YWxpZCBJZGVudGlmaWVyKWBsYttz8tEIcNb/+nPy0QgbQ0lRLjUwMDU3MC5JUV9UT1RBTF9SRVYuNDgyAQAAAJxYDQACAAAABjI5MzYwNgEIAAAABQAAAAExAQAAAAoxNDYyNjg2NzQyAwAAAAI3MgIAAAACMjgEAAAAATAHAAAACjEyLzMwLzIwMTQIAAAACTMvMzEvMjAxMAkAAAABMPCr0vpz8tEIIM</t>
  </si>
  <si>
    <t>D3+nPy0QgiQ0lRLjUwMDU3MC5JUV9URVZfRUJJVERBLi44LzkvMjAxMgEAAACcWA0AAgAAAAg0LjUzNzA1NQEHAAAABQAAAAExAQAAAAoxNTU3ODE0ODkxAwAAAAEwAgAAAAYxMDAwMzAEAAAAATAHAAAACDgvOS8yMDEyCAAAAAg4LzkvMjAxMtDdCvxz8tEIwD4e/HPy0QgdQ0lRLjUxNDE2Mi5JUV9ESVZJREVORF9ZSUVMRC4BAAAArHaMAAIAAAAGMS44NzQxADC0F8Nz8tEIMLQXw3Py0QgiQ0lRLjUzMzA5Ni5JUV9SRVRVUk5fRVFVSVRZLkZZMjAxMgEAAACDDTkCAgAAAActNC4zNzc5AQgAAAAFAAAAATEBAAAACjE2MjY1MDM0NDYDAAAAAjcyAgAAAAQ0MTI4BAAAAAEwBwAAAAoxMi8zMC8yMDE0CAAAAAkzLzMxLzIwMTIJAAAAATDwCfelc/LRCKBLAPtz8tEIHkNJUS41MzI3NzguSVFfVE9UQUxfUkVWLkZZMjAxMwEAAAApxrUBAgAAAAYxMzczODgBCAAAAAUAAAABMQEAAAAKMTY5NjU4MDg2MAMAAAACNzICAAAAAjI4BAAAAAEwBwAAAAoxMi8zMC8yMDE0CAAAAAkzLzMxLzIwMTMJAAAAATDwlPSzc/LRCCBd/LNz8tEIFkNJUS5CQS5JUV9URVZfRUJJVERBLi4BAAAAqagFAAIAAAAJMTAuODcwMjU5AQcAAAAFAAAAATEBAAAACjE3MDI3NDk3NDQDAAAAATACAAAABjEwMDAzMAQAAAABMAcAAAAKMTIvMjkvMjAxNAgAAAAKMTIvMjkvMjAxNOCE0vpz8tEI4ITS+nPy0QglQ0lRLjUwMDU3MC5JUV9MQVNUU0FMR</t>
  </si>
  <si>
    <t>VBSSUNFLjIvMTQvMjAxMgEAAACcWA0AAgAAAAUyNjcuOQDQ3Qr8c/LRCLAXHvxz8tEIIENJUS5UU0VNLklRX0NBUEVYX1BDVF9SRVYuRlkyMDEzAQAAAN8NBQACAAAABzE2LjIwMTQBCAAAAAUAAAABMQEAAAAKMTY2MTgxMzIzOQMAAAADMTYwAgAAAAUzNTM4MAQAAAABMAcAAAAKMTIvMzAvMjAxNAgAAAAKMTIvMzEvMjAxMwkAAAABMPCr0vpz8tEIMOf3+nPy0QgQQ0lRLk5WTUkuLkZZMjAxMgUAAAABAAAACAAAABYoSW52YWxpZCBGb3JtdWxhIE5hbWUp0F3S+nPy0QjQXdL6c/LRCCNDSVEuNTAwNDAwLklRX1RFVl9FQklUREEuLjcvMTYvMjAxMwEAAAChVw0AAgAAAAg4Ljk1MDgyNgEHAAAABQAAAAExAQAAAAoxNjI2NTI3MTc4AwAAAAEwAgAAAAYxMDAwMzAEAAAAATAHAAAACTcvMTYvMjAxMwgAAAAJNy8xNi8yMDEzIO1in3Py0QjAmQD7c/LRCBVDSVEuVFNFTS5JUV9OSS5GWTIwMTMBAAAA3w0FAAIAAAAHLTEwNy42NgEIAAAABQAAAAExAQAAAAoxNjYxODEzMjM5AwAAAAMxNjACAAAAAjE1BAAAAAEwBwAAAAoxMi8zMC8yMDE0CAAAAAoxMi8zMS8yMDEzCQAAAAEw8KvS+nPy0QhADvj6c/LRCCBDSVEuTlZNSS5JUV9DQVBFWF9QQ1RfUkVWLkZZMjAxMwEAAABQ5wEAAgAAAAYzLjY5MzgBCAAAAAUAAAABMQEAAAAKMTY2MTEwNDM2NAMAAAADMTYwAgAAAAUzNTM4MAQAAAABMAcAAAAKMTIvMzAvMjAxNAgA</t>
  </si>
  <si>
    <t>AAAKMTIvMzEvMjAxMwkAAAABMPCr0vpz8tEIUDX4+nPy0QglQ0lRLjUwMDU3MC5JUV9MQVNUU0FMRVBSSUNFLjIvMjYvMjAxMAEAAACcWA0AAgAAAAoxNDIuMjA5OTk5ANDdCvxz8tEIkMkd/HPy0QggQ0lRLk9SVEMuSVFfQU5OVUFMSVpFRF9ESVZJREVORC4BAAAAl6I0AAMAAAAAAOCE0vpz8tEI4JT5+nPy0QglQ0lRLk5WTUkuSVFfVE9UQUxfREVCVF9DQVBJVEFMLkZZMjAxMwEAAABQ5wEAAwAAAAAA8KvS+nPy0QhQNfj6c/LRCBtDSVEuNTAwNTcwLklRX1RPVEFMX1JFVi40OTcBAAAAnFgNAAIAAAAINjM1MzYwLjYBCAAAAAUAAAABMQEAAAAKMTY1NzM3ODQ1MAMAAAACNzICAAAAAjI4BAAAAAEwBwAAAAoxMi8zMC8yMDE0CAAAAAoxMi8zMS8yMDEzCQAAAAEwANPS+nPy0QjQi/T6c/LRCCNDSVEuNTAwNTcwLklRX1RPVEFMX0RFQlRfRUJJVERBLjUwMAEAAACcWA0AAgAAAAgxLjk2NTk4NwEIAAAABQAAAAExAQAAAAoxNzA2Njc4ODA2AwAAAAI3MgIAAAAENDE5MgQAAAABMAcAAAAKMTIvMzAvMjAxNAgAAAAJOS8zMC8yMDE0CQAAAAEwANPS+nPy0QiAyPP6c/LRCA1DSVEuNTMyNTU1Li4uBQAAAAEAAAAIAAAAFihJbnZhbGlkIEZvcm11bGEgTmFtZSnQXdL6c/LRCNBd0vpz8tEIJENJUS41MDA1NzAuSVFfVE9UQUxfREVCVF9DQVBJVEFMLjQ5NQEAAACcWA0AAgAAAAc1OS4yMjk5AQgAAAAFAAAAATEBAAA</t>
  </si>
  <si>
    <t>ACjE3MDM1ODA0MjADAAAAAjcyAgAAAAQ0MTg2BAAAAAEwBwAAAAoxMi8zMC8yMDE0CAAAAAk2LzMwLzIwMTMJAAAAATAA09L6c/LRCOCy9Ppz8tEIJUNJUS41MDA1NzAuSVFfRElWSURFTkRfWUlFTEQuOC85LzIwMTIBAAAAnFgNAAIAAAAGMS42NzExANDdCvxz8tEIwD4e/HPy0QgYQ0lRLi5JUV9UT1RBTF9SRVYuRlkyMDEzBQAAAAEAAAAIAAAAFChJbnZhbGlkIElkZW50aWZpZXIpMHTl2nPy0QiA/f/6c/LRCCRDSVEuTlZNSS5JUV9UT1RBTF9ERUJUX0VCSVREQS5GWTIwMTMBAAAAUOcBAAMAAAAAAPCr0vpz8tEIUDX4+nPy0QgXQ0lRLjUwMDU3MC5JUV9DQVBFWC40OTABAAAAnFgNAAMAAAAAAPCr0vpz8tEIoIf2+nPy0QgmQ0lRLjUwMDU3MC5JUV9ESVZJREVORF9ZSUVMRC4yLzE0LzIwMTMBAAAAnFgNAAIAAAAGMS4zNDgxANDdCvxz8tEIwD4e/HPy0QgfQ0lRLjUwMDU3MC5JUV9SRVRVUk5fRVFVSVRZLjQ4MQEAAACcWA0AAwAAAAAA8KvS+nPy0QggwPf6c/LRCBpDSVEuTlZNSS5JUV9MQVNUU0FMRVBSSUNFLgEAAABQ5wEAAgAAAAQ5Ljk5ANBd0vpz8tEIYFz4+nPy0QgsQ0lRLjUwMDU3MC5JUV9BTk5VQUxJWkVEX0RJVklERU5ELjEwLzIzLzIwMTQBAAAAnFgNAAIAAAABMgDQ3Qr8c/LRCOCMHvxz8tEIJkNJUS41MDA1NzAuSVFfRElWSURFTkRfWUlFTEQuMTEvOS8yMDEwAQAAAJxYDQACAAAABjEuMT</t>
  </si>
  <si>
    <t>gwNQDQ3Qr8c/LRCKDwHfxz8tEIJENJUS41MDA1NzAuSVFfVE9UQUxfREVCVF9DQVBJVEFMLjQ4OQEAAACcWA0AAgAAAAc2NS4xOTc5AQgAAAAFAAAAATEBAAAACjE1MDc1Mzc2MjUDAAAAAjcyAgAAAAQ0MTg2BAAAAAEwBwAAAAoxMi8zMC8yMDE0CAAAAAoxMi8zMS8yMDExCQAAAAEw8KvS+nPy0Qigh/b6c/LRCCVDSVEuNTAwNTcwLklRX0xBU1RTQUxFUFJJQ0UuMi8xNC8yMDEzAQAAAJxYDQACAAAABTI5Ni43ANDdCvxz8tEIwD4e/HPy0QgQQ0lRLk5WTUkuLkZZMjAxMwUAAAABAAAACAAAABYoSW52YWxpZCBGb3JtdWxhIE5hbWUp0F3S+nPy0QjQXdL6c/LRCCBDSVEuRVpDSC5JUV9GSUxJTkdEQVRFX0JTLkZZMjAxMwEAAAC86AQABQAAAAkzLzI3LzIwMTQA8KvS+nPy0QggT/X6c/LRCAtDSVEuTlZNSS4uLgUAAAABAAAACAAAABYoSW52YWxpZCBGb3JtdWxhIE5hbWUp0F3S+nPy0QjQXdL6c/LRCBtDSVEuNTAwNTcwLklRX1RPVEFMX1JFVi40OTABAAAAnFgNAAIAAAAINTE0MDg2LjEBCAAAAAUAAAABMQEAAAAKMTYyNzcyODMyMwMAAAACNzICAAAAAjI4BAAAAAEwBwAAAAoxMi8zMC8yMDE0CAAAAAkzLzMxLzIwMTIJAAAAATDwq9L6c/LRCKCH9vpz8tEIHENJUS41MDA1NzAuSVFfQ09NTU9OX1JFUC40ODYBAAAAnFgNAAMAAAAAAPCr0vpz8tEI0Pz2+nPy0QgaQ0lRLjUzMjU1NS5JUV9DT01QQU5ZX05BT</t>
  </si>
  <si>
    <t>UUBAAAArZmTAAMAAAAJTlRQQyBMdGQuAMDz9pFz8tEIAOtj93Py0QggQ0lRLk9SVEMuSVFfQ0FQRVhfUENUX1JFVi5GWTIwMTMBAAAAl6I0AAIAAAAGMS42MjMyAQgAAAAFAAAAATEBAAAACjE2OTA3NzIwMTIDAAAAAjcxAgAAAAUzNTM4MAQAAAABMAcAAAAKMTIvMzAvMjAxNAgAAAAKMTIvMzEvMjAxMwkAAAABMOCE0vpz8tEI4JT5+nPy0QgnQ0lRLjUwMDU3MC5JUV9ESVZJREVORF9ZSUVMRC4xMS8xNC8yMDE0AQAAAJxYDQACAAAABjAuMzgxOADQ3Qr8c/LRCOCMHvxz8tEIEENJUS5FWkNILi5GWTIwMTMFAAAAAQAAAAgAAAAWKEludmFsaWQgRm9ybXVsYSBOYW1lKdBd0vpz8tEI0F3S+nPy0QglQ0lRLjUwMDU3MC5JUV9MQVNUU0FMRVBSSUNFLjYvMjEvMjAxMgEAAACcWA0AAgAAAAUyNDguMQDQ3Qr8c/LRCLAXHvxz8tEII0NJUS41MDA1NzAuSVFfVE9UQUxfREVCVF9FQklUREEuNDk1AQAAAJxYDQACAAAACDIuODI5MDg2AQgAAAAFAAAAATEBAAAACjE3MDM1ODA0MjADAAAAAjcyAgAAAAQ0MTkyBAAAAAEwBwAAAAoxMi8zMC8yMDE0CAAAAAk2LzMwLzIwMTMJAAAAATAA09L6c/LRCOCy9Ppz8tEIIENJUS5OVk1JLklRX0ZJTElOR0RBVEVfQlMuRlkyMDEyAQAAAFDnAQAFAAAACTIvMjgvMjAxNADwq9L6c/LRCCBP9fpz8tEIJUNJUS5PUlRDLklRX1RPVEFMX0RFQlRfQ0FQSVRBTC5GWTIwMTMBAAAAl6I0</t>
  </si>
  <si>
    <t>AAIAAAAHMjcuMTc5MwEIAAAABQAAAAExAQAAAAoxNjkwNzcyMDEyAwAAAAI3MQIAAAAENDE4NgQAAAABMAcAAAAKMTIvMzAvMjAxNAgAAAAKMTIvMzEvMjAxMwkAAAABMPCr0vpz8tEI4JT5+nPy0QglQ0lRLlRTRU0uSVFfVE9UQUxfREVCVF9DQVBJVEFMLkZZMjAxMwEAAADfDQUAAgAAAAc3MS40NDA0AQgAAAAFAAAAATEBAAAACjE2NjE4MTMyMzkDAAAAAzE2MAIAAAAENDE4NgQAAAABMAcAAAAKMTIvMzAvMjAxNAgAAAAKMTIvMzEvMjAxMwkAAAABMPCr0vpz8tEIQA74+nPy0QgjQ0lRLjUwMDU3MC5JUV9URVZfRUJJVERBLi4xMS84LzIwMTMBAAAAnFgNAAIAAAAINS45ODI4NjQBBwAAAAUAAAABMQEAAAAKMTY0MzkwMjAxOAMAAAABMAIAAAAGMTAwMDMwBAAAAAEwBwAAAAkxMS84LzIwMTMIAAAACTExLzgvMjAxM9DdCvxz8tEI0GUe/HPy0QgcQ0lRLjUwMDU3MC5JUV9DT01NT05fUkVQLjQ5MAEAAACcWA0AAwAAAAAA8KvS+nPy0QiQYPb6c/LRCBhDSVEuQUxUSS5JUV9DQVBFWC5GWTIwMTMBAAAA17MFAAMAAAAAAPCr0vpz8tEI4JT5+nPy0QgkQ0lRLlRTRU0uSVFfRElWSURFTkRfWUlFTEQuMi8xNC8yMDE0AQAAAN8NBQADAAAAAADQ3Qr8c/LRCJDJHfxz8tEIFENJUS41MDA1NzAuSVFfTkkuNDk3AQAAAJxYDQACAAAABTQ4MDQ4AQgAAAAFAAAAATEBAAAACjE2NTczNzg0NTADAAAAAjcyAgAAAAIxNQQ</t>
  </si>
  <si>
    <t>AAAABMAcAAAAKMTIvMzAvMjAxNAgAAAAKMTIvMzEvMjAxMwkAAAABMADT0vpz8tEIsD30+nPy0QgiQ0lRLjUxNzE0MC5JUV9SRVRVUk5fRVFVSVRZLkZZMjAxMwEAAAC7eQoAAwAAAAAAwNz1uHPy0Qjgff24c/LRCB9DSVEuNTAwNTcwLklRX0NBUEVYX1BDVF9SRVYuNDgxAQAAAJxYDQADAAAAAADwq9L6c/LRCCDA9/pz8tEII0NJUS41MDA1NzAuSVFfVEVWX0VCSVREQS4uOC8xMC8yMDEwAQAAAJxYDQACAAAACDYuNDc1NDg3AQcAAAAFAAAAATEBAAAACjEzOTE1Njc1MTcDAAAAATACAAAABjEwMDAzMAQAAAABMAcAAAAJOC8xMC8yMDEwCAAAAAk4LzEwLzIwMTDgBAv8c/LRCKDwHfxz8tEIHENJUS41MzI1NTUuSVFfTEFTVFNBTEVQUklDRS4BAAAArZmTAAIAAAAFMTQxLjcAwPP2kXPy0QgANgH7c/LRCCpDSVEuSVFUMzYxODM4MzkuSVFfTEFTVFNBTEVQUklDRS4zLzI2LzIwMTQBAAAAHR8oAgIAAAAEMi43MQDQ3Qr8c/LRCFAtHfxz8tEIHkNJUS5CQS5JUV9GSUxJTkdEQVRFX0JTLkZZMjAxMwEAAACpqAUABQAAAAkyLzE0LzIwMTQA8KvS+nPy0QhADvj6c/LRCCBDSVEuRVpDSC5JUV9DQVBFWF9QQ1RfUkVWLkZZMjAxMwEAAAC86AQAAgAAAAUyLjI1NAEIAAAABQAAAAExAQAAAAoxNjY1ODA0OTY4AwAAAAMxNjACAAAABTM1MzgwBAAAAAEwBwAAAAoxMi8zMC8yMDE0CAAAAAoxMi8zMS8yMDEzCQAAAAEw8K</t>
  </si>
  <si>
    <t>vS+nPy0QhADvj6c/LRCCZDSVEuNTAwNTcwLklRX0RJVklERU5EX1lJRUxELjIvMTAvMjAxNAEAAACcWA0AAgAAAAYwLjU0OTQA0N0K/HPy0QjQZR78c/LRCBdDSVEuNTAwNTcwLklRX0NBUEVYLjQ5OAEAAACcWA0AAwAAAAAAANPS+nPy0QiwPfT6c/LRCCBDSVEuVFNFTS5JUV9BTk5VQUxJWkVEX0RJVklERU5ELgEAAADfDQUAAwAAAAAA4ITS+nPy0QhADvj6c/LRCCRDSVEuNTAwNTcwLklRX1RPVEFMX0RFQlRfQ0FQSVRBTC40OTMBAAAAnFgNAAIAAAAHNTAuNjE5NwEIAAAABQAAAAExAQAAAAoxNTg3NDgyMjI1AwAAAAI3MgIAAAAENDE4NgQAAAABMAcAAAAKMTIvMzAvMjAxNAgAAAAKMTIvMzEvMjAxMgkAAAABMADT0vpz8tEIAAH1+nPy0QgmQ0lRLjUwMDQwMC5JUV9ESVZJREVORF9ZSUVMRC43LzE2LzIwMTMBAAAAoVcNAAIAAAAGMS4yODkyACDtYp9z8tEIwJkA+3Py0QgXQ0lRLjUwMDU3MC5JUV9DQVBFWC40ODMBAAAAnFgNAAMAAAAAAPCr0vpz8tEIAHL3+nPy0QgiQ0lRLjUwMDQwMC5JUV9BTk5VQUxJWkVEX0RJVklERU5ELgEAAAChVw0AAgAAAAQxLjI1AMDQmZ5z8tEI0MAA+3Py0QgfQ0lRLjUwMDU3MC5JUV9SRVRVUk5fRVFVSVRZLjQ4OAEAAACcWA0AAgAAAAczNS42NDEyAQgAAAAFAAAAATEBAAAACjE0ODE4OTE1MDEDAAAAAjcyAgAAAAQ0MTI4BAAAAAEwBwAAAAoxMi8zMC8yMDE0CAAAAAk5L</t>
  </si>
  <si>
    <t>zMwLzIwMTEJAAAAATDwq9L6c/LRCMDV9vpz8tEIGkNJUS41MTcxNDAuSVFfVEVWX0VCSVREQS4uAQAAALt5CgADAAAAAk5NAQcAAAAFAAAAATEBAAAACjE2ODI5NTE4OTUDAAAAATACAAAABjEwMDAzMAQAAAABMAcAAAAKMTIvMzAvMjAxNAgAAAAKMTIvMzAvMjAxNMDc9bhz8tEIwNz1uHPy0QgjQ0lRLjUzMjkzOS5JUV9URVZfRUJJVERBLi45LzExLzIwMTQBAAAAUH8lAgIAAAAJMjIuNzMzMzk0AQcAAAAFAAAAATEBAAAACjE2ODcxOTM1NzgDAAAAATACAAAABjEwMDAzMAQAAAABMAcAAAAJOS8xMS8yMDE0CAAAAAk5LzExLzIwMTRQxT6Yc/LRCODnAPtz8tEIJENJUS41MDA1NzAuSVFfVE9UQUxfREVCVF9DQVBJVEFMLjQ5NgEAAACcWA0AAgAAAAc0OS43ODYxAQgAAAAFAAAAATEBAAAACjE2NDM4NzY0NTEDAAAAAjcyAgAAAAQ0MTg2BAAAAAEwBwAAAAoxMi8zMC8yMDE0CAAAAAk5LzMwLzIwMTMJAAAAATAA09L6c/LRCNCL9Ppz8tEIFENJUS41MDA1NzAuSVFfTkkuNTAwAQAAAJxYDQACAAAABzMyOTA4LjYBCAAAAAUAAAABMQEAAAAKMTcwNjY3ODgwNgMAAAACNzICAAAAAjE1BAAAAAEwBwAAAAoxMi8zMC8yMDE0CAAAAAk5LzMwLzIwMTQJAAAAATAA09L6c/LRCJDv8/pz8tEIJ0NJUS41MTcxNDAuSVFfVE9UQUxfREVCVF9DQVBJVEFMLkZZMjAxMwEAAAC7eQoAAgAAAAgxNTUuMDIyNAEIAAAABQAAAAEx</t>
  </si>
  <si>
    <t>AQAAAAoxNjgyOTM5MDY5AwAAAAI3MgIAAAAENDE4NgQAAAABMAcAAAAKMTIvMzAvMjAxNAgAAAAKMTIvMzEvMjAxMwkAAAABMMDc9bhz8tEI8KT9uHPy0QgrQ0lRLjUwMDU3MC5JUV9BTk5VQUxJWkVEX0RJVklERU5ELjYvMjQvMjAxMwEAAACcWA0AAgAAAAEyANDdCvxz8tEIsBce/HPy0QgUQ0lRLjUwMDU3MC5JUV9OSS40OTYBAAAAnFgNAAIAAAAHMzU0MTguNgEIAAAABQAAAAExAQAAAAoxNjQzODc2NDUxAwAAAAI3MgIAAAACMTUEAAAAATAHAAAACjEyLzMwLzIwMTQIAAAACTkvMzAvMjAxMwkAAAABMADT0vpz8tEI4LL0+nPy0QgcQ0lRLjUzMjc3OC5JUV9MQVNUU0FMRVBSSUNFLgEAAAApxrUBAgAAAAM2LjEA8JT0s3Py0QgQNvyzc/LRCAdDSVEuLi4uBQAAAAEAAAAIAAAAFChJbnZhbGlkIElkZW50aWZpZXIp0F3S+nPy0QjQXdL6c/LRCAtDSVEuRVpDSC4uLgUAAAABAAAACAAAABYoSW52YWxpZCBGb3JtdWxhIE5hbWUp0F3S+nPy0QjQXdL6c/LRCCJDSVEuNTMyNTU1LklRX1JFVFVSTl9FUVVJVFkuRlkyMDEzAQAAAK2ZkwACAAAABzE2LjA1ODIBCAAAAAUAAAABMQEAAAAKMTY4ODkxNDY2NwMAAAACNzICAAAABDQxMjgEAAAAATAHAAAACjEyLzMwLzIwMTQIAAAACTMvMzEvMjAxMwkAAAABMMDz9pFz8tEI8A4B+3Py0QgXQ0lRLjUwMDU3MC5JUV9DQVBFWC40OTkBAAAAnFgNAAMAAAAAAADT0vpz8tE</t>
  </si>
  <si>
    <t>IoBb0+nPy0QgkQ0lRLjUwMDU3MC5JUV9UT1RBTF9ERUJUX0NBUElUQUwuNDgwAQAAAJxYDQADAAAAAADwq9L6c/LRCDDn9/pz8tEIGkNJUS41MTcxNDAuSVFfQ09NUEFOWV9OQU1FAQAAALt5CgADAAAAFU1vc2VyLUJhZXIgSW5kaWEgTHRkLgDA3PW4c/LRCOB9/bhz8tEIK0NJUS41MDA1NzAuSVFfQU5OVUFMSVpFRF9ESVZJREVORC4xMS85LzIwMTABAAAAnFgNAAIAAAABMwDQ3Qr8c/LRCKDwHfxz8tEIF0NJUS41MDA1NzAuSVFfQ0FQRVguNDg5AQAAAJxYDQADAAAAAADwq9L6c/LRCLCu9vpz8tEII0NJUS5UU0VNLklRX0RJVklERU5EX1lJRUxELjMvMy8yMDE0AQAAAN8NBQADAAAAAADQ3Qr8c/LRCHB7Hfxz8tEIHENJUS41MDA1NzAuSVFfQ09NTU9OX1JFUC40OTEBAAAAnFgNAAMAAAAAAPCr0vpz8tEIgDn2+nPy0QgaQ0lRLjUzMjc3OC5JUV9DQVBFWC5GWTIwMTMBAAAAKca1AQIAAAAILTE4NjQ1LjMBCAAAAAUAAAABMQEAAAAKMTY5NjU4MDg2MAMAAAACNzICAAAABDIwMjEEAAAAATAHAAAACjEyLzMwLzIwMTQIAAAACTMvMzEvMjAxMwkAAAABMPCU9LNz8tEIIF38s3Py0QgfQ0lRLklDTC5JUV9SRVRVUk5fRVFVSVRZLkZZMjAxMwEAAABJeA0AAgAAAAcyMy4yMTE1AQgAAAAFAAAAATEBAAAACjE3MDEwNDYzNDADAAAAAzE2MAIAAAAENDEyOAQAAAABMAcAAAAKMTIvMzAvMjAxNAgAAAAKMTIvMzEvMj</t>
  </si>
  <si>
    <t>AxMwkAAAABMPCr0vpz8tEIMDr/+nPy0QgnQ0lRLkFSU1AuQjEuSVFfVE9UQUxfREVCVF9FQklUREEuRlkyMDEyAQAAAPvnGwACAAAACDIuMzAxMTM2AQgAAAAFAAAAATEBAAAACjE2Njk5ODI4ODIDAAAAAzE2MAIAAAAENDE5MgQAAAABMAcAAAAKMTIvMzAvMjAxNAgAAAAKMTIvMzEvMjAxMgkAAAABMPCr0vpz8tEIIE/1+nPy0QgfQ0lRLjUwMDU3MC5JUV9DQVBFWF9QQ1RfUkVWLjQ4MAEAAACcWA0AAwAAAAAA8KvS+nPy0Qgw5/f6c/LRCCZDSVEuNTAwNTcwLklRX0RJVklERU5EX1lJRUxELjgvMTAvMjAxMAEAAACcWA0AAgAAAAYxLjU2NjkA0N0K/HPy0Qig8B38c/LRCBtDSVEuNTAwNTcwLklRX1RPVEFMX1JFVi40ODUBAAAAnFgNAAIAAAAIMzE1MDYzLjMBCAAAAAUAAAABMQEAAAAKMTQyODgwMjUwNAMAAAACNzICAAAAAjI4BAAAAAEwBwAAAAoxMi8zMC8yMDE0CAAAAAoxMi8zMS8yMDEwCQAAAAEw8KvS+nPy0QjwSvf6c/LRCBdDSVEuNTMyNTU1LklRX05JLkZZMjAxMwEAAACtmZMAAgAAAAgxMjU5MDcuOAEIAAAABQAAAAExAQAAAAoxNjg4OTE0NjY3AwAAAAI3MgIAAAACMTUEAAAAATAHAAAACjEyLzMwLzIwMTQIAAAACTMvMzEvMjAxMwkAAAABMMDz9pFz8tEIADYB+3Py0QgjQ0lRLjUwMDU3MC5JUV9UT1RBTF9ERUJUX0VCSVREQS40ODYBAAAAnFgNAAIAAAAIMi4xNzI1NDIBCAAAAAUAAAABMQEAA</t>
  </si>
  <si>
    <t>AAKMTU1NjI0NzE1MgMAAAACNzICAAAABDQxOTIEAAAAATAHAAAACjEyLzMwLzIwMTQIAAAACTMvMzEvMjAxMQkAAAABMPCr0vpz8tEI0Pz2+nPy0QgQQ0lRLk9SVEMuLkZZMjAxMwUAAAABAAAACAAAABYoSW52YWxpZCBGb3JtdWxhIE5hbWUp0F3S+nPy0QjQXdL6c/LRCBpDSVEuNTE0MTYyLklRX1RFVl9FQklUREEuLgEAAACsdowAAgAAAAgzLjM3MDc0NQEHAAAABQAAAAExAQAAAAoxNzA0NzUwNTI1AwAAAAEwAgAAAAYxMDAwMzAEAAAAATAHAAAACjEyLzMwLzIwMTQIAAAACjEyLzMwLzIwMTQwtBfDc/LRCDC0F8Nz8tEIGENJUS5UU0VNLklRX1RFVl9FQklUREEuLgEAAADfDQUAAgAAAAkxMC4xODE3NTEBBwAAAAUAAAABMQEAAAAKMTcwNjE2MzgzMwMAAAABMAIAAAAGMTAwMDMwBAAAAAEwBwAAAAoxMi8yOS8yMDE0CAAAAAoxMi8yOS8yMDE04ITS+nPy0QjghNL6c/LRCAxDSVEuNTMyNjY3Li4FAAAAAQAAAAgAAAAWKEludmFsaWQgRm9ybXVsYSBOYW1lKdBd0vpz8tEI0F3S+nPy0QggQ0lRLk5WTUkuSVFfUkVUVVJOX0VRVUlUWS5GWTIwMTMBAAAAUOcBAAIAAAAGOC42Mzg4AQgAAAAFAAAAATEBAAAACjE2NjExMDQzNjQDAAAAAzE2MAIAAAAENDEyOAQAAAABMAcAAAAKMTIvMzAvMjAxNAgAAAAKMTIvMzEvMjAxMwkAAAABMPCr0vpz8tEIYFz4+nPy0QglQ0lRLjUwMDU3MC5JUV9MQVNUU0FMRVBSSUNF</t>
  </si>
  <si>
    <t>LjgvMTEvMjAxMQEAAACcWA0AAgAAAAoxNjkuMTE5OTk5ANDdCvxz8tEIsBce/HPy0QgNQ0lRLjUzMjY2Ny4uLgUAAAABAAAACAAAABYoSW52YWxpZCBGb3JtdWxhIE5hbWUp0F3S+nPy0QjQXdL6c/LRCB9DSVEuNTAwNTcwLklRX1JFVFVSTl9FUVVJVFkuNDkzAQAAAJxYDQACAAAABzE2LjE0MzIBCAAAAAUAAAABMQEAAAAKMTU4NzQ4MjIyNQMAAAACNzICAAAABDQxMjgEAAAAATAHAAAACjEyLzMwLzIwMTQIAAAACjEyLzMxLzIwMTIJAAAAATAA09L6c/LRCAAB9fpz8tEIIkNJUS41MzI3NzguSVFfVEVWX0VCSVREQS4uOS81LzIwMTQBAAAAKca1AQIAAAAJMTkuODY0MTc2AQcAAAAFAAAAATEBAAAACjE2OTE5MDY1MDEDAAAAATACAAAABjEwMDAzMAQAAAABMAcAAAAIOS81LzIwMTQIAAAACDkvNS8yMDE0gB2BtHPy0QhA8oK0c/LRCB9DSVEuNTAwNTcwLklRX0NBUEVYX1BDVF9SRVYuNDk2AQAAAJxYDQADAAAAAAAA09L6c/LRCNCL9Ppz8tEILENJUS41MDA1NzAuSVFfQU5OVUFMSVpFRF9ESVZJREVORC4xMS8xNC8yMDE0AQAAAJxYDQACAAAAATIA0N0K/HPy0QjgjB78c/LRCB9DSVEuNTAwNTcwLklRX0ZJTElOR0RBVEVfQlMuNDk2AQAAAJxYDQAFAAAACTExLzgvMjAxMwAA09L6c/LRCNCL9Ppz8tEIF0NJUS5JQ0wuSVFfQ09NUEFOWV9OQU1FAQAAAEl4DQADAAAAFUlzcmFlbCBDaGVtaWNhbHMgTHRkLgD</t>
  </si>
  <si>
    <t>ghNL6c/LRCGAgAvtz8tEIIkNJUS41MDA0MDAuSVFfUkVUVVJOX0VRVUlUWS5GWTIwMTIBAAAAoVcNAAIAAAAHLTYuNDM4NgEIAAAABQAAAAExAQAAAAoxNjI2NTAyMDM2AwAAAAI3MgIAAAAENDEyOAQAAAABMAcAAAAKMTIvMzAvMjAxNAgAAAAJMy8zMS8yMDEyCQAAAAEwwNCZnnPy0QjAmQD7c/LRCB9DSVEuUlROLklRX0ZJTElOR0RBVEVfQlMuRlkyMDEzAQAAAIycAQAFAAAACTIvMTEvMjAxNADwq9L6c/LRCFA1+Ppz8tEIGkNJUS41MzI3NzguSVFfQ09NUEFOWV9OQU1FAQAAACnGtQEDAAAAF0xhbmNvIEluZnJhdGVjaCBMaW1pdGVkAPCU9LNz8tEIIF38s3Py0QgnQ0lRLjUzMzI2My5JUV9UT1RBTF9ERUJUX0NBUElUQUwuRlkyMDEzAQAAAHV1GQYCAAAABzYwLjQ2MTYBCAAAAAUAAAABMQEAAAAKMTY4Nzg0ODcwOQMAAAACNzICAAAABDQxODYEAAAAATAHAAAACjEyLzMwLzIwMTQIAAAACTMvMzEvMjAxMwkAAAABMCDN6M9z8tEIwDXvz3Py0QgfQ0lRLjUwMDU3MC5JUV9DQVBFWF9QQ1RfUkVWLjQ5MwEAAACcWA0AAwAAAAAAANPS+nPy0QgAAfX6c/LRCBRDSVEuLklRX0NPTVBBTllfTkFNRQUAAAABAAAACAAAABQoSW52YWxpZCBJZGVudGlmaWVyKTB05dpz8tEIgCNl93Py0QgcQ0lRLjUwMDQwMC5JUV9MQVNUU0FMRVBSSUNFLgEAAAChVw0AAgAAAAU4MS40NQDA0Jmec/LRCNDAAPtz8tEIJUNJUS5BTF</t>
  </si>
  <si>
    <t>RJLklRX0RJVklERU5EX1lJRUxELjEwLzIzLzIwMTQBAAAA17MFAAMAAAAAANDdCvxz8tEIgKId/HPy0QggQ0lRLk5WTUkuSVFfUkVUVVJOX0VRVUlUWS5GWTIwMTIBAAAAUOcBAAIAAAAHMTEuMDE5MwEIAAAABQAAAAExAQAAAAoxNjYxMTA0MjUxAwAAAAMxNjACAAAABDQxMjgEAAAAATAHAAAACjEyLzMwLzIwMTQIAAAACjEyLzMxLzIwMTIJAAAAATDwq9L6c/LRCECd9fpz8tEIH0NJUS41MDA1NzAuSVFfUkVUVVJOX0VRVUlUWS40ODYBAAAAnFgNAAIAAAAHNjYuMTk2OAEIAAAABQAAAAExAQAAAAoxNTU2MjQ3MTUyAwAAAAI3MgIAAAAENDEyOAQAAAABMAcAAAAKMTIvMzAvMjAxNAgAAAAJMy8zMS8yMDExCQAAAAEw8KvS+nPy0QjQ/Pb6c/LRCCZDSVEuNTE0MTYyLklRX0RJVklERU5EX1lJRUxELjgvMjUvMjAxNAEAAACsdowAAgAAAAYxLjgwNDIAUIWUw3Py0QjQn5rDc/LRCCRDSVEuVFNFTS5JUV9UT1RBTF9ERUJUX0VCSVREQS5GWTIwMTMBAAAA3w0FAAIAAAAIMy4wMjEwOTMBCAAAAAUAAAABMQEAAAAKMTY2MTgxMzIzOQMAAAADMTYwAgAAAAQ0MTkyBAAAAAEwBwAAAAoxMi8zMC8yMDE0CAAAAAoxMi8zMS8yMDEzCQAAAAEw8KvS+nPy0QhADvj6c/LRCCRDSVEuNTAwNTcwLklRX1RPVEFMX0RFQlRfQ0FQSVRBTC40ODEBAAAAnFgNAAMAAAAAAPCr0vpz8tEIIMD3+nPy0QgqQ0lRLjUwMDU3MC5JUV9BT</t>
  </si>
  <si>
    <t>k5VQUxJWkVEX0RJVklERU5ELjcvNi8yMDExAQAAAJxYDQACAAAAATQA0N0K/HPy0QiQyR38c/LRCCFDSVEuRVpDSC5JUV9URVZfRUJJVERBLi4zLzI3LzIwMTQBAAAAvOgEAAIAAAAJMjYuNjAzMDQ1AQcAAAAFAAAAATEBAAAACjE2NjU4MTIzNDUDAAAAATACAAAABjEwMDAzMAQAAAABMAcAAAAJMy8yNy8yMDE0CAAAAAkzLzI3LzIwMTTgBAv8c/LRCHB7Hfxz8tEIF0NJUS41MDA1NzAuSVFfQ0FQRVguNDk1AQAAAJxYDQADAAAAAAAA09L6c/LRCPDZ9Ppz8tEIH0NJUS41MDA1NzAuSVFfUkVUVVJOX0VRVUlUWS40ODABAAAAnFgNAAMAAAAAAPCr0vpz8tEIMOf3+nPy0QgZQ0lRLklDTC5JUV9MQVNUU0FMRVBSSUNFLgEAAABJeA0AAgAAAAQyOC4xANBd0vpz8tEIMDr/+nPy0QgbQ0lRLjUwMDU3MC5JUV9UT1RBTF9SRVYuNDgzAQAAAJxYDQACAAAACDI2ODc2MC44AQgAAAAFAAAAATEBAAAACjEzOTE1NjUxOTEDAAAAAjcyAgAAAAIyOAQAAAABMAcAAAAKMTIvMzAvMjAxNAgAAAAJNi8zMC8yMDEwCQAAAAEw8KvS+nPy0QgAcvf6c/LRCCFDSVEuVFNFTS5JUV9URVZfRUJJVERBLi4yLzE0LzIwMTQBAAAA3w0FAAIAAAAHNC4xODg3MgEHAAAABQAAAAExAQAAAAoxNjQzMzg4MDA4AwAAAAEwAgAAAAYxMDAwMzAEAAAAATAHAAAACTIvMTQvMjAxNAgAAAAJMi8xNC8yMDE04AQL/HPy0QiQyR38c/LRCCZDSVEuNTMy</t>
  </si>
  <si>
    <t>NTU1LklRX0RJVklERU5EX1lJRUxELjcvMzAvMjAxNAEAAACtmZMAAgAAAAYzLjg0NjEAEDp0knPy0QjwDgH7c/LRCCNDSVEuSUNMLklRX1RPVEFMX0RFQlRfRUJJVERBLkZZMjAxMwEAAABJeA0AAgAAAAgxLjM3NTE5MgEIAAAABQAAAAExAQAAAAoxNzAxMDQ2MzQwAwAAAAMxNjACAAAABDQxOTIEAAAAATAHAAAACjEyLzMwLzIwMTQIAAAACjEyLzMxLzIwMTMJAAAAATDwq9L6c/LRCDA6//pz8tEIJUNJUS41MDA1NzAuSVFfTEFTVFNBTEVQUklDRS42LzI0LzIwMTMBAAAAnFgNAAIAAAAGMjgzLjY1ANDdCvxz8tEIwD4e/HPy0QgiQ0lRLjUzMjc3OC5JUV9SRVRVUk5fRVFVSVRZLkZZMjAxMwEAAAApxrUBAgAAAAgtMjEuMTMxMwEIAAAABQAAAAExAQAAAAoxNjk2NTgwODYwAwAAAAI3MgIAAAAENDEyOAQAAAABMAcAAAAKMTIvMzAvMjAxNAgAAAAJMy8zMS8yMDEzCQAAAAEw8JT0s3Py0QggXfyzc/LRCBtDSVEuQVJTUC5CMS5JUV9DT01QQU5ZX05BTUUBAAAA++cbAAMAAAAgSXNyYWVsIEFlcm9zcGFjZSBJbmR1c3RyaWVzIEx0ZC4A4ITS+nPy0QiAbgL7c/LRCCBDSVEuSUNMLklRX1RFVl9FQklUREEuLjkvMjQvMjAxNAEAAABJeA0AAgAAAAkxMC41MzU0NDgBBwAAAAUAAAABMQEAAAAKMTY5OTE2MDQ0NQMAAAABMAIAAAAGMTAwMDMwBAAAAAEwBwAAAAk5LzIzLzIwMTQIAAAACTkvMjMvMjAxNOAEC/xz8tE</t>
  </si>
  <si>
    <t>IcHsd/HPy0QgUQ0lRLjUwMDU3MC5JUV9OSS40ODABAAAAnFgNAAIAAAAFMjE3LjgBCAAAAAUAAAABMQEAAAAKMTI2NTg4MDQ3MQMAAAACNzICAAAAAjE1BAAAAAEwBwAAAAoxMi8zMC8yMDE0CAAAAAk5LzMwLzIwMDkJAAAAATDwq9L6c/LRCDDn9/pz8tEIKENJUS4uSVFfVEVWX0VCSVREQS4uKElOVkFMSUQgSURFTlRJRklFUikFAAAAAQAAAAgAAAAUKEludmFsaWQgSWRlbnRpZmllcilgbGLbc/LRCHDW//pz8tEIH0NJUS41MDA1NzAuSVFfQ0FQRVhfUENUX1JFVi40OTUBAAAAnFgNAAMAAAAAAADT0vpz8tEI4LL0+nPy0QgiQ0lRLjUxNzE0MC5JUV9GSUxJTkdEQVRFX0JTLkZZMjAxMwEAAAC7eQoABQAAAAg2LzkvMjAxNADA3PW4c/LRCOB9/bhz8tEIJkNJUS41MDA1NzAuSVFfRElWSURFTkRfWUlFTEQuMi8xNC8yMDEyAQAAAJxYDQACAAAABTEuNDkzANDdCvxz8tEIsBce/HPy0QgfQ0lRLklDTC5JUV9DQVBFWF9QQ1RfUkVWLkZZMjAxMwEAAABJeA0AAgAAAAcxMy4xNzk5AQgAAAAFAAAAATEBAAAACjE3MDEwNDYzNDADAAAAAzE2MAIAAAAFMzUzODAEAAAAATAHAAAACjEyLzMwLzIwMTQIAAAACjEyLzMxLzIwMTMJAAAAATDghNL6c/LRCDA6//pz8tEIJENJUS41MDA1NzAuSVFfVE9UQUxfREVCVF9DQVBJVEFMLjQ4OAEAAACcWA0AAgAAAAc2NS4xOTc5AQgAAAAFAAAAATEBAAAACjE0ODE4OTE1MDEDAA</t>
  </si>
  <si>
    <t>AAAjcyAgAAAAQ0MTg2BAAAAAEwBwAAAAoxMi8zMC8yMDE0CAAAAAk5LzMwLzIwMTEJAAAAATDwq9L6c/LRCLCu9vpz8tEIIENJUS5UU0VNLklRX0ZJTElOR0RBVEVfQlMuRlkyMDEzAQAAAN8NBQAFAAAACDMvMy8yMDE0APCr0vpz8tEIIE/1+nPy0QgiQ0lRLjUzMzI1Ny5JUV9BTk5VQUxJWkVEX0RJVklERU5ELgEAAADCx8AEAwAAAAAAMFdq13Py0QjQv3DXc/LRCBhDSVEuQUxUSS5JUV9DT01QQU5ZX05BTUUBAAAA17MFAAMAAAAdQWx0YWlyIE5hbm90ZWNobm9sb2dpZXMsIEluYy4A4ITS+nPy0Qhwg/j6c/LRCB9DSVEuNTAwNTcwLklRX0ZJTElOR0RBVEVfQlMuNDgxAQAAAJxYDQAFAAAACTIvMjYvMjAxMADwq9L6c/LRCBCZ9/pz8tEIH0NJUS41MzMwOTYuSVFfQ09NTU9OX1JFUC5GWTIwMTIBAAAAgw05AgMAAAAAAPAJ96Vz8tEIsHIA+3Py0QgiQ0lRLjUzMjkzOS5JUV9BTk5VQUxJWkVEX0RJVklERU5ELgEAAABQfyUCAwAAAAAAwMTFl3Py0Qjg5wD7c/LRCBxDSVEuNTAwNTcwLklRX0NPTU1PTl9SRVAuNDg3AQAAAJxYDQADAAAAAADwq9L6c/LRCMDV9vpz8tEIH0NJUS41MDA1NzAuSVFfUkVUVVJOX0VRVUlUWS40ODUBAAAAnFgNAAIAAAAHNzYuNjk3MgEIAAAABQAAAAExAQAAAAoxNDI4ODAyNTA0AwAAAAI3MgIAAAAENDEyOAQAAAABMAcAAAAKMTIvMzAvMjAxNAgAAAAKMTIvMzEvMjAxMAkAAAABM</t>
  </si>
  <si>
    <t>PCr0vpz8tEI4CP3+nPy0QgjQ0lRLjUwMDU3MC5JUV9UT1RBTF9ERUJUX0VCSVREQS40OTgBAAAAnFgNAAIAAAAIMS44OTA0MzUBCAAAAAUAAAABMQEAAAAKMTcwNDU1OTY0MQMAAAACNzICAAAABDQxOTIEAAAAATAHAAAACjEyLzMwLzIwMTQIAAAACTMvMzEvMjAxNAkAAAABMADT0vpz8tEIoBb0+nPy0QgaQ0lRLjUxNDE2Mi5JUV9DT01QQU5ZX05BTUUBAAAArHaMAAMAAAASV2Vsc3B1biBJbmRpYSBMdGQuADC0F8Nz8tEI4EMew3Py0QgnQ0lRLjUzMjc3OC5JUV9UT1RBTF9ERUJUX0NBUElUQUwuRlkyMDEzAQAAACnGtQECAAAABzg4LjA1ODEBCAAAAAUAAAABMQEAAAAKMTY5NjU4MDg2MAMAAAACNzICAAAABDQxODYEAAAAATAHAAAACjEyLzMwLzIwMTQIAAAACTMvMzEvMjAxMwkAAAABMPCU9LNz8tEIEDb8s3Py0QgXQ0lRLklDTC5JUV9DQVBFWC5GWTIwMTMBAAAASXgNAAIAAAAILTgyNi41ODgBCAAAAAUAAAABMQEAAAAKMTcwMTA0NjM0MAMAAAADMTYwAgAAAAQyMDIxBAAAAAEwBwAAAAoxMi8zMC8yMDE0CAAAAAoxMi8zMS8yMDEzCQAAAAEw8KvS+nPy0QgwOv/6c/LRCCBDSVEuTlZNSS5JUV9GSUxJTkdEQVRFX0JTLkZZMjAxMwEAAABQ5wEABQAAAAkyLzI4LzIwMTQA8KvS+nPy0QggT/X6c/LRCB9DSVEuNTMyNzc4LklRX0NPTU1PTl9SRVAuRlkyMDEzAQAAACnGtQEDAAAAAADwlPSzc/LRCCBd/LNz</t>
  </si>
  <si>
    <t>8tEIF0NJUS41MzMyNTcuSVFfTkkuRlkyMDEzAQAAAMLHwAQCAAAACS0xMjM4Ljg4NgEIAAAABQAAAAExAQAAAAoxNjk3Nzc4ODIzAwAAAAI3MgIAAAACMTUEAAAAATAHAAAACjEyLzMwLzIwMTQIAAAACTMvMzEvMjAxMwkAAAABMDBXatdz8tEI0L9w13Py0QgaQ0lRLjUzMjkzOS5JUV9DT01QQU5ZX05BTUUBAAAAUH8lAgMAAAAWUmVsaWFuY2UgUG93ZXIgTGltaXRlZADAxMWXc/LRCBASZPdz8tEII0NJUS41MDA1NzAuSVFfVE9UQUxfREVCVF9FQklUREEuNDkxAQAAAJxYDQACAAAACDIuNDA3OTM4AQgAAAAFAAAAATEBAAAACjE1NTc4MTQ1MjcDAAAAAjcyAgAAAAQ0MTkyBAAAAAEwBwAAAAoxMi8zMC8yMDE0CAAAAAk2LzMwLzIwMTIJAAAAATAA09L6c/LRCCBP9fpz8tEIIkNJUS41MzI5MzkuSVFfRklMSU5HREFURV9CUy5GWTIwMTMBAAAAUH8lAgUAAAAJOS8xMS8yMDE0AMDExZdz8tEI0MAA+3Py0QgkQ0lRLk5WTUkuSVFfRElWSURFTkRfWUlFTEQuMi8yOC8yMDE0AQAAAFDnAQADAAAAAADQ3Qr8c/LRCHB7Hfxz8tEIK0NJUS41MDA1NzAuSVFfQU5OVUFMSVpFRF9ESVZJREVORC4yLzE0LzIwMTMBAAAAnFgNAAIAAAABNADQ3Qr8c/LRCMA+Hvxz8tEIH0NJUS41MDA1NzAuSVFfRklMSU5HREFURV9CUy40ODABAAAAnFgNAAUAAAAKMTEvMjcvMjAwOQDwq9L6c/LRCCDA9/pz8tEIK0NJUS5JUVQzNjE4Mzg</t>
  </si>
  <si>
    <t>zOS5JUV9MQVNUU0FMRVBSSUNFLjEwLzIzLzIwMTQBAAAAHR8oAgIAAAAEMi4yOQDQ3Qr8c/LRCICiHfxz8tEIH0NJUS5JQ0wuSVFfRklMSU5HREFURV9CUy5GWTIwMTMBAAAASXgNAAUAAAAJOS8yNC8yMDE0APCr0vpz8tEIIE/1+nPy0QgTQ0lRLkFSU1AuQjEuLkZZMjAxMgUAAAABAAAACAAAABYoSW52YWxpZCBGb3JtdWxhIE5hbWUpwDbS+nPy0QjANtL6c/LRCCFDSVEuSVFUMzYxODM4MzkuSVFfTEFTVFNBTEVQUklDRS4BAAAAHR8oAgIAAAAEMi4yMgDQXdL6c/LRCNBd0vpz8tEIDENJUS41MDA0MDAuLgUAAAABAAAACAAAABYoSW52YWxpZCBGb3JtdWxhIE5hbWUp0F3S+nPy0QjQXdL6c/LRCBtDSVEuNTAwNTcwLklRX1RPVEFMX1JFVi40OTEBAAAAnFgNAAIAAAAINDMxNzExLjMBCAAAAAUAAAABMQEAAAAKMTU1NzgxNDUyNwMAAAACNzICAAAAAjI4BAAAAAEwBwAAAAoxMi8zMC8yMDE0CAAAAAk2LzMwLzIwMTIJAAAAATDwq9L6c/LRCIA59vpz8tEIGkNJUS41MDA0MDAuSVFfQ0FQRVguRlkyMDEyAQAAAKFXDQACAAAABi01MzUwNwEIAAAABQAAAAExAQAAAAoxNjI2NTAyMDM2AwAAAAI3MgIAAAAEMjAyMQQAAAABMAcAAAAKMTIvMzAvMjAxNAgAAAAJMy8zMS8yMDEyCQAAAAEwwNCZnnPy0QjQwAD7c/LRCBRDSVEuLklRX1RFVl9FQklUREEuLgUAAAABAAAACAAAABQoSW52YWxpZCBJZGVudGlmaWVyKT</t>
  </si>
  <si>
    <t>B05dpz8tEIAJfc+nPy0QgeQ0lRLjUzMjkzOS5JUV9UT1RBTF9SRVYuRlkyMDEzAQAAAFB/JQICAAAABzQ5MjY1LjkBCAAAAAUAAAABMQEAAAAKMTY5NzUwMjUzMgMAAAACNzICAAAAAjI4BAAAAAEwBwAAAAoxMi8zMC8yMDE0CAAAAAkzLzMxLzIwMTMJAAAAATDAxMWXc/LRCODnAPtz8tEIG0NJUS5UU0VNLklRX0RJVklERU5EX1lJRUxELgEAAADfDQUAAwAAAAAA4ITS+nPy0QggVt/6c/LRCCRDSVEuNTAwNTcwLklRX1RPVEFMX0RFQlRfQ0FQSVRBTC40OTcBAAAAnFgNAAIAAAAHNDkuNzg2MQEIAAAABQAAAAExAQAAAAoxNjU3Mzc4NDUwAwAAAAI3MgIAAAAENDE4NgQAAAABMAcAAAAKMTIvMzAvMjAxNAgAAAAKMTIvMzEvMjAxMwkAAAABMADT0vpz8tEIwGT0+nPy0QghQ0lRLk5WTUkuSVFfVEVWX0VCSVREQS4uMi8yOC8yMDE0AQAAAFDnAQACAAAACDEzLjIxMjYzAQcAAAAFAAAAATEBAAAACjE2NjExMTU3ODIDAAAAATACAAAABjEwMDAzMAQAAAABMAcAAAAJMi8yOC8yMDE0CAAAAAkyLzI4LzIwMTTgBAv8c/LRCHB7Hfxz8tEIF0NJUS41MDA1NzAuSVFfQ0FQRVguNDg3AQAAAJxYDQADAAAAAADwq9L6c/LRCND89vpz8tEIJkNJUS41MzI1NTUuSVFfVE9UQUxfREVCVF9FQklUREEuRlkyMDEzAQAAAK2ZkwACAAAACDMuODU1NjQxAQgAAAAFAAAAATEBAAAACjE2ODg5MTQ2NjcDAAAAAjcyAgAAAAQ0MTkyB</t>
  </si>
  <si>
    <t>AAAAAEwBwAAAAoxMi8zMC8yMDE0CAAAAAkzLzMxLzIwMTMJAAAAATDA8/aRc/LRCPAOAftz8tEICUNJUS5JQ0wuLgUAAAABAAAACAAAABYoSW52YWxpZCBGb3JtdWxhIE5hbWUp0F3S+nPy0QjQXdL6c/LRCCtDSVEuNTAwNTcwLklRX0FOTlVBTElaRURfRElWSURFTkQuMi8xNC8yMDEyAQAAAJxYDQACAAAAATQA0N0K/HPy0QiwFx78c/LRCBtDSVEuNTAwNTcwLklRX1RPVEFMX1JFVi40OTgBAAAAnFgNAAIAAAAINjY4NDUxLjIBCAAAAAUAAAABMQEAAAAKMTcwNDU1OTY0MQMAAAACNzICAAAAAjI4BAAAAAEwBwAAAAoxMi8zMC8yMDE0CAAAAAkzLzMxLzIwMTQJAAAAATAA09L6c/LRCLA99Ppz8tEI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</si>
</sst>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"/>
    <numFmt numFmtId="165" formatCode="0.0%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rgb="FFFF0000"/>
      <name val="Cambria"/>
      <family val="1"/>
      <scheme val="major"/>
    </font>
    <font>
      <u/>
      <sz val="9.9"/>
      <color theme="10"/>
      <name val="Calibri"/>
      <family val="2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0.5"/>
      <color rgb="FF333333"/>
      <name val="Arial"/>
      <family val="2"/>
    </font>
    <font>
      <sz val="11"/>
      <name val="Calibri"/>
      <family val="2"/>
      <scheme val="minor"/>
    </font>
    <font>
      <sz val="10.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15" fontId="0" fillId="0" borderId="0" xfId="0" applyNumberFormat="1"/>
    <xf numFmtId="0" fontId="0" fillId="0" borderId="0" xfId="0" applyAlignment="1">
      <alignment wrapText="1"/>
    </xf>
    <xf numFmtId="17" fontId="0" fillId="0" borderId="0" xfId="0" applyNumberFormat="1"/>
    <xf numFmtId="16" fontId="0" fillId="0" borderId="0" xfId="0" applyNumberFormat="1"/>
    <xf numFmtId="15" fontId="0" fillId="0" borderId="0" xfId="0" applyNumberFormat="1" applyAlignment="1">
      <alignment wrapText="1"/>
    </xf>
    <xf numFmtId="164" fontId="0" fillId="0" borderId="0" xfId="0" applyNumberFormat="1"/>
    <xf numFmtId="2" fontId="0" fillId="0" borderId="0" xfId="0" applyNumberFormat="1"/>
    <xf numFmtId="14" fontId="0" fillId="0" borderId="0" xfId="0" applyNumberFormat="1"/>
    <xf numFmtId="0" fontId="2" fillId="0" borderId="0" xfId="0" applyFont="1" applyAlignment="1">
      <alignment wrapText="1"/>
    </xf>
    <xf numFmtId="43" fontId="0" fillId="0" borderId="0" xfId="1" applyFont="1"/>
    <xf numFmtId="0" fontId="0" fillId="2" borderId="0" xfId="0" applyFill="1"/>
    <xf numFmtId="0" fontId="0" fillId="0" borderId="1" xfId="0" applyBorder="1"/>
    <xf numFmtId="43" fontId="0" fillId="0" borderId="1" xfId="1" applyFont="1" applyBorder="1"/>
    <xf numFmtId="0" fontId="0" fillId="0" borderId="1" xfId="0" applyBorder="1" applyAlignment="1">
      <alignment wrapText="1"/>
    </xf>
    <xf numFmtId="2" fontId="0" fillId="0" borderId="1" xfId="0" applyNumberFormat="1" applyBorder="1"/>
    <xf numFmtId="9" fontId="0" fillId="0" borderId="1" xfId="2" applyFont="1" applyBorder="1"/>
    <xf numFmtId="0" fontId="0" fillId="0" borderId="0" xfId="0" applyFill="1"/>
    <xf numFmtId="165" fontId="0" fillId="0" borderId="1" xfId="2" applyNumberFormat="1" applyFont="1" applyBorder="1"/>
    <xf numFmtId="0" fontId="0" fillId="0" borderId="0" xfId="0" applyBorder="1" applyAlignment="1">
      <alignment wrapText="1"/>
    </xf>
    <xf numFmtId="165" fontId="0" fillId="0" borderId="0" xfId="2" applyNumberFormat="1" applyFont="1" applyBorder="1"/>
    <xf numFmtId="2" fontId="0" fillId="0" borderId="1" xfId="2" applyNumberFormat="1" applyFont="1" applyBorder="1"/>
    <xf numFmtId="2" fontId="0" fillId="0" borderId="0" xfId="2" applyNumberFormat="1" applyFont="1" applyBorder="1"/>
    <xf numFmtId="43" fontId="0" fillId="0" borderId="0" xfId="1" applyFont="1" applyBorder="1"/>
    <xf numFmtId="9" fontId="0" fillId="0" borderId="0" xfId="2" applyFont="1" applyBorder="1"/>
    <xf numFmtId="0" fontId="0" fillId="0" borderId="2" xfId="0" applyBorder="1" applyAlignment="1">
      <alignment wrapText="1"/>
    </xf>
    <xf numFmtId="9" fontId="0" fillId="0" borderId="2" xfId="2" applyFont="1" applyBorder="1"/>
    <xf numFmtId="0" fontId="0" fillId="0" borderId="0" xfId="0" applyBorder="1"/>
    <xf numFmtId="15" fontId="0" fillId="0" borderId="0" xfId="0" applyNumberFormat="1" applyBorder="1" applyAlignment="1">
      <alignment wrapText="1"/>
    </xf>
    <xf numFmtId="9" fontId="0" fillId="0" borderId="3" xfId="2" applyFont="1" applyBorder="1"/>
    <xf numFmtId="0" fontId="0" fillId="0" borderId="0" xfId="0" applyFill="1" applyBorder="1"/>
    <xf numFmtId="10" fontId="0" fillId="0" borderId="1" xfId="2" applyNumberFormat="1" applyFont="1" applyBorder="1"/>
    <xf numFmtId="2" fontId="0" fillId="0" borderId="0" xfId="0" applyNumberFormat="1" applyBorder="1"/>
    <xf numFmtId="0" fontId="0" fillId="0" borderId="4" xfId="0" applyBorder="1"/>
    <xf numFmtId="2" fontId="0" fillId="0" borderId="4" xfId="0" applyNumberFormat="1" applyBorder="1"/>
    <xf numFmtId="165" fontId="0" fillId="0" borderId="4" xfId="2" applyNumberFormat="1" applyFont="1" applyBorder="1"/>
    <xf numFmtId="14" fontId="0" fillId="0" borderId="0" xfId="0" applyNumberFormat="1" applyBorder="1"/>
    <xf numFmtId="9" fontId="0" fillId="0" borderId="1" xfId="2" applyNumberFormat="1" applyFont="1" applyBorder="1"/>
    <xf numFmtId="0" fontId="3" fillId="0" borderId="0" xfId="0" applyFont="1" applyBorder="1"/>
    <xf numFmtId="0" fontId="3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3" fillId="0" borderId="0" xfId="0" applyFont="1" applyBorder="1" applyAlignment="1"/>
    <xf numFmtId="0" fontId="0" fillId="0" borderId="5" xfId="0" applyBorder="1" applyAlignment="1">
      <alignment wrapText="1"/>
    </xf>
    <xf numFmtId="9" fontId="0" fillId="0" borderId="5" xfId="2" applyFont="1" applyBorder="1"/>
    <xf numFmtId="0" fontId="0" fillId="0" borderId="1" xfId="0" applyFill="1" applyBorder="1" applyAlignment="1">
      <alignment wrapText="1"/>
    </xf>
    <xf numFmtId="165" fontId="0" fillId="2" borderId="1" xfId="2" applyNumberFormat="1" applyFont="1" applyFill="1" applyBorder="1"/>
    <xf numFmtId="0" fontId="5" fillId="0" borderId="0" xfId="3" applyAlignment="1" applyProtection="1"/>
    <xf numFmtId="0" fontId="6" fillId="0" borderId="0" xfId="0" applyFont="1"/>
    <xf numFmtId="0" fontId="2" fillId="0" borderId="0" xfId="0" applyFont="1"/>
    <xf numFmtId="14" fontId="2" fillId="0" borderId="0" xfId="0" applyNumberFormat="1" applyFont="1"/>
    <xf numFmtId="0" fontId="2" fillId="0" borderId="1" xfId="0" applyFont="1" applyBorder="1"/>
    <xf numFmtId="2" fontId="2" fillId="0" borderId="1" xfId="2" applyNumberFormat="1" applyFont="1" applyBorder="1"/>
    <xf numFmtId="2" fontId="2" fillId="0" borderId="1" xfId="0" applyNumberFormat="1" applyFont="1" applyBorder="1"/>
    <xf numFmtId="165" fontId="2" fillId="0" borderId="1" xfId="2" applyNumberFormat="1" applyFont="1" applyBorder="1"/>
    <xf numFmtId="0" fontId="7" fillId="0" borderId="0" xfId="0" applyFont="1"/>
    <xf numFmtId="0" fontId="8" fillId="0" borderId="0" xfId="0" applyFont="1"/>
    <xf numFmtId="2" fontId="0" fillId="0" borderId="0" xfId="2" applyNumberFormat="1" applyFont="1"/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Fill="1" applyBorder="1" applyAlignment="1">
      <alignment wrapText="1"/>
    </xf>
    <xf numFmtId="0" fontId="0" fillId="0" borderId="10" xfId="0" applyBorder="1"/>
    <xf numFmtId="165" fontId="0" fillId="0" borderId="11" xfId="2" applyNumberFormat="1" applyFont="1" applyBorder="1"/>
    <xf numFmtId="0" fontId="9" fillId="0" borderId="0" xfId="0" applyFont="1" applyBorder="1"/>
    <xf numFmtId="0" fontId="10" fillId="0" borderId="0" xfId="0" applyFont="1" applyBorder="1"/>
    <xf numFmtId="0" fontId="2" fillId="0" borderId="0" xfId="0" applyFont="1" applyBorder="1"/>
    <xf numFmtId="14" fontId="2" fillId="0" borderId="0" xfId="0" applyNumberFormat="1" applyFont="1" applyBorder="1"/>
    <xf numFmtId="165" fontId="2" fillId="0" borderId="11" xfId="2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wrapText="1"/>
    </xf>
    <xf numFmtId="9" fontId="0" fillId="0" borderId="14" xfId="2" applyFont="1" applyBorder="1"/>
    <xf numFmtId="9" fontId="0" fillId="0" borderId="15" xfId="2" applyFont="1" applyBorder="1"/>
    <xf numFmtId="0" fontId="0" fillId="0" borderId="7" xfId="0" applyBorder="1"/>
    <xf numFmtId="0" fontId="0" fillId="0" borderId="8" xfId="0" applyBorder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27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(13)'!$F$7:$K$7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(13)'!$E$30:$J$30</c:f>
              <c:numCache>
                <c:formatCode>0%</c:formatCode>
                <c:ptCount val="6"/>
                <c:pt idx="0">
                  <c:v>-0.35639097744360904</c:v>
                </c:pt>
                <c:pt idx="1">
                  <c:v>-0.7834586466165413</c:v>
                </c:pt>
                <c:pt idx="2">
                  <c:v>-0.25714285714285712</c:v>
                </c:pt>
                <c:pt idx="3">
                  <c:v>1.2030075187969926E-2</c:v>
                </c:pt>
                <c:pt idx="4">
                  <c:v>0.10601503759398496</c:v>
                </c:pt>
                <c:pt idx="5">
                  <c:v>-0.7834586466165413</c:v>
                </c:pt>
              </c:numCache>
            </c:numRef>
          </c:val>
        </c:ser>
        <c:dLbls>
          <c:showVal val="1"/>
        </c:dLbls>
        <c:axId val="198425216"/>
        <c:axId val="198435200"/>
      </c:barChart>
      <c:catAx>
        <c:axId val="198425216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198435200"/>
        <c:crosses val="autoZero"/>
        <c:auto val="1"/>
        <c:lblAlgn val="ctr"/>
        <c:lblOffset val="100"/>
      </c:catAx>
      <c:valAx>
        <c:axId val="19843520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198425216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/>
              <a:t>Correlation Multiple vs Factors for</a:t>
            </a:r>
            <a:r>
              <a:rPr lang="en-US" baseline="0"/>
              <a:t> US Companies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19"/>
          <c:w val="0.73268429506013499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(13)'!$F$7:$K$7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(13)'!$E$41:$J$41</c:f>
              <c:numCache>
                <c:formatCode>0%</c:formatCode>
                <c:ptCount val="6"/>
                <c:pt idx="0">
                  <c:v>1</c:v>
                </c:pt>
                <c:pt idx="1">
                  <c:v>-0.4</c:v>
                </c:pt>
                <c:pt idx="2">
                  <c:v>-0.4</c:v>
                </c:pt>
                <c:pt idx="3">
                  <c:v>-0.1</c:v>
                </c:pt>
                <c:pt idx="4">
                  <c:v>-0.1</c:v>
                </c:pt>
                <c:pt idx="5">
                  <c:v>0.8</c:v>
                </c:pt>
              </c:numCache>
            </c:numRef>
          </c:val>
        </c:ser>
        <c:dLbls>
          <c:showVal val="1"/>
        </c:dLbls>
        <c:axId val="198446464"/>
        <c:axId val="198468736"/>
      </c:barChart>
      <c:catAx>
        <c:axId val="19844646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198468736"/>
        <c:crosses val="autoZero"/>
        <c:auto val="1"/>
        <c:lblAlgn val="ctr"/>
        <c:lblOffset val="100"/>
      </c:catAx>
      <c:valAx>
        <c:axId val="198468736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19844646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200"/>
              <a:t>Correlation Multiple vs Factors for Indian Companies</a:t>
            </a:r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13"/>
          <c:w val="0.73268429506013522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(13)'!$F$54:$J$54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(13)'!$F$65:$J$65</c:f>
              <c:numCache>
                <c:formatCode>0%</c:formatCode>
                <c:ptCount val="5"/>
                <c:pt idx="0">
                  <c:v>-0.15</c:v>
                </c:pt>
                <c:pt idx="1">
                  <c:v>-0.2</c:v>
                </c:pt>
                <c:pt idx="2">
                  <c:v>0.8</c:v>
                </c:pt>
                <c:pt idx="3">
                  <c:v>0.6</c:v>
                </c:pt>
                <c:pt idx="4">
                  <c:v>-0.3</c:v>
                </c:pt>
              </c:numCache>
            </c:numRef>
          </c:val>
        </c:ser>
        <c:dLbls>
          <c:showVal val="1"/>
        </c:dLbls>
        <c:axId val="198525312"/>
        <c:axId val="198526848"/>
      </c:barChart>
      <c:catAx>
        <c:axId val="19852531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198526848"/>
        <c:crosses val="autoZero"/>
        <c:auto val="1"/>
        <c:lblAlgn val="ctr"/>
        <c:lblOffset val="100"/>
      </c:catAx>
      <c:valAx>
        <c:axId val="19852684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19852531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100"/>
              <a:t>Correlation Multiple vs Factors for</a:t>
            </a:r>
            <a:r>
              <a:rPr lang="en-US" sz="1100" baseline="0"/>
              <a:t> Israeli Companies</a:t>
            </a:r>
            <a:endParaRPr lang="en-US" sz="1100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07"/>
          <c:w val="0.73268429506013544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(13)'!$F$54:$J$54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(13)'!$F$83:$J$83</c:f>
              <c:numCache>
                <c:formatCode>0%</c:formatCode>
                <c:ptCount val="5"/>
                <c:pt idx="0">
                  <c:v>0.15</c:v>
                </c:pt>
                <c:pt idx="1">
                  <c:v>0.3</c:v>
                </c:pt>
                <c:pt idx="2">
                  <c:v>-0.35</c:v>
                </c:pt>
                <c:pt idx="3">
                  <c:v>-0.65</c:v>
                </c:pt>
                <c:pt idx="4">
                  <c:v>0.1</c:v>
                </c:pt>
              </c:numCache>
            </c:numRef>
          </c:val>
        </c:ser>
        <c:dLbls>
          <c:showVal val="1"/>
        </c:dLbls>
        <c:axId val="198558848"/>
        <c:axId val="198560384"/>
      </c:barChart>
      <c:catAx>
        <c:axId val="198558848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198560384"/>
        <c:crosses val="autoZero"/>
        <c:auto val="1"/>
        <c:lblAlgn val="ctr"/>
        <c:lblOffset val="100"/>
      </c:catAx>
      <c:valAx>
        <c:axId val="19856038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198558848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32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(12)'!$A$1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(12)'!$F$7:$K$7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(12)'!$E$30:$J$30</c:f>
              <c:numCache>
                <c:formatCode>0%</c:formatCode>
                <c:ptCount val="6"/>
                <c:pt idx="0">
                  <c:v>-0.35639097744360904</c:v>
                </c:pt>
                <c:pt idx="1">
                  <c:v>-0.7834586466165413</c:v>
                </c:pt>
                <c:pt idx="2">
                  <c:v>-0.25714285714285712</c:v>
                </c:pt>
                <c:pt idx="3">
                  <c:v>1.2030075187969926E-2</c:v>
                </c:pt>
                <c:pt idx="4">
                  <c:v>0.10601503759398496</c:v>
                </c:pt>
                <c:pt idx="5">
                  <c:v>-0.7834586466165413</c:v>
                </c:pt>
              </c:numCache>
            </c:numRef>
          </c:val>
        </c:ser>
        <c:dLbls>
          <c:showVal val="1"/>
        </c:dLbls>
        <c:axId val="264880128"/>
        <c:axId val="264883200"/>
      </c:barChart>
      <c:catAx>
        <c:axId val="264880128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264883200"/>
        <c:crosses val="autoZero"/>
        <c:auto val="1"/>
        <c:lblAlgn val="ctr"/>
        <c:lblOffset val="100"/>
      </c:catAx>
      <c:valAx>
        <c:axId val="26488320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264880128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/>
              <a:t>Correlation Multiple vs Factors for</a:t>
            </a:r>
            <a:r>
              <a:rPr lang="en-US" baseline="0"/>
              <a:t> US Companies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0.19983014063540591"/>
          <c:y val="0.16160972418865427"/>
          <c:w val="0.73268429506013477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(12)'!$A$1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(12)'!$F$7:$K$7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(12)'!$E$41:$J$41</c:f>
              <c:numCache>
                <c:formatCode>0%</c:formatCode>
                <c:ptCount val="6"/>
                <c:pt idx="0">
                  <c:v>1</c:v>
                </c:pt>
                <c:pt idx="1">
                  <c:v>-0.4</c:v>
                </c:pt>
                <c:pt idx="2">
                  <c:v>-0.4</c:v>
                </c:pt>
                <c:pt idx="3">
                  <c:v>-0.1</c:v>
                </c:pt>
                <c:pt idx="4">
                  <c:v>-0.1</c:v>
                </c:pt>
                <c:pt idx="5">
                  <c:v>0.8</c:v>
                </c:pt>
              </c:numCache>
            </c:numRef>
          </c:val>
        </c:ser>
        <c:dLbls>
          <c:showVal val="1"/>
        </c:dLbls>
        <c:axId val="69396736"/>
        <c:axId val="69398528"/>
      </c:barChart>
      <c:catAx>
        <c:axId val="69396736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69398528"/>
        <c:crosses val="autoZero"/>
        <c:auto val="1"/>
        <c:lblAlgn val="ctr"/>
        <c:lblOffset val="100"/>
      </c:catAx>
      <c:valAx>
        <c:axId val="6939852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69396736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200"/>
              <a:t>Correlation Multiple vs Factors for Indian Companies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9983014063540591"/>
          <c:y val="0.16160972418865419"/>
          <c:w val="0.73268429506013499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(12)'!$A$1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(12)'!$F$54:$J$54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(12)'!$F$65:$J$65</c:f>
              <c:numCache>
                <c:formatCode>0%</c:formatCode>
                <c:ptCount val="5"/>
                <c:pt idx="0">
                  <c:v>-0.15</c:v>
                </c:pt>
                <c:pt idx="1">
                  <c:v>-0.2</c:v>
                </c:pt>
                <c:pt idx="2">
                  <c:v>0.8</c:v>
                </c:pt>
                <c:pt idx="3">
                  <c:v>0.6</c:v>
                </c:pt>
                <c:pt idx="4">
                  <c:v>-0.3</c:v>
                </c:pt>
              </c:numCache>
            </c:numRef>
          </c:val>
        </c:ser>
        <c:dLbls>
          <c:showVal val="1"/>
        </c:dLbls>
        <c:axId val="72952832"/>
        <c:axId val="72975104"/>
      </c:barChart>
      <c:catAx>
        <c:axId val="7295283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2975104"/>
        <c:crosses val="autoZero"/>
        <c:auto val="1"/>
        <c:lblAlgn val="ctr"/>
        <c:lblOffset val="100"/>
      </c:catAx>
      <c:valAx>
        <c:axId val="7297510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295283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100"/>
              <a:t>Correlation Multiple vs Factors for</a:t>
            </a:r>
            <a:r>
              <a:rPr lang="en-US" sz="1100" baseline="0"/>
              <a:t> Israeli Companies</a:t>
            </a:r>
            <a:endParaRPr lang="en-US" sz="1100"/>
          </a:p>
        </c:rich>
      </c:tx>
      <c:layout/>
    </c:title>
    <c:plotArea>
      <c:layout>
        <c:manualLayout>
          <c:layoutTarget val="inner"/>
          <c:xMode val="edge"/>
          <c:yMode val="edge"/>
          <c:x val="0.19983014063540591"/>
          <c:y val="0.16160972418865413"/>
          <c:w val="0.73268429506013522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(12)'!$A$1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(12)'!$F$54:$J$54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(12)'!$F$83:$J$83</c:f>
              <c:numCache>
                <c:formatCode>0%</c:formatCode>
                <c:ptCount val="5"/>
                <c:pt idx="0">
                  <c:v>0.15</c:v>
                </c:pt>
                <c:pt idx="1">
                  <c:v>0.3</c:v>
                </c:pt>
                <c:pt idx="2">
                  <c:v>-0.35</c:v>
                </c:pt>
                <c:pt idx="3">
                  <c:v>-0.65</c:v>
                </c:pt>
                <c:pt idx="4">
                  <c:v>0.1</c:v>
                </c:pt>
              </c:numCache>
            </c:numRef>
          </c:val>
        </c:ser>
        <c:dLbls>
          <c:showVal val="1"/>
        </c:dLbls>
        <c:axId val="72998912"/>
        <c:axId val="73000448"/>
      </c:barChart>
      <c:catAx>
        <c:axId val="7299891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000448"/>
        <c:crosses val="autoZero"/>
        <c:auto val="1"/>
        <c:lblAlgn val="ctr"/>
        <c:lblOffset val="100"/>
      </c:catAx>
      <c:valAx>
        <c:axId val="7300044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299891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38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(11)'!$A$1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(11)'!$F$7:$K$7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(11)'!$E$30:$J$30</c:f>
              <c:numCache>
                <c:formatCode>0%</c:formatCode>
                <c:ptCount val="6"/>
                <c:pt idx="0">
                  <c:v>-0.35639097744360904</c:v>
                </c:pt>
                <c:pt idx="1">
                  <c:v>-0.7834586466165413</c:v>
                </c:pt>
                <c:pt idx="2">
                  <c:v>-0.25714285714285712</c:v>
                </c:pt>
                <c:pt idx="3">
                  <c:v>1.2030075187969926E-2</c:v>
                </c:pt>
                <c:pt idx="4">
                  <c:v>0.10601503759398496</c:v>
                </c:pt>
                <c:pt idx="5">
                  <c:v>-0.7834586466165413</c:v>
                </c:pt>
              </c:numCache>
            </c:numRef>
          </c:val>
        </c:ser>
        <c:dLbls>
          <c:showVal val="1"/>
        </c:dLbls>
        <c:axId val="73065600"/>
        <c:axId val="73067136"/>
      </c:barChart>
      <c:catAx>
        <c:axId val="7306560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3067136"/>
        <c:crosses val="autoZero"/>
        <c:auto val="1"/>
        <c:lblAlgn val="ctr"/>
        <c:lblOffset val="100"/>
      </c:catAx>
      <c:valAx>
        <c:axId val="73067136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306560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/>
              <a:t>Correlation Multiple vs Factors for</a:t>
            </a:r>
            <a:r>
              <a:rPr lang="en-US" baseline="0"/>
              <a:t> US Companies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32"/>
          <c:w val="0.73268429506013455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(11)'!$A$1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(11)'!$F$7:$K$7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(11)'!$E$41:$J$41</c:f>
              <c:numCache>
                <c:formatCode>0%</c:formatCode>
                <c:ptCount val="6"/>
                <c:pt idx="0">
                  <c:v>1</c:v>
                </c:pt>
                <c:pt idx="1">
                  <c:v>-0.4</c:v>
                </c:pt>
                <c:pt idx="2">
                  <c:v>-0.4</c:v>
                </c:pt>
                <c:pt idx="3">
                  <c:v>-0.1</c:v>
                </c:pt>
                <c:pt idx="4">
                  <c:v>-0.1</c:v>
                </c:pt>
                <c:pt idx="5">
                  <c:v>0.8</c:v>
                </c:pt>
              </c:numCache>
            </c:numRef>
          </c:val>
        </c:ser>
        <c:dLbls>
          <c:showVal val="1"/>
        </c:dLbls>
        <c:axId val="73090944"/>
        <c:axId val="73092480"/>
      </c:barChart>
      <c:catAx>
        <c:axId val="7309094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092480"/>
        <c:crosses val="autoZero"/>
        <c:auto val="1"/>
        <c:lblAlgn val="ctr"/>
        <c:lblOffset val="100"/>
      </c:catAx>
      <c:valAx>
        <c:axId val="7309248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09094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200"/>
              <a:t>Correlation Multiple vs Factors for Indian Companies</a:t>
            </a:r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27"/>
          <c:w val="0.73268429506013477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(11)'!$A$1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(11)'!$F$54:$J$54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(11)'!$F$65:$J$65</c:f>
              <c:numCache>
                <c:formatCode>0%</c:formatCode>
                <c:ptCount val="5"/>
                <c:pt idx="0">
                  <c:v>-0.15476190476190477</c:v>
                </c:pt>
                <c:pt idx="1">
                  <c:v>-0.7142857142857143</c:v>
                </c:pt>
                <c:pt idx="2">
                  <c:v>-7.1428571428571425E-2</c:v>
                </c:pt>
                <c:pt idx="3">
                  <c:v>0.2857142857142857</c:v>
                </c:pt>
                <c:pt idx="4">
                  <c:v>-0.47619047619047616</c:v>
                </c:pt>
              </c:numCache>
            </c:numRef>
          </c:val>
        </c:ser>
        <c:dLbls>
          <c:showVal val="1"/>
        </c:dLbls>
        <c:axId val="73124480"/>
        <c:axId val="73130368"/>
      </c:barChart>
      <c:catAx>
        <c:axId val="7312448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130368"/>
        <c:crosses val="autoZero"/>
        <c:auto val="1"/>
        <c:lblAlgn val="ctr"/>
        <c:lblOffset val="100"/>
      </c:catAx>
      <c:valAx>
        <c:axId val="7313036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12448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100"/>
              <a:t>Correlation Multiple vs Factors for</a:t>
            </a:r>
            <a:r>
              <a:rPr lang="en-US" sz="1100" baseline="0"/>
              <a:t> Israeli Companies</a:t>
            </a:r>
            <a:endParaRPr lang="en-US" sz="1100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19"/>
          <c:w val="0.73268429506013499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(11)'!$A$1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(11)'!$F$54:$J$54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(11)'!$F$83:$J$83</c:f>
              <c:numCache>
                <c:formatCode>0%</c:formatCode>
                <c:ptCount val="5"/>
                <c:pt idx="0">
                  <c:v>0.15</c:v>
                </c:pt>
                <c:pt idx="1">
                  <c:v>0.3</c:v>
                </c:pt>
                <c:pt idx="2">
                  <c:v>-0.35</c:v>
                </c:pt>
                <c:pt idx="3">
                  <c:v>-0.65</c:v>
                </c:pt>
                <c:pt idx="4">
                  <c:v>-0.4</c:v>
                </c:pt>
              </c:numCache>
            </c:numRef>
          </c:val>
        </c:ser>
        <c:dLbls>
          <c:showVal val="1"/>
        </c:dLbls>
        <c:axId val="73137536"/>
        <c:axId val="73155712"/>
      </c:barChart>
      <c:catAx>
        <c:axId val="73137536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155712"/>
        <c:crosses val="autoZero"/>
        <c:auto val="1"/>
        <c:lblAlgn val="ctr"/>
        <c:lblOffset val="100"/>
      </c:catAx>
      <c:valAx>
        <c:axId val="73155712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137536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49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(10)'!$A$1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(10)'!$F$7:$K$7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(10)'!$E$30:$J$30</c:f>
              <c:numCache>
                <c:formatCode>0%</c:formatCode>
                <c:ptCount val="6"/>
                <c:pt idx="0">
                  <c:v>-0.35639097744360904</c:v>
                </c:pt>
                <c:pt idx="1">
                  <c:v>-0.7834586466165413</c:v>
                </c:pt>
                <c:pt idx="2">
                  <c:v>-0.25714285714285712</c:v>
                </c:pt>
                <c:pt idx="3">
                  <c:v>1.2030075187969926E-2</c:v>
                </c:pt>
                <c:pt idx="4">
                  <c:v>0.10601503759398496</c:v>
                </c:pt>
                <c:pt idx="5">
                  <c:v>-0.7834586466165413</c:v>
                </c:pt>
              </c:numCache>
            </c:numRef>
          </c:val>
        </c:ser>
        <c:dLbls>
          <c:showVal val="1"/>
        </c:dLbls>
        <c:axId val="73196288"/>
        <c:axId val="73197824"/>
      </c:barChart>
      <c:catAx>
        <c:axId val="73196288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3197824"/>
        <c:crosses val="autoZero"/>
        <c:auto val="1"/>
        <c:lblAlgn val="ctr"/>
        <c:lblOffset val="100"/>
      </c:catAx>
      <c:valAx>
        <c:axId val="7319782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3196288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/>
              <a:t>Correlation Multiple vs Factors for</a:t>
            </a:r>
            <a:r>
              <a:rPr lang="en-US" baseline="0"/>
              <a:t> US Companies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38"/>
          <c:w val="0.73268429506013433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(10)'!$A$1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(10)'!$F$7:$K$7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(10)'!$E$41:$J$41</c:f>
              <c:numCache>
                <c:formatCode>0%</c:formatCode>
                <c:ptCount val="6"/>
                <c:pt idx="0">
                  <c:v>1</c:v>
                </c:pt>
                <c:pt idx="1">
                  <c:v>-0.4</c:v>
                </c:pt>
                <c:pt idx="2">
                  <c:v>-0.4</c:v>
                </c:pt>
                <c:pt idx="3">
                  <c:v>-0.1</c:v>
                </c:pt>
                <c:pt idx="4">
                  <c:v>-0.1</c:v>
                </c:pt>
                <c:pt idx="5">
                  <c:v>0.8</c:v>
                </c:pt>
              </c:numCache>
            </c:numRef>
          </c:val>
        </c:ser>
        <c:dLbls>
          <c:showVal val="1"/>
        </c:dLbls>
        <c:axId val="73483776"/>
        <c:axId val="73485312"/>
      </c:barChart>
      <c:catAx>
        <c:axId val="73483776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485312"/>
        <c:crosses val="autoZero"/>
        <c:auto val="1"/>
        <c:lblAlgn val="ctr"/>
        <c:lblOffset val="100"/>
      </c:catAx>
      <c:valAx>
        <c:axId val="73485312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483776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200"/>
              <a:t>Correlation Multiple vs Factors for Indian Companies</a:t>
            </a:r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32"/>
          <c:w val="0.73268429506013455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(10)'!$A$1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(10)'!$F$54:$J$54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(10)'!$E$65:$I$65</c:f>
              <c:numCache>
                <c:formatCode>0%</c:formatCode>
                <c:ptCount val="5"/>
                <c:pt idx="0">
                  <c:v>1</c:v>
                </c:pt>
                <c:pt idx="1">
                  <c:v>-0.15476190476190477</c:v>
                </c:pt>
                <c:pt idx="2">
                  <c:v>-0.7142857142857143</c:v>
                </c:pt>
                <c:pt idx="3">
                  <c:v>-7.1428571428571425E-2</c:v>
                </c:pt>
                <c:pt idx="4">
                  <c:v>0.2857142857142857</c:v>
                </c:pt>
              </c:numCache>
            </c:numRef>
          </c:val>
        </c:ser>
        <c:dLbls>
          <c:showVal val="1"/>
        </c:dLbls>
        <c:axId val="73529600"/>
        <c:axId val="73535488"/>
      </c:barChart>
      <c:catAx>
        <c:axId val="7352960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535488"/>
        <c:crosses val="autoZero"/>
        <c:auto val="1"/>
        <c:lblAlgn val="ctr"/>
        <c:lblOffset val="100"/>
      </c:catAx>
      <c:valAx>
        <c:axId val="7353548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52960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100"/>
              <a:t>Correlation Multiple vs Factors for</a:t>
            </a:r>
            <a:r>
              <a:rPr lang="en-US" sz="1100" baseline="0"/>
              <a:t> Israeli Companies</a:t>
            </a:r>
            <a:endParaRPr lang="en-US" sz="1100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27"/>
          <c:w val="0.73268429506013477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(10)'!$A$1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(10)'!$F$54:$J$54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(10)'!$E$83:$I$83</c:f>
              <c:numCache>
                <c:formatCode>0%</c:formatCode>
                <c:ptCount val="5"/>
                <c:pt idx="0">
                  <c:v>1</c:v>
                </c:pt>
                <c:pt idx="1">
                  <c:v>0.15</c:v>
                </c:pt>
                <c:pt idx="2">
                  <c:v>0.3</c:v>
                </c:pt>
                <c:pt idx="3">
                  <c:v>-0.35</c:v>
                </c:pt>
                <c:pt idx="4">
                  <c:v>-0.65</c:v>
                </c:pt>
              </c:numCache>
            </c:numRef>
          </c:val>
        </c:ser>
        <c:dLbls>
          <c:showVal val="1"/>
        </c:dLbls>
        <c:axId val="73550848"/>
        <c:axId val="73569024"/>
      </c:barChart>
      <c:catAx>
        <c:axId val="73550848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569024"/>
        <c:crosses val="autoZero"/>
        <c:auto val="1"/>
        <c:lblAlgn val="ctr"/>
        <c:lblOffset val="100"/>
      </c:catAx>
      <c:valAx>
        <c:axId val="7356902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550848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55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(7)'!$A$1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(7)'!$F$7:$K$7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(7)'!$E$30:$J$30</c:f>
              <c:numCache>
                <c:formatCode>0%</c:formatCode>
                <c:ptCount val="6"/>
                <c:pt idx="0">
                  <c:v>-0.35964912280701755</c:v>
                </c:pt>
                <c:pt idx="1">
                  <c:v>-0.83245614035087723</c:v>
                </c:pt>
                <c:pt idx="2">
                  <c:v>-0.39834881320949433</c:v>
                </c:pt>
                <c:pt idx="3">
                  <c:v>3.3333333333333333E-2</c:v>
                </c:pt>
                <c:pt idx="4">
                  <c:v>-1.7543859649122807E-3</c:v>
                </c:pt>
                <c:pt idx="5">
                  <c:v>-0.83245614035087723</c:v>
                </c:pt>
              </c:numCache>
            </c:numRef>
          </c:val>
        </c:ser>
        <c:dLbls>
          <c:showVal val="1"/>
        </c:dLbls>
        <c:axId val="76079488"/>
        <c:axId val="76081024"/>
      </c:barChart>
      <c:catAx>
        <c:axId val="76079488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6081024"/>
        <c:crosses val="autoZero"/>
        <c:auto val="1"/>
        <c:lblAlgn val="ctr"/>
        <c:lblOffset val="100"/>
      </c:catAx>
      <c:valAx>
        <c:axId val="7608102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6079488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/>
              <a:t>Correlation Multiple vs Factors for</a:t>
            </a:r>
            <a:r>
              <a:rPr lang="en-US" baseline="0"/>
              <a:t> US Companies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49"/>
          <c:w val="0.73268429506013411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(7)'!$A$1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(7)'!$F$7:$K$7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(7)'!$E$41:$J$41</c:f>
              <c:numCache>
                <c:formatCode>0%</c:formatCode>
                <c:ptCount val="6"/>
                <c:pt idx="0">
                  <c:v>-0.4</c:v>
                </c:pt>
                <c:pt idx="1">
                  <c:v>0.8</c:v>
                </c:pt>
                <c:pt idx="2">
                  <c:v>0.4</c:v>
                </c:pt>
                <c:pt idx="3">
                  <c:v>0.8</c:v>
                </c:pt>
                <c:pt idx="4">
                  <c:v>0.8</c:v>
                </c:pt>
                <c:pt idx="5">
                  <c:v>1</c:v>
                </c:pt>
              </c:numCache>
            </c:numRef>
          </c:val>
        </c:ser>
        <c:dLbls>
          <c:showVal val="1"/>
        </c:dLbls>
        <c:axId val="73626752"/>
        <c:axId val="73628288"/>
      </c:barChart>
      <c:catAx>
        <c:axId val="7362675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628288"/>
        <c:crosses val="autoZero"/>
        <c:auto val="1"/>
        <c:lblAlgn val="ctr"/>
        <c:lblOffset val="100"/>
      </c:catAx>
      <c:valAx>
        <c:axId val="7362828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62675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200"/>
              <a:t>Correlation Multiple vs Factors for Indian Companies</a:t>
            </a:r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38"/>
          <c:w val="0.73268429506013433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(7)'!$A$1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(7)'!$F$54:$J$54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(7)'!$E$65:$I$65</c:f>
              <c:numCache>
                <c:formatCode>0%</c:formatCode>
                <c:ptCount val="5"/>
                <c:pt idx="0">
                  <c:v>-0.23333333333333334</c:v>
                </c:pt>
                <c:pt idx="1">
                  <c:v>-0.13333333333333333</c:v>
                </c:pt>
                <c:pt idx="2">
                  <c:v>0.53333333333333333</c:v>
                </c:pt>
                <c:pt idx="3">
                  <c:v>-0.13333333333333333</c:v>
                </c:pt>
                <c:pt idx="4">
                  <c:v>0.46666666666666667</c:v>
                </c:pt>
              </c:numCache>
            </c:numRef>
          </c:val>
        </c:ser>
        <c:dLbls>
          <c:showVal val="1"/>
        </c:dLbls>
        <c:axId val="73656192"/>
        <c:axId val="73657728"/>
      </c:barChart>
      <c:catAx>
        <c:axId val="7365619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3657728"/>
        <c:crosses val="autoZero"/>
        <c:auto val="1"/>
        <c:lblAlgn val="ctr"/>
        <c:lblOffset val="100"/>
      </c:catAx>
      <c:valAx>
        <c:axId val="7365772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365619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100"/>
              <a:t>Correlation Multiple vs Factors for</a:t>
            </a:r>
            <a:r>
              <a:rPr lang="en-US" sz="1100" baseline="0"/>
              <a:t> Israeli Companies</a:t>
            </a:r>
            <a:endParaRPr lang="en-US" sz="1100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32"/>
          <c:w val="0.73268429506013455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(7)'!$A$1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(7)'!$F$54:$J$54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(7)'!$E$83:$I$83</c:f>
              <c:numCache>
                <c:formatCode>0%</c:formatCode>
                <c:ptCount val="5"/>
                <c:pt idx="0">
                  <c:v>-0.05</c:v>
                </c:pt>
                <c:pt idx="1">
                  <c:v>-0.25714285714285712</c:v>
                </c:pt>
                <c:pt idx="2">
                  <c:v>0.6</c:v>
                </c:pt>
                <c:pt idx="3">
                  <c:v>0.14285714285714285</c:v>
                </c:pt>
                <c:pt idx="4">
                  <c:v>0.88571428571428568</c:v>
                </c:pt>
              </c:numCache>
            </c:numRef>
          </c:val>
        </c:ser>
        <c:dLbls>
          <c:showVal val="1"/>
        </c:dLbls>
        <c:axId val="76565120"/>
        <c:axId val="76575104"/>
      </c:barChart>
      <c:catAx>
        <c:axId val="7656512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6575104"/>
        <c:crosses val="autoZero"/>
        <c:auto val="1"/>
        <c:lblAlgn val="ctr"/>
        <c:lblOffset val="100"/>
      </c:catAx>
      <c:valAx>
        <c:axId val="7657510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656512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6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(8)'!$A$1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(8)'!$F$7:$K$7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(8)'!$E$30:$J$30</c:f>
              <c:numCache>
                <c:formatCode>0%</c:formatCode>
                <c:ptCount val="6"/>
                <c:pt idx="0">
                  <c:v>-0.35639097744360904</c:v>
                </c:pt>
                <c:pt idx="1">
                  <c:v>-0.7834586466165413</c:v>
                </c:pt>
                <c:pt idx="2">
                  <c:v>-0.25714285714285712</c:v>
                </c:pt>
                <c:pt idx="3">
                  <c:v>1.2030075187969926E-2</c:v>
                </c:pt>
                <c:pt idx="4">
                  <c:v>0.10601503759398496</c:v>
                </c:pt>
                <c:pt idx="5">
                  <c:v>-0.7834586466165413</c:v>
                </c:pt>
              </c:numCache>
            </c:numRef>
          </c:val>
        </c:ser>
        <c:dLbls>
          <c:showVal val="1"/>
        </c:dLbls>
        <c:axId val="76759040"/>
        <c:axId val="76760576"/>
      </c:barChart>
      <c:catAx>
        <c:axId val="7675904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6760576"/>
        <c:crosses val="autoZero"/>
        <c:auto val="1"/>
        <c:lblAlgn val="ctr"/>
        <c:lblOffset val="100"/>
      </c:catAx>
      <c:valAx>
        <c:axId val="76760576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675904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/>
              <a:t>Correlation Multiple vs Factors for</a:t>
            </a:r>
            <a:r>
              <a:rPr lang="en-US" baseline="0"/>
              <a:t> US Companies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55"/>
          <c:w val="0.73268429506013388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(8)'!$A$1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(8)'!$F$7:$K$7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(8)'!$E$41:$J$41</c:f>
              <c:numCache>
                <c:formatCode>0%</c:formatCode>
                <c:ptCount val="6"/>
                <c:pt idx="0">
                  <c:v>1</c:v>
                </c:pt>
                <c:pt idx="1">
                  <c:v>-0.4</c:v>
                </c:pt>
                <c:pt idx="2">
                  <c:v>-0.4</c:v>
                </c:pt>
                <c:pt idx="3">
                  <c:v>-0.1</c:v>
                </c:pt>
                <c:pt idx="4">
                  <c:v>-0.1</c:v>
                </c:pt>
                <c:pt idx="5">
                  <c:v>0.8</c:v>
                </c:pt>
              </c:numCache>
            </c:numRef>
          </c:val>
        </c:ser>
        <c:dLbls>
          <c:showVal val="1"/>
        </c:dLbls>
        <c:axId val="76788480"/>
        <c:axId val="76790016"/>
      </c:barChart>
      <c:catAx>
        <c:axId val="7678848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6790016"/>
        <c:crosses val="autoZero"/>
        <c:auto val="1"/>
        <c:lblAlgn val="ctr"/>
        <c:lblOffset val="100"/>
      </c:catAx>
      <c:valAx>
        <c:axId val="76790016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678848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200"/>
              <a:t>Correlation Multiple vs Factors for Indian Companies</a:t>
            </a:r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49"/>
          <c:w val="0.73268429506013411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(8)'!$A$1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(8)'!$F$54:$J$54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(8)'!$E$65:$I$65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Val val="1"/>
        </c:dLbls>
        <c:axId val="76801536"/>
        <c:axId val="76803072"/>
      </c:barChart>
      <c:catAx>
        <c:axId val="76801536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6803072"/>
        <c:crosses val="autoZero"/>
        <c:auto val="1"/>
        <c:lblAlgn val="ctr"/>
        <c:lblOffset val="100"/>
      </c:catAx>
      <c:valAx>
        <c:axId val="76803072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6801536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400"/>
            </a:pPr>
            <a:r>
              <a:rPr lang="en-US" sz="1100"/>
              <a:t>Correlation Multiple vs Factors for</a:t>
            </a:r>
            <a:r>
              <a:rPr lang="en-US" sz="1100" baseline="0"/>
              <a:t> Israeli Companies</a:t>
            </a:r>
            <a:endParaRPr lang="en-US" sz="1100"/>
          </a:p>
        </c:rich>
      </c:tx>
    </c:title>
    <c:plotArea>
      <c:layout>
        <c:manualLayout>
          <c:layoutTarget val="inner"/>
          <c:xMode val="edge"/>
          <c:yMode val="edge"/>
          <c:x val="0.19983014063540591"/>
          <c:y val="0.16160972418865438"/>
          <c:w val="0.73268429506013433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(8)'!$A$1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(8)'!$F$54:$J$54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(8)'!$E$83:$I$83</c:f>
              <c:numCache>
                <c:formatCode>0%</c:formatCode>
                <c:ptCount val="5"/>
                <c:pt idx="0">
                  <c:v>1</c:v>
                </c:pt>
                <c:pt idx="1">
                  <c:v>0.15</c:v>
                </c:pt>
                <c:pt idx="2">
                  <c:v>0.3</c:v>
                </c:pt>
                <c:pt idx="3">
                  <c:v>-0.35</c:v>
                </c:pt>
                <c:pt idx="4">
                  <c:v>-0.65</c:v>
                </c:pt>
              </c:numCache>
            </c:numRef>
          </c:val>
        </c:ser>
        <c:dLbls>
          <c:showVal val="1"/>
        </c:dLbls>
        <c:axId val="75999488"/>
        <c:axId val="76005376"/>
      </c:barChart>
      <c:catAx>
        <c:axId val="75999488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6005376"/>
        <c:crosses val="autoZero"/>
        <c:auto val="1"/>
        <c:lblAlgn val="ctr"/>
        <c:lblOffset val="100"/>
      </c:catAx>
      <c:valAx>
        <c:axId val="76005376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5999488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66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hardcoded!$A$1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hardcoded!$F$7:$K$7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hardcoded!$E$30:$J$30</c:f>
              <c:numCache>
                <c:formatCode>0%</c:formatCode>
                <c:ptCount val="6"/>
                <c:pt idx="0">
                  <c:v>-0.35964912280701755</c:v>
                </c:pt>
                <c:pt idx="1">
                  <c:v>-0.83245614035087723</c:v>
                </c:pt>
                <c:pt idx="2">
                  <c:v>-0.39834881320949433</c:v>
                </c:pt>
                <c:pt idx="3">
                  <c:v>3.3333333333333333E-2</c:v>
                </c:pt>
                <c:pt idx="4">
                  <c:v>-1.7543859649122807E-3</c:v>
                </c:pt>
                <c:pt idx="5">
                  <c:v>-0.83245614035087723</c:v>
                </c:pt>
              </c:numCache>
            </c:numRef>
          </c:val>
        </c:ser>
        <c:dLbls>
          <c:showVal val="1"/>
        </c:dLbls>
        <c:axId val="76877184"/>
        <c:axId val="76944512"/>
      </c:barChart>
      <c:catAx>
        <c:axId val="7687718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6944512"/>
        <c:crosses val="autoZero"/>
        <c:auto val="1"/>
        <c:lblAlgn val="ctr"/>
        <c:lblOffset val="100"/>
      </c:catAx>
      <c:valAx>
        <c:axId val="76944512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687718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6"/>
          <c:w val="0.732684295060133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hardcoded!$A$1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hardcoded!$F$7:$K$7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hardcoded!$E$41:$J$41</c:f>
              <c:numCache>
                <c:formatCode>0%</c:formatCode>
                <c:ptCount val="6"/>
                <c:pt idx="0">
                  <c:v>-0.4</c:v>
                </c:pt>
                <c:pt idx="1">
                  <c:v>0.8</c:v>
                </c:pt>
                <c:pt idx="2">
                  <c:v>0.4</c:v>
                </c:pt>
                <c:pt idx="3">
                  <c:v>0.8</c:v>
                </c:pt>
                <c:pt idx="4">
                  <c:v>0.8</c:v>
                </c:pt>
                <c:pt idx="5">
                  <c:v>1</c:v>
                </c:pt>
              </c:numCache>
            </c:numRef>
          </c:val>
        </c:ser>
        <c:dLbls>
          <c:showVal val="1"/>
        </c:dLbls>
        <c:axId val="76976512"/>
        <c:axId val="76978048"/>
      </c:barChart>
      <c:catAx>
        <c:axId val="7697651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6978048"/>
        <c:crosses val="autoZero"/>
        <c:auto val="1"/>
        <c:lblAlgn val="ctr"/>
        <c:lblOffset val="100"/>
      </c:catAx>
      <c:valAx>
        <c:axId val="7697804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697651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55"/>
          <c:w val="0.73268429506013388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hardcoded!$A$1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hardcoded!$F$54:$J$54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hardcoded!$E$62:$I$62</c:f>
              <c:numCache>
                <c:formatCode>0%</c:formatCode>
                <c:ptCount val="5"/>
                <c:pt idx="0">
                  <c:v>-0.30278487799023596</c:v>
                </c:pt>
                <c:pt idx="1">
                  <c:v>0.2731851209013042</c:v>
                </c:pt>
                <c:pt idx="2">
                  <c:v>0.73880083363653815</c:v>
                </c:pt>
                <c:pt idx="3">
                  <c:v>-5.1691884329240038E-2</c:v>
                </c:pt>
                <c:pt idx="4">
                  <c:v>0.41155142185212784</c:v>
                </c:pt>
              </c:numCache>
            </c:numRef>
          </c:val>
        </c:ser>
        <c:dLbls>
          <c:showVal val="1"/>
        </c:dLbls>
        <c:axId val="76993664"/>
        <c:axId val="76995200"/>
      </c:barChart>
      <c:catAx>
        <c:axId val="7699366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6995200"/>
        <c:crosses val="autoZero"/>
        <c:auto val="1"/>
        <c:lblAlgn val="ctr"/>
        <c:lblOffset val="100"/>
      </c:catAx>
      <c:valAx>
        <c:axId val="7699520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699366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74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(3)'!$F$7:$K$7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(3)'!$E$30:$J$30</c:f>
              <c:numCache>
                <c:formatCode>0%</c:formatCode>
                <c:ptCount val="6"/>
                <c:pt idx="0">
                  <c:v>-0.57792207792207795</c:v>
                </c:pt>
                <c:pt idx="1">
                  <c:v>0.10909090909090909</c:v>
                </c:pt>
                <c:pt idx="2">
                  <c:v>0.50389610389610384</c:v>
                </c:pt>
                <c:pt idx="3">
                  <c:v>0.33376623376623377</c:v>
                </c:pt>
                <c:pt idx="4">
                  <c:v>-0.17792207792207793</c:v>
                </c:pt>
                <c:pt idx="5">
                  <c:v>-0.13896103896103895</c:v>
                </c:pt>
              </c:numCache>
            </c:numRef>
          </c:val>
        </c:ser>
        <c:dLbls>
          <c:showVal val="1"/>
        </c:dLbls>
        <c:axId val="77068544"/>
        <c:axId val="77209600"/>
      </c:barChart>
      <c:catAx>
        <c:axId val="7706854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7209600"/>
        <c:crosses val="autoZero"/>
        <c:auto val="1"/>
        <c:lblAlgn val="ctr"/>
        <c:lblOffset val="100"/>
      </c:catAx>
      <c:valAx>
        <c:axId val="7720960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706854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66"/>
          <c:w val="0.73268429506013344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(3)'!$F$7:$K$7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(3)'!$E$41:$J$41</c:f>
              <c:numCache>
                <c:formatCode>0%</c:formatCode>
                <c:ptCount val="6"/>
                <c:pt idx="0">
                  <c:v>0.4</c:v>
                </c:pt>
                <c:pt idx="1">
                  <c:v>0.8</c:v>
                </c:pt>
                <c:pt idx="2">
                  <c:v>0.4</c:v>
                </c:pt>
                <c:pt idx="3">
                  <c:v>0.8</c:v>
                </c:pt>
                <c:pt idx="4">
                  <c:v>0.8</c:v>
                </c:pt>
                <c:pt idx="5">
                  <c:v>1</c:v>
                </c:pt>
              </c:numCache>
            </c:numRef>
          </c:val>
        </c:ser>
        <c:dLbls>
          <c:showVal val="1"/>
        </c:dLbls>
        <c:axId val="77245440"/>
        <c:axId val="77251328"/>
      </c:barChart>
      <c:catAx>
        <c:axId val="7724544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7251328"/>
        <c:crosses val="autoZero"/>
        <c:auto val="1"/>
        <c:lblAlgn val="ctr"/>
        <c:lblOffset val="100"/>
      </c:catAx>
      <c:valAx>
        <c:axId val="7725132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724544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6"/>
          <c:w val="0.732684295060133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(3)'!$A$1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(3)'!$F$54:$I$54</c:f>
              <c:strCache>
                <c:ptCount val="4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</c:strCache>
            </c:strRef>
          </c:cat>
          <c:val>
            <c:numRef>
              <c:f>'Inputs (3)'!$E$61:$H$61</c:f>
              <c:numCache>
                <c:formatCode>0%</c:formatCode>
                <c:ptCount val="4"/>
                <c:pt idx="0">
                  <c:v>0.16392269581533575</c:v>
                </c:pt>
                <c:pt idx="1">
                  <c:v>-0.8</c:v>
                </c:pt>
                <c:pt idx="2">
                  <c:v>0.8</c:v>
                </c:pt>
                <c:pt idx="3">
                  <c:v>-0.4</c:v>
                </c:pt>
              </c:numCache>
            </c:numRef>
          </c:val>
        </c:ser>
        <c:dLbls>
          <c:showVal val="1"/>
        </c:dLbls>
        <c:axId val="77135872"/>
        <c:axId val="77137408"/>
      </c:barChart>
      <c:catAx>
        <c:axId val="7713587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7137408"/>
        <c:crosses val="autoZero"/>
        <c:auto val="1"/>
        <c:lblAlgn val="ctr"/>
        <c:lblOffset val="100"/>
      </c:catAx>
      <c:valAx>
        <c:axId val="7713740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713587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/>
      <c:barChart>
        <c:barDir val="bar"/>
        <c:grouping val="clustered"/>
        <c:ser>
          <c:idx val="0"/>
          <c:order val="0"/>
          <c:tx>
            <c:strRef>
              <c:f>Inputs!$F$3</c:f>
              <c:strCache>
                <c:ptCount val="1"/>
                <c:pt idx="0">
                  <c:v>IQ_TEV_EBITDA</c:v>
                </c:pt>
              </c:strCache>
            </c:strRef>
          </c:tx>
          <c:cat>
            <c:strRef>
              <c:f>Inputs!$G$3:$J$3</c:f>
              <c:strCache>
                <c:ptCount val="4"/>
                <c:pt idx="0">
                  <c:v>IQ_DIVIDEND_YIELD</c:v>
                </c:pt>
                <c:pt idx="1">
                  <c:v>IQ_CAPEX_PCT_REV</c:v>
                </c:pt>
                <c:pt idx="2">
                  <c:v>IQ_TOTAL_DEBT_EBITDA</c:v>
                </c:pt>
                <c:pt idx="3">
                  <c:v>IQ_TOTAL_DEBT_CAPITAL</c:v>
                </c:pt>
              </c:strCache>
            </c:strRef>
          </c:cat>
          <c:val>
            <c:numRef>
              <c:f>Inputs!$F$51:$I$51</c:f>
              <c:numCache>
                <c:formatCode>0%</c:formatCode>
                <c:ptCount val="4"/>
                <c:pt idx="0">
                  <c:v>-0.21976972549115686</c:v>
                </c:pt>
                <c:pt idx="1">
                  <c:v>0.12134149341623325</c:v>
                </c:pt>
                <c:pt idx="2">
                  <c:v>-0.46849307491396824</c:v>
                </c:pt>
                <c:pt idx="3">
                  <c:v>-0.56990073409383646</c:v>
                </c:pt>
              </c:numCache>
            </c:numRef>
          </c:val>
        </c:ser>
        <c:axId val="77272192"/>
        <c:axId val="77273728"/>
      </c:barChart>
      <c:catAx>
        <c:axId val="77272192"/>
        <c:scaling>
          <c:orientation val="minMax"/>
        </c:scaling>
        <c:axPos val="l"/>
        <c:tickLblPos val="nextTo"/>
        <c:txPr>
          <a:bodyPr/>
          <a:lstStyle/>
          <a:p>
            <a:pPr>
              <a:defRPr sz="1050" baseline="0"/>
            </a:pPr>
            <a:endParaRPr lang="en-US"/>
          </a:p>
        </c:txPr>
        <c:crossAx val="77273728"/>
        <c:crosses val="autoZero"/>
        <c:auto val="1"/>
        <c:lblAlgn val="ctr"/>
        <c:lblOffset val="100"/>
      </c:catAx>
      <c:valAx>
        <c:axId val="77273728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727219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85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(2)'!$F$3</c:f>
              <c:strCache>
                <c:ptCount val="1"/>
                <c:pt idx="0">
                  <c:v>IQ_TEV_EBITDA</c:v>
                </c:pt>
              </c:strCache>
            </c:strRef>
          </c:tx>
          <c:dLbls>
            <c:delete val="1"/>
          </c:dLbls>
          <c:cat>
            <c:strRef>
              <c:f>'Inputs (2)'!$G$4:$L$4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(2)'!$F$52:$K$52</c:f>
              <c:numCache>
                <c:formatCode>0%</c:formatCode>
                <c:ptCount val="6"/>
                <c:pt idx="0">
                  <c:v>-0.66517334193601629</c:v>
                </c:pt>
                <c:pt idx="1">
                  <c:v>0.17372806786433251</c:v>
                </c:pt>
                <c:pt idx="2">
                  <c:v>-7.4899600171369984E-2</c:v>
                </c:pt>
                <c:pt idx="3">
                  <c:v>-0.56451914802741354</c:v>
                </c:pt>
                <c:pt idx="4">
                  <c:v>-0.1753587889897692</c:v>
                </c:pt>
                <c:pt idx="5">
                  <c:v>0.57894277249681669</c:v>
                </c:pt>
              </c:numCache>
            </c:numRef>
          </c:val>
        </c:ser>
        <c:dLbls>
          <c:showVal val="1"/>
        </c:dLbls>
        <c:axId val="77326592"/>
        <c:axId val="78536704"/>
      </c:barChart>
      <c:catAx>
        <c:axId val="7732659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8536704"/>
        <c:crosses val="autoZero"/>
        <c:auto val="1"/>
        <c:lblAlgn val="ctr"/>
        <c:lblOffset val="100"/>
      </c:catAx>
      <c:valAx>
        <c:axId val="78536704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732659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8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4.6596248199504905E-2"/>
          <c:y val="0.16160972418865455"/>
          <c:w val="0.88591813359492066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(6)'!$A$1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(6)'!$F$7:$K$7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(6)'!$E$30:$J$30</c:f>
              <c:numCache>
                <c:formatCode>0%</c:formatCode>
                <c:ptCount val="6"/>
                <c:pt idx="0">
                  <c:v>-0.35964912280701755</c:v>
                </c:pt>
                <c:pt idx="1">
                  <c:v>-0.83245614035087723</c:v>
                </c:pt>
                <c:pt idx="2">
                  <c:v>-0.39834881320949433</c:v>
                </c:pt>
                <c:pt idx="3">
                  <c:v>3.3333333333333333E-2</c:v>
                </c:pt>
                <c:pt idx="4">
                  <c:v>-1.7543859649122807E-3</c:v>
                </c:pt>
                <c:pt idx="5">
                  <c:v>-0.83245614035087723</c:v>
                </c:pt>
              </c:numCache>
            </c:numRef>
          </c:val>
        </c:ser>
        <c:dLbls>
          <c:showVal val="1"/>
        </c:dLbls>
        <c:axId val="77340032"/>
        <c:axId val="77374592"/>
      </c:barChart>
      <c:catAx>
        <c:axId val="77340032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1050" baseline="0"/>
            </a:pPr>
            <a:endParaRPr lang="en-US"/>
          </a:p>
        </c:txPr>
        <c:crossAx val="77374592"/>
        <c:crosses val="autoZero"/>
        <c:auto val="1"/>
        <c:lblAlgn val="ctr"/>
        <c:lblOffset val="100"/>
      </c:catAx>
      <c:valAx>
        <c:axId val="77374592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200" baseline="0"/>
            </a:pPr>
            <a:endParaRPr lang="en-US"/>
          </a:p>
        </c:txPr>
        <c:crossAx val="77340032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49"/>
          <c:w val="0.73268429506013411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(6)'!$A$1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(6)'!$F$7:$K$7</c:f>
              <c:strCache>
                <c:ptCount val="6"/>
                <c:pt idx="0">
                  <c:v>Dividend Yield</c:v>
                </c:pt>
                <c:pt idx="1">
                  <c:v>Capex/Revenue</c:v>
                </c:pt>
                <c:pt idx="2">
                  <c:v>Debt/EBITDA</c:v>
                </c:pt>
                <c:pt idx="3">
                  <c:v>Debt/Capital</c:v>
                </c:pt>
                <c:pt idx="4">
                  <c:v>Return on Equity</c:v>
                </c:pt>
                <c:pt idx="5">
                  <c:v>Repurchase payout ratio</c:v>
                </c:pt>
              </c:strCache>
            </c:strRef>
          </c:cat>
          <c:val>
            <c:numRef>
              <c:f>'Inputs (6)'!$E$41:$J$41</c:f>
              <c:numCache>
                <c:formatCode>0%</c:formatCode>
                <c:ptCount val="6"/>
                <c:pt idx="0">
                  <c:v>-0.4</c:v>
                </c:pt>
                <c:pt idx="1">
                  <c:v>0.8</c:v>
                </c:pt>
                <c:pt idx="2">
                  <c:v>0.4</c:v>
                </c:pt>
                <c:pt idx="3">
                  <c:v>0.8</c:v>
                </c:pt>
                <c:pt idx="4">
                  <c:v>0.8</c:v>
                </c:pt>
                <c:pt idx="5">
                  <c:v>1</c:v>
                </c:pt>
              </c:numCache>
            </c:numRef>
          </c:val>
        </c:ser>
        <c:dLbls>
          <c:showVal val="1"/>
        </c:dLbls>
        <c:axId val="78643584"/>
        <c:axId val="78645120"/>
      </c:barChart>
      <c:catAx>
        <c:axId val="7864358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8645120"/>
        <c:crosses val="autoZero"/>
        <c:auto val="1"/>
        <c:lblAlgn val="ctr"/>
        <c:lblOffset val="100"/>
      </c:catAx>
      <c:valAx>
        <c:axId val="7864512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864358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38"/>
          <c:w val="0.73268429506013433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(6)'!$A$1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(6)'!$F$54:$J$54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(6)'!$E$65:$I$65</c:f>
              <c:numCache>
                <c:formatCode>0%</c:formatCode>
                <c:ptCount val="5"/>
                <c:pt idx="0">
                  <c:v>-0.23333333333333334</c:v>
                </c:pt>
                <c:pt idx="1">
                  <c:v>-0.13333333333333333</c:v>
                </c:pt>
                <c:pt idx="2">
                  <c:v>0.53333333333333333</c:v>
                </c:pt>
                <c:pt idx="3">
                  <c:v>-0.13333333333333333</c:v>
                </c:pt>
                <c:pt idx="4">
                  <c:v>0.46666666666666667</c:v>
                </c:pt>
              </c:numCache>
            </c:numRef>
          </c:val>
        </c:ser>
        <c:dLbls>
          <c:showVal val="1"/>
        </c:dLbls>
        <c:axId val="78673024"/>
        <c:axId val="78674560"/>
      </c:barChart>
      <c:catAx>
        <c:axId val="78673024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8674560"/>
        <c:crosses val="autoZero"/>
        <c:auto val="1"/>
        <c:lblAlgn val="ctr"/>
        <c:lblOffset val="100"/>
      </c:catAx>
      <c:valAx>
        <c:axId val="78674560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8673024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4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983014063540591"/>
          <c:y val="0.16160972418865432"/>
          <c:w val="0.73268429506013455"/>
          <c:h val="0.80863374050298986"/>
        </c:manualLayout>
      </c:layout>
      <c:barChart>
        <c:barDir val="bar"/>
        <c:grouping val="clustered"/>
        <c:ser>
          <c:idx val="0"/>
          <c:order val="0"/>
          <c:tx>
            <c:strRef>
              <c:f>'Inputs (6)'!$A$1</c:f>
              <c:strCache>
                <c:ptCount val="1"/>
                <c:pt idx="0">
                  <c:v>Correlation Multiple vs Factors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dLbls>
            <c:delete val="1"/>
          </c:dLbls>
          <c:cat>
            <c:strRef>
              <c:f>'Inputs (6)'!$F$54:$J$54</c:f>
              <c:strCache>
                <c:ptCount val="5"/>
                <c:pt idx="0">
                  <c:v>Dividend Yield</c:v>
                </c:pt>
                <c:pt idx="1">
                  <c:v>Return on Equity</c:v>
                </c:pt>
                <c:pt idx="2">
                  <c:v>Debt/EBITDA</c:v>
                </c:pt>
                <c:pt idx="3">
                  <c:v>Debt/Capital</c:v>
                </c:pt>
                <c:pt idx="4">
                  <c:v>Capex/Revenue</c:v>
                </c:pt>
              </c:strCache>
            </c:strRef>
          </c:cat>
          <c:val>
            <c:numRef>
              <c:f>'Inputs (6)'!$E$83:$I$83</c:f>
              <c:numCache>
                <c:formatCode>0%</c:formatCode>
                <c:ptCount val="5"/>
                <c:pt idx="0">
                  <c:v>-0.05</c:v>
                </c:pt>
                <c:pt idx="1">
                  <c:v>-0.25714285714285712</c:v>
                </c:pt>
                <c:pt idx="2">
                  <c:v>0.6</c:v>
                </c:pt>
                <c:pt idx="3">
                  <c:v>0.14285714285714285</c:v>
                </c:pt>
                <c:pt idx="4">
                  <c:v>0.88571428571428568</c:v>
                </c:pt>
              </c:numCache>
            </c:numRef>
          </c:val>
        </c:ser>
        <c:dLbls>
          <c:showVal val="1"/>
        </c:dLbls>
        <c:axId val="78706560"/>
        <c:axId val="78708096"/>
      </c:barChart>
      <c:catAx>
        <c:axId val="78706560"/>
        <c:scaling>
          <c:orientation val="minMax"/>
        </c:scaling>
        <c:axPos val="l"/>
        <c:majorTickMark val="cross"/>
        <c:tickLblPos val="low"/>
        <c:txPr>
          <a:bodyPr/>
          <a:lstStyle/>
          <a:p>
            <a:pPr>
              <a:defRPr sz="900" baseline="0"/>
            </a:pPr>
            <a:endParaRPr lang="en-US"/>
          </a:p>
        </c:txPr>
        <c:crossAx val="78708096"/>
        <c:crosses val="autoZero"/>
        <c:auto val="1"/>
        <c:lblAlgn val="ctr"/>
        <c:lblOffset val="100"/>
      </c:catAx>
      <c:valAx>
        <c:axId val="78708096"/>
        <c:scaling>
          <c:orientation val="minMax"/>
        </c:scaling>
        <c:axPos val="b"/>
        <c:numFmt formatCode="0%" sourceLinked="1"/>
        <c:tickLblPos val="high"/>
        <c:spPr>
          <a:ln>
            <a:noFill/>
          </a:ln>
        </c:spPr>
        <c:txPr>
          <a:bodyPr/>
          <a:lstStyle/>
          <a:p>
            <a:pPr>
              <a:defRPr sz="1000" baseline="0"/>
            </a:pPr>
            <a:endParaRPr lang="en-US"/>
          </a:p>
        </c:txPr>
        <c:crossAx val="78706560"/>
        <c:crosses val="autoZero"/>
        <c:crossBetween val="between"/>
      </c:valAx>
      <c:spPr>
        <a:ln>
          <a:noFill/>
        </a:ln>
      </c:spPr>
    </c:plotArea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514350</xdr:colOff>
      <xdr:row>52</xdr:row>
      <xdr:rowOff>9525</xdr:rowOff>
    </xdr:from>
    <xdr:to>
      <xdr:col>25</xdr:col>
      <xdr:colOff>296333</xdr:colOff>
      <xdr:row>75</xdr:row>
      <xdr:rowOff>94192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140593</xdr:colOff>
      <xdr:row>89</xdr:row>
      <xdr:rowOff>91246</xdr:rowOff>
    </xdr:from>
    <xdr:to>
      <xdr:col>11</xdr:col>
      <xdr:colOff>629879</xdr:colOff>
      <xdr:row>114</xdr:row>
      <xdr:rowOff>58907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514350</xdr:colOff>
      <xdr:row>52</xdr:row>
      <xdr:rowOff>9525</xdr:rowOff>
    </xdr:from>
    <xdr:to>
      <xdr:col>25</xdr:col>
      <xdr:colOff>296333</xdr:colOff>
      <xdr:row>75</xdr:row>
      <xdr:rowOff>94192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140593</xdr:colOff>
      <xdr:row>89</xdr:row>
      <xdr:rowOff>91246</xdr:rowOff>
    </xdr:from>
    <xdr:to>
      <xdr:col>11</xdr:col>
      <xdr:colOff>629879</xdr:colOff>
      <xdr:row>114</xdr:row>
      <xdr:rowOff>58907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514350</xdr:colOff>
      <xdr:row>52</xdr:row>
      <xdr:rowOff>9525</xdr:rowOff>
    </xdr:from>
    <xdr:to>
      <xdr:col>25</xdr:col>
      <xdr:colOff>296333</xdr:colOff>
      <xdr:row>75</xdr:row>
      <xdr:rowOff>94192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678295</xdr:colOff>
      <xdr:row>84</xdr:row>
      <xdr:rowOff>14431</xdr:rowOff>
    </xdr:from>
    <xdr:to>
      <xdr:col>8</xdr:col>
      <xdr:colOff>1111250</xdr:colOff>
      <xdr:row>108</xdr:row>
      <xdr:rowOff>166447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514350</xdr:colOff>
      <xdr:row>52</xdr:row>
      <xdr:rowOff>9525</xdr:rowOff>
    </xdr:from>
    <xdr:to>
      <xdr:col>25</xdr:col>
      <xdr:colOff>296333</xdr:colOff>
      <xdr:row>75</xdr:row>
      <xdr:rowOff>94192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678295</xdr:colOff>
      <xdr:row>84</xdr:row>
      <xdr:rowOff>14431</xdr:rowOff>
    </xdr:from>
    <xdr:to>
      <xdr:col>8</xdr:col>
      <xdr:colOff>1111250</xdr:colOff>
      <xdr:row>108</xdr:row>
      <xdr:rowOff>166447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24</xdr:col>
      <xdr:colOff>391583</xdr:colOff>
      <xdr:row>75</xdr:row>
      <xdr:rowOff>84667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678295</xdr:colOff>
      <xdr:row>84</xdr:row>
      <xdr:rowOff>14431</xdr:rowOff>
    </xdr:from>
    <xdr:to>
      <xdr:col>8</xdr:col>
      <xdr:colOff>1111250</xdr:colOff>
      <xdr:row>108</xdr:row>
      <xdr:rowOff>166447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514350</xdr:colOff>
      <xdr:row>52</xdr:row>
      <xdr:rowOff>9525</xdr:rowOff>
    </xdr:from>
    <xdr:to>
      <xdr:col>25</xdr:col>
      <xdr:colOff>296333</xdr:colOff>
      <xdr:row>75</xdr:row>
      <xdr:rowOff>94192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678295</xdr:colOff>
      <xdr:row>84</xdr:row>
      <xdr:rowOff>14431</xdr:rowOff>
    </xdr:from>
    <xdr:to>
      <xdr:col>8</xdr:col>
      <xdr:colOff>1111250</xdr:colOff>
      <xdr:row>108</xdr:row>
      <xdr:rowOff>166447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24</xdr:col>
      <xdr:colOff>391583</xdr:colOff>
      <xdr:row>72</xdr:row>
      <xdr:rowOff>84667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24</xdr:col>
      <xdr:colOff>391583</xdr:colOff>
      <xdr:row>71</xdr:row>
      <xdr:rowOff>84667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180976</xdr:colOff>
      <xdr:row>54</xdr:row>
      <xdr:rowOff>4233</xdr:rowOff>
    </xdr:from>
    <xdr:to>
      <xdr:col>9</xdr:col>
      <xdr:colOff>772583</xdr:colOff>
      <xdr:row>79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180976</xdr:colOff>
      <xdr:row>55</xdr:row>
      <xdr:rowOff>4233</xdr:rowOff>
    </xdr:from>
    <xdr:to>
      <xdr:col>10</xdr:col>
      <xdr:colOff>317500</xdr:colOff>
      <xdr:row>79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24</xdr:col>
      <xdr:colOff>612774</xdr:colOff>
      <xdr:row>27</xdr:row>
      <xdr:rowOff>143934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497418</xdr:colOff>
      <xdr:row>29</xdr:row>
      <xdr:rowOff>52917</xdr:rowOff>
    </xdr:from>
    <xdr:to>
      <xdr:col>25</xdr:col>
      <xdr:colOff>275167</xdr:colOff>
      <xdr:row>48</xdr:row>
      <xdr:rowOff>137584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24</xdr:col>
      <xdr:colOff>391583</xdr:colOff>
      <xdr:row>75</xdr:row>
      <xdr:rowOff>84667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418522</xdr:colOff>
      <xdr:row>77</xdr:row>
      <xdr:rowOff>173182</xdr:rowOff>
    </xdr:from>
    <xdr:to>
      <xdr:col>24</xdr:col>
      <xdr:colOff>141431</xdr:colOff>
      <xdr:row>103</xdr:row>
      <xdr:rowOff>123152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kyDrive/Qcfinance/vba/regression/MC%20framework%20v1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odo"/>
      <sheetName val="Input"/>
      <sheetName val="Projection"/>
      <sheetName val="Residuals"/>
      <sheetName val="Paths"/>
      <sheetName val="De-seasonalization"/>
      <sheetName val="MRegression"/>
      <sheetName val="Jumps"/>
      <sheetName val="Mean_Reversion"/>
      <sheetName val="R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">
          <cell r="B8">
            <v>1.5363418112215665</v>
          </cell>
        </row>
        <row r="9">
          <cell r="B9">
            <v>0.26975837873632846</v>
          </cell>
        </row>
        <row r="10">
          <cell r="B10">
            <v>0.02</v>
          </cell>
        </row>
        <row r="11">
          <cell r="B11">
            <v>0</v>
          </cell>
        </row>
        <row r="12">
          <cell r="B12">
            <v>0.01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crmz.com/Directory/Industry20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www.crmz.com/Directory/Industry203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www.crmz.com/Directory/Industry20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www.crmz.com/Directory/Industry203.ht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www.crmz.com/Directory/Industry203.ht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www.crmz.com/Directory/Industry203.ht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www.crmz.com/Directory/Industry203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://www.crmz.com/Directory/Industry203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U111"/>
  <sheetViews>
    <sheetView topLeftCell="A48" zoomScale="62" zoomScaleNormal="62" workbookViewId="0">
      <selection activeCell="H68" sqref="H68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4" width="11.7109375" customWidth="1"/>
    <col min="5" max="5" width="13.85546875" customWidth="1"/>
    <col min="6" max="6" width="10.28515625" customWidth="1"/>
    <col min="7" max="7" width="11.7109375" customWidth="1"/>
    <col min="8" max="8" width="8.85546875" customWidth="1"/>
    <col min="9" max="9" width="7.7109375" customWidth="1"/>
    <col min="10" max="10" width="9.5703125" customWidth="1"/>
    <col min="11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7" width="9.7109375" customWidth="1"/>
    <col min="18" max="18" width="17.4257812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tr">
        <f>"IQ_FILINGDATE_BS"</f>
        <v>IQ_FILINGDATE_BS</v>
      </c>
      <c r="E6" s="12" t="str">
        <f>"IQ_TEV_EBITDA"</f>
        <v>IQ_TEV_EBITDA</v>
      </c>
      <c r="F6" s="14" t="str">
        <f>"IQ_DIVIDEND_YIELD"</f>
        <v>IQ_DIVIDEND_YIELD</v>
      </c>
      <c r="G6" s="14" t="str">
        <f>"IQ_CAPEX_PCT_REV"</f>
        <v>IQ_CAPEX_PCT_REV</v>
      </c>
      <c r="H6" s="14" t="str">
        <f>"IQ_TOTAL_DEBT_EBITDA"</f>
        <v>IQ_TOTAL_DEBT_EBITDA</v>
      </c>
      <c r="I6" s="14" t="str">
        <f>"IQ_TOTAL_DEBT_CAPITAL"</f>
        <v>IQ_TOTAL_DEBT_CAPITAL</v>
      </c>
      <c r="J6" s="14" t="str">
        <f>"IQ_RETURN_EQUITY"</f>
        <v>IQ_RETURN_EQUITY</v>
      </c>
      <c r="K6" s="25" t="str">
        <f>K7</f>
        <v>Repurchase payout ratio</v>
      </c>
      <c r="L6" s="19" t="str">
        <f>"IQ_COMMON_REP"</f>
        <v>IQ_COMMON_REP</v>
      </c>
      <c r="M6" s="2" t="str">
        <f>"IQ_NI"</f>
        <v>IQ_NI</v>
      </c>
      <c r="N6" s="28" t="str">
        <f>"IQ_LASTSALEPRICE"</f>
        <v>IQ_LASTSALEPRICE</v>
      </c>
      <c r="O6" s="2" t="str">
        <f>"IQ_ANNUALIZED_DIVIDEND"</f>
        <v>IQ_ANNUALIZED_DIVIDEND</v>
      </c>
      <c r="P6" s="2" t="str">
        <f>"IQ_CAPEX"</f>
        <v>IQ_CAPEX</v>
      </c>
      <c r="Q6" s="2" t="str">
        <f>"IQ_TOTAL_REV"</f>
        <v>IQ_TOTAL_REV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f>_xll.ciqfunctions.udf.CIQ($F$4, D$6,C8)</f>
        <v>41957</v>
      </c>
      <c r="E8" s="12">
        <f>_xll.ciqfunctions.udf.CIQ($F$4,$E$6, , D8)</f>
        <v>5.1093799999999998</v>
      </c>
      <c r="F8" s="12">
        <f>_xll.ciqfunctions.udf.CIQ($F$4, F$6, D8)/100</f>
        <v>3.8179999999999998E-3</v>
      </c>
      <c r="G8" s="12">
        <f>_xll.ciqfunctions.udf.CIQ($F$4, G$6, C8)/100</f>
        <v>0</v>
      </c>
      <c r="H8" s="15">
        <f>_xll.ciqfunctions.udf.CIQ($F$4, H$6, C8)</f>
        <v>1.9659899999999999</v>
      </c>
      <c r="I8" s="18">
        <f>_xll.ciqfunctions.udf.CIQ($F$4, I$6,  C8)/100</f>
        <v>0.47100799999999998</v>
      </c>
      <c r="J8" s="21">
        <f>_xll.ciqfunctions.udf.CIQ($F$4, J$6,  C8)</f>
        <v>19.721599999999999</v>
      </c>
      <c r="K8" s="26">
        <f t="shared" ref="K8:K28" si="0">-L8/M8</f>
        <v>0</v>
      </c>
      <c r="L8" s="22">
        <f>_xll.ciqfunctions.udf.CIQ($F$4, L$6,  C8)</f>
        <v>0</v>
      </c>
      <c r="M8">
        <f>_xll.ciqfunctions.udf.CIQ($F$4, M$6, C8)</f>
        <v>32908.6</v>
      </c>
      <c r="N8" s="27">
        <f>_xll.ciqfunctions.udf.CIQ($F$4, N$6,D8)</f>
        <v>523.79999999999995</v>
      </c>
      <c r="O8">
        <f>_xll.ciqfunctions.udf.CIQ($F$4, O$6,D8)</f>
        <v>2</v>
      </c>
      <c r="P8">
        <f>_xll.ciqfunctions.udf.CIQ($F$4, P$6, C8)</f>
        <v>0</v>
      </c>
      <c r="Q8">
        <f>_xll.ciqfunctions.udf.CIQ($F$4, Q$6, C8)</f>
        <v>601639.9</v>
      </c>
      <c r="U8" s="7"/>
    </row>
    <row r="9" spans="1:21">
      <c r="C9">
        <v>499</v>
      </c>
      <c r="D9" s="8">
        <f>_xll.ciqfunctions.udf.CIQ($F$4, D$6,C9)</f>
        <v>41935</v>
      </c>
      <c r="E9" s="12">
        <f>_xll.ciqfunctions.udf.CIQ($F$4,$E$6, , D9)</f>
        <v>5.33005</v>
      </c>
      <c r="F9" s="12">
        <f>_xll.ciqfunctions.udf.CIQ($F$4, F$6, D9)/100</f>
        <v>3.8679999999999999E-3</v>
      </c>
      <c r="G9" s="12">
        <f>_xll.ciqfunctions.udf.CIQ($F$4, G$6, C9)/100</f>
        <v>0</v>
      </c>
      <c r="H9" s="15">
        <f>_xll.ciqfunctions.udf.CIQ($F$4, H$6, C9)</f>
        <v>1.6374299999999999</v>
      </c>
      <c r="I9" s="18">
        <f>_xll.ciqfunctions.udf.CIQ($F$4, I$6,  C9)/100</f>
        <v>0.48616999999999999</v>
      </c>
      <c r="J9" s="21">
        <f>_xll.ciqfunctions.udf.CIQ($F$4, J$6,  C9)</f>
        <v>32.825600000000001</v>
      </c>
      <c r="K9" s="26">
        <f t="shared" si="0"/>
        <v>0</v>
      </c>
      <c r="L9" s="22">
        <f>_xll.ciqfunctions.udf.CIQ($F$4, L$6,  C9)</f>
        <v>0</v>
      </c>
      <c r="M9">
        <f>_xll.ciqfunctions.udf.CIQ($F$4, M$6, C9)</f>
        <v>53982.1</v>
      </c>
      <c r="N9" s="27">
        <f>_xll.ciqfunctions.udf.CIQ($F$4, N$6,D9)</f>
        <v>516.95000000000005</v>
      </c>
      <c r="O9">
        <f>_xll.ciqfunctions.udf.CIQ($F$4, O$6,D9)</f>
        <v>2</v>
      </c>
      <c r="P9">
        <f>_xll.ciqfunctions.udf.CIQ($F$4, P$6, C9)</f>
        <v>0</v>
      </c>
      <c r="Q9">
        <f>_xll.ciqfunctions.udf.CIQ($F$4, Q$6, C9)</f>
        <v>641507.4</v>
      </c>
      <c r="U9" s="7"/>
    </row>
    <row r="10" spans="1:21">
      <c r="C10">
        <v>498</v>
      </c>
      <c r="D10" s="8">
        <f>_xll.ciqfunctions.udf.CIQ($F$4, D$6,C10)</f>
        <v>41935</v>
      </c>
      <c r="E10" s="12">
        <f>_xll.ciqfunctions.udf.CIQ($F$4,$E$6, , D10)</f>
        <v>5.33005</v>
      </c>
      <c r="F10" s="12">
        <f>_xll.ciqfunctions.udf.CIQ($F$4, F$6, D10)/100</f>
        <v>3.8679999999999999E-3</v>
      </c>
      <c r="G10" s="12">
        <f>_xll.ciqfunctions.udf.CIQ($F$4, G$6, C10)/100</f>
        <v>0</v>
      </c>
      <c r="H10" s="15">
        <f>_xll.ciqfunctions.udf.CIQ($F$4, H$6, C10)</f>
        <v>1.8904399999999999</v>
      </c>
      <c r="I10" s="18">
        <f>_xll.ciqfunctions.udf.CIQ($F$4, I$6,  C10)/100</f>
        <v>0.48616999999999999</v>
      </c>
      <c r="J10" s="21">
        <f>_xll.ciqfunctions.udf.CIQ($F$4, J$6,  C10)</f>
        <v>25.893599999999999</v>
      </c>
      <c r="K10" s="26">
        <f t="shared" si="0"/>
        <v>0</v>
      </c>
      <c r="L10" s="22">
        <f>_xll.ciqfunctions.udf.CIQ($F$4, L$6,  C10)</f>
        <v>0</v>
      </c>
      <c r="M10">
        <f>_xll.ciqfunctions.udf.CIQ($F$4, M$6, C10)</f>
        <v>39182.9</v>
      </c>
      <c r="N10" s="27">
        <f>_xll.ciqfunctions.udf.CIQ($F$4, N$6,D10)</f>
        <v>516.95000000000005</v>
      </c>
      <c r="O10">
        <f>_xll.ciqfunctions.udf.CIQ($F$4, O$6,D10)</f>
        <v>2</v>
      </c>
      <c r="P10">
        <f>_xll.ciqfunctions.udf.CIQ($F$4, P$6, C10)</f>
        <v>0</v>
      </c>
      <c r="Q10">
        <f>_xll.ciqfunctions.udf.CIQ($F$4, Q$6, C10)</f>
        <v>668451.19999999995</v>
      </c>
      <c r="U10" s="7"/>
    </row>
    <row r="11" spans="1:21">
      <c r="C11">
        <v>497</v>
      </c>
      <c r="D11" s="8">
        <f>_xll.ciqfunctions.udf.CIQ($F$4, D$6,C11)</f>
        <v>41680</v>
      </c>
      <c r="E11" s="12">
        <f>_xll.ciqfunctions.udf.CIQ($F$4,$E$6, , D11)</f>
        <v>4.9174699999999998</v>
      </c>
      <c r="F11" s="12">
        <f>_xll.ciqfunctions.udf.CIQ($F$4, F$6, D11)/100</f>
        <v>5.4939999999999998E-3</v>
      </c>
      <c r="G11" s="12">
        <f>_xll.ciqfunctions.udf.CIQ($F$4, G$6, C11)/100</f>
        <v>0</v>
      </c>
      <c r="H11" s="15">
        <f>_xll.ciqfunctions.udf.CIQ($F$4, H$6, C11)</f>
        <v>1.7057500000000001</v>
      </c>
      <c r="I11" s="18">
        <f>_xll.ciqfunctions.udf.CIQ($F$4, I$6,  C11)/100</f>
        <v>0.497861</v>
      </c>
      <c r="J11" s="21">
        <f>_xll.ciqfunctions.udf.CIQ($F$4, J$6,  C11)</f>
        <v>34.586399999999998</v>
      </c>
      <c r="K11" s="26">
        <f t="shared" si="0"/>
        <v>0</v>
      </c>
      <c r="L11" s="22">
        <f>_xll.ciqfunctions.udf.CIQ($F$4, L$6,  C11)</f>
        <v>0</v>
      </c>
      <c r="M11">
        <f>_xll.ciqfunctions.udf.CIQ($F$4, M$6, C11)</f>
        <v>48048</v>
      </c>
      <c r="N11" s="27">
        <f>_xll.ciqfunctions.udf.CIQ($F$4, N$6,D11)</f>
        <v>364</v>
      </c>
      <c r="O11">
        <f>_xll.ciqfunctions.udf.CIQ($F$4, O$6,D11)</f>
        <v>2</v>
      </c>
      <c r="P11">
        <f>_xll.ciqfunctions.udf.CIQ($F$4, P$6, C11)</f>
        <v>0</v>
      </c>
      <c r="Q11">
        <f>_xll.ciqfunctions.udf.CIQ($F$4, Q$6, C11)</f>
        <v>635360.6</v>
      </c>
      <c r="U11" s="7"/>
    </row>
    <row r="12" spans="1:21">
      <c r="C12">
        <v>496</v>
      </c>
      <c r="D12" s="8">
        <f>_xll.ciqfunctions.udf.CIQ($F$4, D$6,C12)</f>
        <v>41586</v>
      </c>
      <c r="E12" s="12">
        <f>_xll.ciqfunctions.udf.CIQ($F$4,$E$6, , D12)</f>
        <v>5.9828599999999996</v>
      </c>
      <c r="F12" s="12">
        <f>_xll.ciqfunctions.udf.CIQ($F$4, F$6, D12)/100</f>
        <v>5.1939999999999998E-3</v>
      </c>
      <c r="G12" s="12">
        <f>_xll.ciqfunctions.udf.CIQ($F$4, G$6, C12)/100</f>
        <v>0</v>
      </c>
      <c r="H12" s="15">
        <f>_xll.ciqfunctions.udf.CIQ($F$4, H$6, C12)</f>
        <v>1.9999400000000001</v>
      </c>
      <c r="I12" s="18">
        <f>_xll.ciqfunctions.udf.CIQ($F$4, I$6,  C12)/100</f>
        <v>0.497861</v>
      </c>
      <c r="J12" s="21">
        <f>_xll.ciqfunctions.udf.CIQ($F$4, J$6,  C12)</f>
        <v>30.338799999999999</v>
      </c>
      <c r="K12" s="26">
        <f t="shared" si="0"/>
        <v>0</v>
      </c>
      <c r="L12" s="22">
        <f>_xll.ciqfunctions.udf.CIQ($F$4, L$6,  C12)</f>
        <v>0</v>
      </c>
      <c r="M12">
        <f>_xll.ciqfunctions.udf.CIQ($F$4, M$6, C12)</f>
        <v>35418.6</v>
      </c>
      <c r="N12" s="27">
        <f>_xll.ciqfunctions.udf.CIQ($F$4, N$6,D12)</f>
        <v>385</v>
      </c>
      <c r="O12">
        <f>_xll.ciqfunctions.udf.CIQ($F$4, O$6,D12)</f>
        <v>2</v>
      </c>
      <c r="P12">
        <f>_xll.ciqfunctions.udf.CIQ($F$4, P$6, C12)</f>
        <v>0</v>
      </c>
      <c r="Q12">
        <f>_xll.ciqfunctions.udf.CIQ($F$4, Q$6, C12)</f>
        <v>557012.19999999995</v>
      </c>
      <c r="U12" s="7"/>
    </row>
    <row r="13" spans="1:21">
      <c r="C13">
        <v>495</v>
      </c>
      <c r="D13" s="8">
        <f>_xll.ciqfunctions.udf.CIQ($F$4, D$6,C13)</f>
        <v>41935</v>
      </c>
      <c r="E13" s="12">
        <f>_xll.ciqfunctions.udf.CIQ($F$4,$E$6, , D13)</f>
        <v>5.33005</v>
      </c>
      <c r="F13" s="12">
        <f>_xll.ciqfunctions.udf.CIQ($F$4, F$6, D13)/100</f>
        <v>3.8679999999999999E-3</v>
      </c>
      <c r="G13" s="12">
        <f>_xll.ciqfunctions.udf.CIQ($F$4, G$6, C13)/100</f>
        <v>0</v>
      </c>
      <c r="H13" s="15">
        <f>_xll.ciqfunctions.udf.CIQ($F$4, H$6, C13)</f>
        <v>2.8290899999999999</v>
      </c>
      <c r="I13" s="18">
        <f>_xll.ciqfunctions.udf.CIQ($F$4, I$6,  C13)/100</f>
        <v>0.59229900000000002</v>
      </c>
      <c r="J13" s="21">
        <f>_xll.ciqfunctions.udf.CIQ($F$4, J$6,  C13)</f>
        <v>18.3736</v>
      </c>
      <c r="K13" s="26">
        <f t="shared" si="0"/>
        <v>0</v>
      </c>
      <c r="L13" s="22">
        <f>_xll.ciqfunctions.udf.CIQ($F$4, L$6,  C13)</f>
        <v>0</v>
      </c>
      <c r="M13">
        <f>_xll.ciqfunctions.udf.CIQ($F$4, M$6, C13)</f>
        <v>17260.7</v>
      </c>
      <c r="N13" s="27">
        <f>_xll.ciqfunctions.udf.CIQ($F$4, N$6,D13)</f>
        <v>516.95000000000005</v>
      </c>
      <c r="O13">
        <f>_xll.ciqfunctions.udf.CIQ($F$4, O$6,D13)</f>
        <v>2</v>
      </c>
      <c r="P13">
        <f>_xll.ciqfunctions.udf.CIQ($F$4, P$6, C13)</f>
        <v>0</v>
      </c>
      <c r="Q13">
        <f>_xll.ciqfunctions.udf.CIQ($F$4, Q$6, C13)</f>
        <v>467619.1</v>
      </c>
      <c r="U13" s="7"/>
    </row>
    <row r="14" spans="1:21">
      <c r="C14">
        <v>494</v>
      </c>
      <c r="D14" s="8">
        <f>_xll.ciqfunctions.udf.CIQ($F$4, D$6,C14)</f>
        <v>41935</v>
      </c>
      <c r="E14" s="12">
        <f>_xll.ciqfunctions.udf.CIQ($F$4,$E$6, , D14)</f>
        <v>5.33005</v>
      </c>
      <c r="F14" s="12">
        <f>_xll.ciqfunctions.udf.CIQ($F$4, F$6, D14)/100</f>
        <v>3.8679999999999999E-3</v>
      </c>
      <c r="G14" s="12">
        <f>_xll.ciqfunctions.udf.CIQ($F$4, G$6, C14)/100</f>
        <v>0</v>
      </c>
      <c r="H14" s="15">
        <f>_xll.ciqfunctions.udf.CIQ($F$4, H$6, C14)</f>
        <v>2.1301299999999999</v>
      </c>
      <c r="I14" s="18">
        <f>_xll.ciqfunctions.udf.CIQ($F$4, I$6,  C14)/100</f>
        <v>0.59229900000000002</v>
      </c>
      <c r="J14" s="21">
        <f>_xll.ciqfunctions.udf.CIQ($F$4, J$6,  C14)</f>
        <v>40.281999999999996</v>
      </c>
      <c r="K14" s="26">
        <f t="shared" si="0"/>
        <v>0</v>
      </c>
      <c r="L14" s="22">
        <f>_xll.ciqfunctions.udf.CIQ($F$4, L$6,  C14)</f>
        <v>0</v>
      </c>
      <c r="M14">
        <f>_xll.ciqfunctions.udf.CIQ($F$4, M$6, C14)</f>
        <v>39454.699999999997</v>
      </c>
      <c r="N14" s="27">
        <f>_xll.ciqfunctions.udf.CIQ($F$4, N$6,D14)</f>
        <v>516.95000000000005</v>
      </c>
      <c r="O14">
        <f>_xll.ciqfunctions.udf.CIQ($F$4, O$6,D14)</f>
        <v>2</v>
      </c>
      <c r="P14">
        <f>_xll.ciqfunctions.udf.CIQ($F$4, P$6, C14)</f>
        <v>0</v>
      </c>
      <c r="Q14">
        <f>_xll.ciqfunctions.udf.CIQ($F$4, Q$6, C14)</f>
        <v>569813.5</v>
      </c>
      <c r="U14" s="7"/>
    </row>
    <row r="15" spans="1:21">
      <c r="C15">
        <v>493</v>
      </c>
      <c r="D15" s="8">
        <f>_xll.ciqfunctions.udf.CIQ($F$4, D$6,C15)</f>
        <v>41319</v>
      </c>
      <c r="E15" s="12">
        <f>_xll.ciqfunctions.udf.CIQ($F$4,$E$6, , D15)</f>
        <v>5.3992199999999997</v>
      </c>
      <c r="F15" s="12">
        <f>_xll.ciqfunctions.udf.CIQ($F$4, F$6, D15)/100</f>
        <v>1.3481E-2</v>
      </c>
      <c r="G15" s="12">
        <f>_xll.ciqfunctions.udf.CIQ($F$4, G$6, C15)/100</f>
        <v>0</v>
      </c>
      <c r="H15" s="15">
        <f>_xll.ciqfunctions.udf.CIQ($F$4, H$6, C15)</f>
        <v>2.35806</v>
      </c>
      <c r="I15" s="18">
        <f>_xll.ciqfunctions.udf.CIQ($F$4, I$6,  C15)/100</f>
        <v>0.50619700000000001</v>
      </c>
      <c r="J15" s="21">
        <f>_xll.ciqfunctions.udf.CIQ($F$4, J$6,  C15)</f>
        <v>16.1432</v>
      </c>
      <c r="K15" s="26">
        <f t="shared" si="0"/>
        <v>0</v>
      </c>
      <c r="L15" s="22">
        <f>_xll.ciqfunctions.udf.CIQ($F$4, L$6,  C15)</f>
        <v>0</v>
      </c>
      <c r="M15">
        <f>_xll.ciqfunctions.udf.CIQ($F$4, M$6, C15)</f>
        <v>16275</v>
      </c>
      <c r="N15" s="27">
        <f>_xll.ciqfunctions.udf.CIQ($F$4, N$6,D15)</f>
        <v>296.7</v>
      </c>
      <c r="O15">
        <f>_xll.ciqfunctions.udf.CIQ($F$4, O$6,D15)</f>
        <v>4</v>
      </c>
      <c r="P15">
        <f>_xll.ciqfunctions.udf.CIQ($F$4, P$6, C15)</f>
        <v>0</v>
      </c>
      <c r="Q15">
        <f>_xll.ciqfunctions.udf.CIQ($F$4, Q$6, C15)</f>
        <v>458213.1</v>
      </c>
      <c r="U15" s="7"/>
    </row>
    <row r="16" spans="1:21">
      <c r="C16">
        <v>492</v>
      </c>
      <c r="D16" s="8">
        <f>_xll.ciqfunctions.udf.CIQ($F$4, D$6,C16)</f>
        <v>41220</v>
      </c>
      <c r="E16" s="12">
        <f>_xll.ciqfunctions.udf.CIQ($F$4,$E$6, , D16)</f>
        <v>4.6510899999999999</v>
      </c>
      <c r="F16" s="12">
        <f>_xll.ciqfunctions.udf.CIQ($F$4, F$6, D16)/100</f>
        <v>1.4856000000000001E-2</v>
      </c>
      <c r="G16" s="12">
        <f>_xll.ciqfunctions.udf.CIQ($F$4, G$6, C16)/100</f>
        <v>0</v>
      </c>
      <c r="H16" s="15">
        <f>_xll.ciqfunctions.udf.CIQ($F$4, H$6, C16)</f>
        <v>2.2797700000000001</v>
      </c>
      <c r="I16" s="18">
        <f>_xll.ciqfunctions.udf.CIQ($F$4, I$6,  C16)/100</f>
        <v>0.50619700000000001</v>
      </c>
      <c r="J16" s="21">
        <f>_xll.ciqfunctions.udf.CIQ($F$4, J$6,  C16)</f>
        <v>22.6296</v>
      </c>
      <c r="K16" s="26">
        <f t="shared" si="0"/>
        <v>0</v>
      </c>
      <c r="L16" s="22">
        <f>_xll.ciqfunctions.udf.CIQ($F$4, L$6,  C16)</f>
        <v>0</v>
      </c>
      <c r="M16">
        <f>_xll.ciqfunctions.udf.CIQ($F$4, M$6, C16)</f>
        <v>20747.3</v>
      </c>
      <c r="N16" s="27">
        <f>_xll.ciqfunctions.udf.CIQ($F$4, N$6,D16)</f>
        <v>269.25</v>
      </c>
      <c r="O16">
        <f>_xll.ciqfunctions.udf.CIQ($F$4, O$6,D16)</f>
        <v>4</v>
      </c>
      <c r="P16">
        <f>_xll.ciqfunctions.udf.CIQ($F$4, P$6, C16)</f>
        <v>0</v>
      </c>
      <c r="Q16">
        <f>_xll.ciqfunctions.udf.CIQ($F$4, Q$6, C16)</f>
        <v>428189</v>
      </c>
      <c r="U16" s="7"/>
    </row>
    <row r="17" spans="3:21">
      <c r="C17">
        <v>491</v>
      </c>
      <c r="D17" s="8">
        <f>_xll.ciqfunctions.udf.CIQ($F$4, D$6,C17)</f>
        <v>41130</v>
      </c>
      <c r="E17" s="12">
        <f>_xll.ciqfunctions.udf.CIQ($F$4,$E$6, , D17)</f>
        <v>4.5370600000000003</v>
      </c>
      <c r="F17" s="12">
        <f>_xll.ciqfunctions.udf.CIQ($F$4, F$6, D17)/100</f>
        <v>1.6711E-2</v>
      </c>
      <c r="G17" s="12">
        <f>_xll.ciqfunctions.udf.CIQ($F$4, G$6, C17)/100</f>
        <v>0</v>
      </c>
      <c r="H17" s="15">
        <f>_xll.ciqfunctions.udf.CIQ($F$4, H$6, C17)</f>
        <v>2.40794</v>
      </c>
      <c r="I17" s="18">
        <f>_xll.ciqfunctions.udf.CIQ($F$4, I$6,  C17)/100</f>
        <v>0.59128599999999998</v>
      </c>
      <c r="J17" s="21">
        <f>_xll.ciqfunctions.udf.CIQ($F$4, J$6,  C17)</f>
        <v>27.1692</v>
      </c>
      <c r="K17" s="26">
        <f t="shared" si="0"/>
        <v>0</v>
      </c>
      <c r="L17" s="22">
        <f>_xll.ciqfunctions.udf.CIQ($F$4, L$6,  C17)</f>
        <v>0</v>
      </c>
      <c r="M17">
        <f>_xll.ciqfunctions.udf.CIQ($F$4, M$6, C17)</f>
        <v>22449.1</v>
      </c>
      <c r="N17" s="27">
        <f>_xll.ciqfunctions.udf.CIQ($F$4, N$6,D17)</f>
        <v>239.35</v>
      </c>
      <c r="O17">
        <f>_xll.ciqfunctions.udf.CIQ($F$4, O$6,D17)</f>
        <v>4</v>
      </c>
      <c r="P17">
        <f>_xll.ciqfunctions.udf.CIQ($F$4, P$6, C17)</f>
        <v>0</v>
      </c>
      <c r="Q17">
        <f>_xll.ciqfunctions.udf.CIQ($F$4, Q$6, C17)</f>
        <v>431711.3</v>
      </c>
      <c r="U17" s="7"/>
    </row>
    <row r="18" spans="3:21">
      <c r="C18">
        <v>490</v>
      </c>
      <c r="D18" s="8">
        <f>_xll.ciqfunctions.udf.CIQ($F$4, D$6,C18)</f>
        <v>41449</v>
      </c>
      <c r="E18" s="12">
        <f>_xll.ciqfunctions.udf.CIQ($F$4,$E$6, , D18)</f>
        <v>5.25014</v>
      </c>
      <c r="F18" s="12">
        <f>_xll.ciqfunctions.udf.CIQ($F$4, F$6, D18)/100</f>
        <v>7.0499999999999998E-3</v>
      </c>
      <c r="G18" s="12">
        <f>_xll.ciqfunctions.udf.CIQ($F$4, G$6, C18)/100</f>
        <v>0</v>
      </c>
      <c r="H18" s="15">
        <f>_xll.ciqfunctions.udf.CIQ($F$4, H$6, C18)</f>
        <v>2.00163</v>
      </c>
      <c r="I18" s="18">
        <f>_xll.ciqfunctions.udf.CIQ($F$4, I$6,  C18)/100</f>
        <v>0.59456500000000001</v>
      </c>
      <c r="J18" s="21">
        <f>_xll.ciqfunctions.udf.CIQ($F$4, J$6,  C18)</f>
        <v>88.641999999999996</v>
      </c>
      <c r="K18" s="26">
        <f t="shared" si="0"/>
        <v>0</v>
      </c>
      <c r="L18" s="22">
        <f>_xll.ciqfunctions.udf.CIQ($F$4, L$6,  C18)</f>
        <v>0</v>
      </c>
      <c r="M18">
        <f>_xll.ciqfunctions.udf.CIQ($F$4, M$6, C18)</f>
        <v>62340</v>
      </c>
      <c r="N18" s="27">
        <f>_xll.ciqfunctions.udf.CIQ($F$4, N$6,D18)</f>
        <v>283.64999999999998</v>
      </c>
      <c r="O18">
        <f>_xll.ciqfunctions.udf.CIQ($F$4, O$6,D18)</f>
        <v>2</v>
      </c>
      <c r="P18">
        <f>_xll.ciqfunctions.udf.CIQ($F$4, P$6, C18)</f>
        <v>0</v>
      </c>
      <c r="Q18">
        <f>_xll.ciqfunctions.udf.CIQ($F$4, Q$6, C18)</f>
        <v>514086.1</v>
      </c>
      <c r="U18" s="7"/>
    </row>
    <row r="19" spans="3:21">
      <c r="C19">
        <v>489</v>
      </c>
      <c r="D19" s="8">
        <f>_xll.ciqfunctions.udf.CIQ($F$4, D$6,C19)</f>
        <v>40953</v>
      </c>
      <c r="E19" s="12">
        <f>_xll.ciqfunctions.udf.CIQ($F$4,$E$6, , D19)</f>
        <v>5.6076499999999996</v>
      </c>
      <c r="F19" s="12">
        <f>_xll.ciqfunctions.udf.CIQ($F$4, F$6, D19)/100</f>
        <v>1.4930000000000001E-2</v>
      </c>
      <c r="G19" s="12">
        <f>_xll.ciqfunctions.udf.CIQ($F$4, G$6, C19)/100</f>
        <v>0</v>
      </c>
      <c r="H19" s="15">
        <f>_xll.ciqfunctions.udf.CIQ($F$4, H$6, C19)</f>
        <v>1.83128</v>
      </c>
      <c r="I19" s="18">
        <f>_xll.ciqfunctions.udf.CIQ($F$4, I$6,  C19)/100</f>
        <v>0.65197900000000009</v>
      </c>
      <c r="J19" s="21">
        <f>_xll.ciqfunctions.udf.CIQ($F$4, J$6,  C19)</f>
        <v>58.391599999999997</v>
      </c>
      <c r="K19" s="26">
        <f t="shared" si="0"/>
        <v>0</v>
      </c>
      <c r="L19" s="22">
        <f>_xll.ciqfunctions.udf.CIQ($F$4, L$6,  C19)</f>
        <v>0</v>
      </c>
      <c r="M19">
        <f>_xll.ciqfunctions.udf.CIQ($F$4, M$6, C19)</f>
        <v>34055.5</v>
      </c>
      <c r="N19" s="27">
        <f>_xll.ciqfunctions.udf.CIQ($F$4, N$6,D19)</f>
        <v>267.89999999999998</v>
      </c>
      <c r="O19">
        <f>_xll.ciqfunctions.udf.CIQ($F$4, O$6,D19)</f>
        <v>4</v>
      </c>
      <c r="P19">
        <f>_xll.ciqfunctions.udf.CIQ($F$4, P$6, C19)</f>
        <v>0</v>
      </c>
      <c r="Q19">
        <f>_xll.ciqfunctions.udf.CIQ($F$4, Q$6, C19)</f>
        <v>451992.9</v>
      </c>
      <c r="U19" s="7"/>
    </row>
    <row r="20" spans="3:21">
      <c r="C20">
        <v>488</v>
      </c>
      <c r="D20" s="8">
        <f>_xll.ciqfunctions.udf.CIQ($F$4, D$6,C20)</f>
        <v>40861</v>
      </c>
      <c r="E20" s="12">
        <f>_xll.ciqfunctions.udf.CIQ($F$4,$E$6, , D20)</f>
        <v>4.7240700000000002</v>
      </c>
      <c r="F20" s="12">
        <f>_xll.ciqfunctions.udf.CIQ($F$4, F$6, D20)/100</f>
        <v>2.2484000000000001E-2</v>
      </c>
      <c r="G20" s="12">
        <f>_xll.ciqfunctions.udf.CIQ($F$4, G$6, C20)/100</f>
        <v>0</v>
      </c>
      <c r="H20" s="15">
        <f>_xll.ciqfunctions.udf.CIQ($F$4, H$6, C20)</f>
        <v>2.7724799999999998</v>
      </c>
      <c r="I20" s="18">
        <f>_xll.ciqfunctions.udf.CIQ($F$4, I$6,  C20)/100</f>
        <v>0.65197900000000009</v>
      </c>
      <c r="J20" s="21">
        <f>_xll.ciqfunctions.udf.CIQ($F$4, J$6,  C20)</f>
        <v>35.641199999999998</v>
      </c>
      <c r="K20" s="26">
        <f t="shared" si="0"/>
        <v>0</v>
      </c>
      <c r="L20" s="22">
        <f>_xll.ciqfunctions.udf.CIQ($F$4, L$6,  C20)</f>
        <v>0</v>
      </c>
      <c r="M20">
        <f>_xll.ciqfunctions.udf.CIQ($F$4, M$6, C20)</f>
        <v>18773.3</v>
      </c>
      <c r="N20" s="27">
        <f>_xll.ciqfunctions.udf.CIQ($F$4, N$6,D20)</f>
        <v>177.9</v>
      </c>
      <c r="O20">
        <f>_xll.ciqfunctions.udf.CIQ($F$4, O$6,D20)</f>
        <v>4</v>
      </c>
      <c r="P20">
        <f>_xll.ciqfunctions.udf.CIQ($F$4, P$6, C20)</f>
        <v>0</v>
      </c>
      <c r="Q20">
        <f>_xll.ciqfunctions.udf.CIQ($F$4, Q$6, C20)</f>
        <v>359384.7</v>
      </c>
      <c r="U20" s="7"/>
    </row>
    <row r="21" spans="3:21">
      <c r="C21">
        <v>487</v>
      </c>
      <c r="D21" s="8">
        <f>_xll.ciqfunctions.udf.CIQ($F$4, D$6,C21)</f>
        <v>40766</v>
      </c>
      <c r="E21" s="12">
        <f>_xll.ciqfunctions.udf.CIQ($F$4,$E$6, , D21)</f>
        <v>4.25678</v>
      </c>
      <c r="F21" s="12">
        <f>_xll.ciqfunctions.udf.CIQ($F$4, F$6, D21)/100</f>
        <v>2.3650999999999998E-2</v>
      </c>
      <c r="G21" s="12">
        <f>_xll.ciqfunctions.udf.CIQ($F$4, G$6, C21)/100</f>
        <v>0</v>
      </c>
      <c r="H21" s="15">
        <f>_xll.ciqfunctions.udf.CIQ($F$4, H$6, C21)</f>
        <v>2.1107399999999998</v>
      </c>
      <c r="I21" s="18">
        <f>_xll.ciqfunctions.udf.CIQ($F$4, I$6,  C21)/100</f>
        <v>0.62812000000000001</v>
      </c>
      <c r="J21" s="21">
        <f>_xll.ciqfunctions.udf.CIQ($F$4, J$6,  C21)</f>
        <v>41.2712</v>
      </c>
      <c r="K21" s="26">
        <f t="shared" si="0"/>
        <v>0</v>
      </c>
      <c r="L21" s="22">
        <f>_xll.ciqfunctions.udf.CIQ($F$4, L$6,  C21)</f>
        <v>0</v>
      </c>
      <c r="M21">
        <f>_xll.ciqfunctions.udf.CIQ($F$4, M$6, C21)</f>
        <v>19996.2</v>
      </c>
      <c r="N21" s="27">
        <f>_xll.ciqfunctions.udf.CIQ($F$4, N$6,D21)</f>
        <v>169.12</v>
      </c>
      <c r="O21">
        <f>_xll.ciqfunctions.udf.CIQ($F$4, O$6,D21)</f>
        <v>4</v>
      </c>
      <c r="P21">
        <f>_xll.ciqfunctions.udf.CIQ($F$4, P$6, C21)</f>
        <v>0</v>
      </c>
      <c r="Q21">
        <f>_xll.ciqfunctions.udf.CIQ($F$4, Q$6, C21)</f>
        <v>333917.8</v>
      </c>
      <c r="U21" s="7"/>
    </row>
    <row r="22" spans="3:21">
      <c r="C22">
        <v>486</v>
      </c>
      <c r="D22" s="8">
        <f>_xll.ciqfunctions.udf.CIQ($F$4, D$6,C22)</f>
        <v>41081</v>
      </c>
      <c r="E22" s="12">
        <f>_xll.ciqfunctions.udf.CIQ($F$4,$E$6, , D22)</f>
        <v>4.9344900000000003</v>
      </c>
      <c r="F22" s="12">
        <f>_xll.ciqfunctions.udf.CIQ($F$4, F$6, D22)/100</f>
        <v>1.6122000000000001E-2</v>
      </c>
      <c r="G22" s="12">
        <f>_xll.ciqfunctions.udf.CIQ($F$4, G$6, C22)/100</f>
        <v>0</v>
      </c>
      <c r="H22" s="15">
        <f>_xll.ciqfunctions.udf.CIQ($F$4, H$6, C22)</f>
        <v>2.1725400000000001</v>
      </c>
      <c r="I22" s="18">
        <f>_xll.ciqfunctions.udf.CIQ($F$4, I$6,  C22)/100</f>
        <v>0.63428600000000002</v>
      </c>
      <c r="J22" s="21">
        <f>_xll.ciqfunctions.udf.CIQ($F$4, J$6,  C22)</f>
        <v>66.196799999999996</v>
      </c>
      <c r="K22" s="26">
        <f t="shared" si="0"/>
        <v>0</v>
      </c>
      <c r="L22" s="22">
        <f>_xll.ciqfunctions.udf.CIQ($F$4, L$6,  C22)</f>
        <v>0</v>
      </c>
      <c r="M22">
        <f>_xll.ciqfunctions.udf.CIQ($F$4, M$6, C22)</f>
        <v>26375.200000000001</v>
      </c>
      <c r="N22" s="27">
        <f>_xll.ciqfunctions.udf.CIQ($F$4, N$6,D22)</f>
        <v>248.1</v>
      </c>
      <c r="O22">
        <f>_xll.ciqfunctions.udf.CIQ($F$4, O$6,D22)</f>
        <v>4</v>
      </c>
      <c r="P22">
        <f>_xll.ciqfunctions.udf.CIQ($F$4, P$6, C22)</f>
        <v>0</v>
      </c>
      <c r="Q22">
        <f>_xll.ciqfunctions.udf.CIQ($F$4, Q$6, C22)</f>
        <v>351728</v>
      </c>
      <c r="U22" s="7"/>
    </row>
    <row r="23" spans="3:21">
      <c r="C23">
        <v>485</v>
      </c>
      <c r="D23" s="8">
        <f>_xll.ciqfunctions.udf.CIQ($F$4, D$6,C23)</f>
        <v>40585</v>
      </c>
      <c r="E23" s="12">
        <f>_xll.ciqfunctions.udf.CIQ($F$4,$E$6, , D23)</f>
        <v>5.7114799999999999</v>
      </c>
      <c r="F23" s="12">
        <f>_xll.ciqfunctions.udf.CIQ($F$4, F$6, D23)/100</f>
        <v>1.3103999999999999E-2</v>
      </c>
      <c r="G23" s="12">
        <f>_xll.ciqfunctions.udf.CIQ($F$4, G$6, C23)/100</f>
        <v>0</v>
      </c>
      <c r="H23" s="15">
        <f>_xll.ciqfunctions.udf.CIQ($F$4, H$6, C23)</f>
        <v>2.1659000000000002</v>
      </c>
      <c r="I23" s="18">
        <f>_xll.ciqfunctions.udf.CIQ($F$4, I$6,  C23)/100</f>
        <v>0.74220399999999997</v>
      </c>
      <c r="J23" s="21">
        <f>_xll.ciqfunctions.udf.CIQ($F$4, J$6,  C23)</f>
        <v>76.697199999999995</v>
      </c>
      <c r="K23" s="26">
        <f t="shared" si="0"/>
        <v>0</v>
      </c>
      <c r="L23" s="22">
        <f>_xll.ciqfunctions.udf.CIQ($F$4, L$6,  C23)</f>
        <v>0</v>
      </c>
      <c r="M23">
        <f>_xll.ciqfunctions.udf.CIQ($F$4, M$6, C23)</f>
        <v>24243.8</v>
      </c>
      <c r="N23" s="27">
        <f>_xll.ciqfunctions.udf.CIQ($F$4, N$6,D23)</f>
        <v>228.93</v>
      </c>
      <c r="O23">
        <f>_xll.ciqfunctions.udf.CIQ($F$4, O$6,D23)</f>
        <v>3</v>
      </c>
      <c r="P23">
        <f>_xll.ciqfunctions.udf.CIQ($F$4, P$6, C23)</f>
        <v>0</v>
      </c>
      <c r="Q23">
        <f>_xll.ciqfunctions.udf.CIQ($F$4, Q$6, C23)</f>
        <v>315063.3</v>
      </c>
      <c r="U23" s="7"/>
    </row>
    <row r="24" spans="3:21">
      <c r="C24">
        <v>484</v>
      </c>
      <c r="D24" s="8">
        <f>_xll.ciqfunctions.udf.CIQ($F$4, D$6,C24)</f>
        <v>40491</v>
      </c>
      <c r="E24" s="12">
        <f>_xll.ciqfunctions.udf.CIQ($F$4,$E$6, , D24)</f>
        <v>6.83453</v>
      </c>
      <c r="F24" s="12">
        <f>_xll.ciqfunctions.udf.CIQ($F$4, F$6, D24)/100</f>
        <v>1.1805000000000001E-2</v>
      </c>
      <c r="G24" s="12">
        <f>_xll.ciqfunctions.udf.CIQ($F$4, G$6, C24)/100</f>
        <v>0</v>
      </c>
      <c r="H24" s="15">
        <f>_xll.ciqfunctions.udf.CIQ($F$4, H$6, C24)</f>
        <v>2.3575400000000002</v>
      </c>
      <c r="I24" s="18">
        <f>_xll.ciqfunctions.udf.CIQ($F$4, I$6,  C24)/100</f>
        <v>0.74220399999999997</v>
      </c>
      <c r="J24" s="21">
        <f>_xll.ciqfunctions.udf.CIQ($F$4, J$6,  C24)</f>
        <v>84.63</v>
      </c>
      <c r="K24" s="26">
        <f t="shared" si="0"/>
        <v>0</v>
      </c>
      <c r="L24" s="22">
        <f>_xll.ciqfunctions.udf.CIQ($F$4, L$6,  C24)</f>
        <v>0</v>
      </c>
      <c r="M24">
        <f>_xll.ciqfunctions.udf.CIQ($F$4, M$6, C24)</f>
        <v>22229.9</v>
      </c>
      <c r="N24" s="27">
        <f>_xll.ciqfunctions.udf.CIQ($F$4, N$6,D24)</f>
        <v>254.11</v>
      </c>
      <c r="O24">
        <f>_xll.ciqfunctions.udf.CIQ($F$4, O$6,D24)</f>
        <v>3</v>
      </c>
      <c r="P24">
        <f>_xll.ciqfunctions.udf.CIQ($F$4, P$6, C24)</f>
        <v>0</v>
      </c>
      <c r="Q24">
        <f>_xll.ciqfunctions.udf.CIQ($F$4, Q$6, C24)</f>
        <v>285727.09999999998</v>
      </c>
      <c r="U24" s="7"/>
    </row>
    <row r="25" spans="3:21">
      <c r="C25">
        <v>483</v>
      </c>
      <c r="D25" s="8">
        <f>_xll.ciqfunctions.udf.CIQ($F$4, D$6,C25)</f>
        <v>40400</v>
      </c>
      <c r="E25" s="12">
        <f>_xll.ciqfunctions.udf.CIQ($F$4,$E$6, , D25)</f>
        <v>6.4754899999999997</v>
      </c>
      <c r="F25" s="12">
        <f>_xll.ciqfunctions.udf.CIQ($F$4, F$6, D25)/100</f>
        <v>1.5668999999999999E-2</v>
      </c>
      <c r="G25" s="12">
        <f>_xll.ciqfunctions.udf.CIQ($F$4, G$6, C25)/100</f>
        <v>0</v>
      </c>
      <c r="H25" s="15">
        <f>_xll.ciqfunctions.udf.CIQ($F$4, H$6, C25)</f>
        <v>2.3064800000000001</v>
      </c>
      <c r="I25" s="18">
        <f>_xll.ciqfunctions.udf.CIQ($F$4, I$6,  C25)/100</f>
        <v>0.80693499999999996</v>
      </c>
      <c r="J25" s="21">
        <f>_xll.ciqfunctions.udf.CIQ($F$4, J$6,  C25)</f>
        <v>94.7744</v>
      </c>
      <c r="K25" s="26">
        <f t="shared" si="0"/>
        <v>0</v>
      </c>
      <c r="L25" s="22">
        <f>_xll.ciqfunctions.udf.CIQ($F$4, L$6,  C25)</f>
        <v>0</v>
      </c>
      <c r="M25">
        <f>_xll.ciqfunctions.udf.CIQ($F$4, M$6, C25)</f>
        <v>19887.3</v>
      </c>
      <c r="N25" s="27">
        <f>_xll.ciqfunctions.udf.CIQ($F$4, N$6,D25)</f>
        <v>191.46</v>
      </c>
      <c r="O25">
        <f>_xll.ciqfunctions.udf.CIQ($F$4, O$6,D25)</f>
        <v>3</v>
      </c>
      <c r="P25">
        <f>_xll.ciqfunctions.udf.CIQ($F$4, P$6, C25)</f>
        <v>0</v>
      </c>
      <c r="Q25">
        <f>_xll.ciqfunctions.udf.CIQ($F$4, Q$6, C25)</f>
        <v>268760.8</v>
      </c>
      <c r="U25" s="7"/>
    </row>
    <row r="26" spans="3:21">
      <c r="C26">
        <v>482</v>
      </c>
      <c r="D26" s="8">
        <f>_xll.ciqfunctions.udf.CIQ($F$4, D$6,C26)</f>
        <v>40730</v>
      </c>
      <c r="E26" s="12">
        <f>_xll.ciqfunctions.udf.CIQ($F$4,$E$6, , D26)</f>
        <v>4.9801700000000002</v>
      </c>
      <c r="F26" s="12">
        <f>_xll.ciqfunctions.udf.CIQ($F$4, F$6, D26)/100</f>
        <v>1.9368E-2</v>
      </c>
      <c r="G26" s="12">
        <f>_xll.ciqfunctions.udf.CIQ($F$4, G$6, C26)/100</f>
        <v>0</v>
      </c>
      <c r="H26" s="15">
        <f>_xll.ciqfunctions.udf.CIQ($F$4, H$6, C26)</f>
        <v>3.8119000000000001</v>
      </c>
      <c r="I26" s="18">
        <f>_xll.ciqfunctions.udf.CIQ($F$4, I$6,  C26)/100</f>
        <v>0.80664800000000003</v>
      </c>
      <c r="J26" s="21">
        <f>_xll.ciqfunctions.udf.CIQ($F$4, J$6,  C26)</f>
        <v>0</v>
      </c>
      <c r="K26" s="26">
        <f t="shared" si="0"/>
        <v>0</v>
      </c>
      <c r="L26" s="22">
        <f>_xll.ciqfunctions.udf.CIQ($F$4, L$6,  C26)</f>
        <v>0</v>
      </c>
      <c r="M26">
        <f>_xll.ciqfunctions.udf.CIQ($F$4, M$6, C26)</f>
        <v>22278</v>
      </c>
      <c r="N26" s="27">
        <f>_xll.ciqfunctions.udf.CIQ($F$4, N$6,D26)</f>
        <v>206.52</v>
      </c>
      <c r="O26">
        <f>_xll.ciqfunctions.udf.CIQ($F$4, O$6,D26)</f>
        <v>4</v>
      </c>
      <c r="P26">
        <f>_xll.ciqfunctions.udf.CIQ($F$4, P$6, C26)</f>
        <v>0</v>
      </c>
      <c r="Q26">
        <f>_xll.ciqfunctions.udf.CIQ($F$4, Q$6, C26)</f>
        <v>293606</v>
      </c>
      <c r="U26" s="7"/>
    </row>
    <row r="27" spans="3:21">
      <c r="C27">
        <v>481</v>
      </c>
      <c r="D27" s="8">
        <f>_xll.ciqfunctions.udf.CIQ($F$4, D$6,C27)</f>
        <v>40235</v>
      </c>
      <c r="E27" s="12">
        <f>_xll.ciqfunctions.udf.CIQ($F$4,$E$6, , D27)</f>
        <v>21.24174</v>
      </c>
      <c r="F27" s="12">
        <f>_xll.ciqfunctions.udf.CIQ($F$4, F$6, D27)/100</f>
        <v>8.4379999999999993E-3</v>
      </c>
      <c r="G27" s="12">
        <f>_xll.ciqfunctions.udf.CIQ($F$4, G$6, C27)/100</f>
        <v>0</v>
      </c>
      <c r="H27" s="15">
        <f>_xll.ciqfunctions.udf.CIQ($F$4, H$6, C27)</f>
        <v>0</v>
      </c>
      <c r="I27" s="18">
        <f>_xll.ciqfunctions.udf.CIQ($F$4, I$6,  C27)/100</f>
        <v>0</v>
      </c>
      <c r="J27" s="21">
        <f>_xll.ciqfunctions.udf.CIQ($F$4, J$6,  C27)</f>
        <v>0</v>
      </c>
      <c r="K27" s="26">
        <f t="shared" si="0"/>
        <v>0</v>
      </c>
      <c r="L27" s="22">
        <f>_xll.ciqfunctions.udf.CIQ($F$4, L$6,  C27)</f>
        <v>0</v>
      </c>
      <c r="M27">
        <f>_xll.ciqfunctions.udf.CIQ($F$4, M$6, C27)</f>
        <v>6502.6</v>
      </c>
      <c r="N27" s="27">
        <f>_xll.ciqfunctions.udf.CIQ($F$4, N$6,D27)</f>
        <v>142.21</v>
      </c>
      <c r="O27">
        <f>_xll.ciqfunctions.udf.CIQ($F$4, O$6,D27)</f>
        <v>1.2</v>
      </c>
      <c r="P27">
        <f>_xll.ciqfunctions.udf.CIQ($F$4, P$6, C27)</f>
        <v>0</v>
      </c>
      <c r="Q27">
        <f>_xll.ciqfunctions.udf.CIQ($F$4, Q$6, C27)</f>
        <v>259796.1</v>
      </c>
      <c r="U27" s="7"/>
    </row>
    <row r="28" spans="3:21">
      <c r="C28">
        <v>480</v>
      </c>
      <c r="D28" s="8">
        <f>_xll.ciqfunctions.udf.CIQ($F$4, D$6,C28)</f>
        <v>40144</v>
      </c>
      <c r="E28" s="12" t="str">
        <f>_xll.ciqfunctions.udf.CIQ($F$4,$E$6, , D28)</f>
        <v>NM</v>
      </c>
      <c r="F28" s="12">
        <f>_xll.ciqfunctions.udf.CIQ($F$4, F$6, D28)/100</f>
        <v>9.5309999999999995E-3</v>
      </c>
      <c r="G28" s="12">
        <f>_xll.ciqfunctions.udf.CIQ($F$4, G$6, C28)/100</f>
        <v>0</v>
      </c>
      <c r="H28" s="15">
        <f>_xll.ciqfunctions.udf.CIQ($F$4, H$6, C28)</f>
        <v>0</v>
      </c>
      <c r="I28" s="18">
        <f>_xll.ciqfunctions.udf.CIQ($F$4, I$6,  C28)/100</f>
        <v>0</v>
      </c>
      <c r="J28" s="21">
        <f>_xll.ciqfunctions.udf.CIQ($F$4, J$6,  C28)</f>
        <v>0</v>
      </c>
      <c r="K28" s="26">
        <f t="shared" si="0"/>
        <v>0</v>
      </c>
      <c r="L28" s="22">
        <f>_xll.ciqfunctions.udf.CIQ($F$4, L$6,  C28)</f>
        <v>0</v>
      </c>
      <c r="M28">
        <f>_xll.ciqfunctions.udf.CIQ($F$4, M$6, C28)</f>
        <v>217.8</v>
      </c>
      <c r="N28" s="27">
        <f>_xll.ciqfunctions.udf.CIQ($F$4, N$6,D28)</f>
        <v>125.9</v>
      </c>
      <c r="O28">
        <f>_xll.ciqfunctions.udf.CIQ($F$4, O$6,D28)</f>
        <v>1.2</v>
      </c>
      <c r="P28">
        <f>_xll.ciqfunctions.udf.CIQ($F$4, P$6, C28)</f>
        <v>0</v>
      </c>
      <c r="Q28">
        <f>_xll.ciqfunctions.udf.CIQ($F$4, Q$6, C28)</f>
        <v>208894.4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f>Spearman($E$8:$E$28,F8:F28)</f>
        <v>-0.35639097744360904</v>
      </c>
      <c r="F30" s="16">
        <f t="shared" ref="F30:J30" si="1">Spearman($E$8:$E$28,G8:G28)</f>
        <v>-0.7834586466165413</v>
      </c>
      <c r="G30" s="16">
        <f t="shared" si="1"/>
        <v>-0.25714285714285712</v>
      </c>
      <c r="H30" s="16">
        <f t="shared" si="1"/>
        <v>1.2030075187969926E-2</v>
      </c>
      <c r="I30" s="16">
        <f>Spearman($E$8:$E$28,J8:J28)</f>
        <v>0.10601503759398496</v>
      </c>
      <c r="J30" s="16">
        <f t="shared" si="1"/>
        <v>-0.7834586466165413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2" spans="3:21">
      <c r="R32" s="54" t="s">
        <v>169</v>
      </c>
    </row>
    <row r="33" spans="1:18" ht="60">
      <c r="A33" t="str">
        <f>"IQ_COMPANY_NAME"</f>
        <v>IQ_COMPANY_NAME</v>
      </c>
      <c r="B33" s="9"/>
      <c r="C33" s="2"/>
      <c r="D33" t="str">
        <f>"IQ_FILINGDATE_BS"</f>
        <v>IQ_FILINGDATE_BS</v>
      </c>
      <c r="E33" s="12" t="str">
        <f>"IQ_TEV_EBITDA"</f>
        <v>IQ_TEV_EBITDA</v>
      </c>
      <c r="F33" s="14" t="str">
        <f>"IQ_DIVIDEND_YIELD"</f>
        <v>IQ_DIVIDEND_YIELD</v>
      </c>
      <c r="G33" s="14" t="str">
        <f>"IQ_CAPEX_PCT_REV"</f>
        <v>IQ_CAPEX_PCT_REV</v>
      </c>
      <c r="H33" s="14" t="str">
        <f>"IQ_TOTAL_DEBT_EBITDA"</f>
        <v>IQ_TOTAL_DEBT_EBITDA</v>
      </c>
      <c r="I33" s="14" t="str">
        <f>"IQ_TOTAL_DEBT_CAPITAL"</f>
        <v>IQ_TOTAL_DEBT_CAPITAL</v>
      </c>
      <c r="J33" s="14" t="str">
        <f>"IQ_RETURN_EQUITY"</f>
        <v>IQ_RETURN_EQUITY</v>
      </c>
      <c r="K33" s="25" t="str">
        <f>K34</f>
        <v>Repurchase payout ratio</v>
      </c>
      <c r="L33" s="19" t="str">
        <f>"IQ_COMMON_REP"</f>
        <v>IQ_COMMON_REP</v>
      </c>
      <c r="M33" s="2" t="str">
        <f>"IQ_NI"</f>
        <v>IQ_NI</v>
      </c>
      <c r="N33" s="28" t="str">
        <f>"IQ_LASTSALEPRICE"</f>
        <v>IQ_LASTSALEPRICE</v>
      </c>
      <c r="O33" s="2" t="str">
        <f>"IQ_ANNUALIZED_DIVIDEND"</f>
        <v>IQ_ANNUALIZED_DIVIDEND</v>
      </c>
      <c r="P33" s="2" t="str">
        <f>"IQ_CAPEX"</f>
        <v>IQ_CAPEX</v>
      </c>
      <c r="Q33" s="2" t="str">
        <f>"IQ_TOTAL_REV"</f>
        <v>IQ_TOTAL_REV</v>
      </c>
      <c r="R33" s="54" t="s">
        <v>168</v>
      </c>
    </row>
    <row r="34" spans="1:18" ht="30">
      <c r="A34" t="s">
        <v>139</v>
      </c>
      <c r="C34" s="2" t="s">
        <v>166</v>
      </c>
      <c r="D34" t="s">
        <v>167</v>
      </c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8">
      <c r="A35" s="12" t="str">
        <f>_xll.ciqfunctions.udf.CIQ(B35,$A$74)</f>
        <v>Tower Semiconductor Ltd.</v>
      </c>
      <c r="B35" t="s">
        <v>174</v>
      </c>
      <c r="C35" t="s">
        <v>53</v>
      </c>
      <c r="D35" s="8">
        <f>_xll.ciqfunctions.udf.CIQ($F1, D$6,C35)</f>
        <v>41684</v>
      </c>
      <c r="E35" s="12">
        <f>_xll.ciqfunctions.udf.CIQ($B35,$E$6, , D35)</f>
        <v>4.18872</v>
      </c>
      <c r="F35" s="12">
        <f>_xll.ciqfunctions.udf.CIQ($B35, F$6, D35)/100</f>
        <v>0</v>
      </c>
      <c r="G35" s="12">
        <f>_xll.ciqfunctions.udf.CIQ($B35, G$6, C35)/100</f>
        <v>0.16201399999999999</v>
      </c>
      <c r="H35" s="15">
        <f>_xll.ciqfunctions.udf.CIQ($B35, H$6, C35)</f>
        <v>3.0210900000000001</v>
      </c>
      <c r="I35" s="18">
        <f>_xll.ciqfunctions.udf.CIQ($B35, I$6,  C35)/100</f>
        <v>0.71440399999999993</v>
      </c>
      <c r="J35" s="21">
        <f>_xll.ciqfunctions.udf.CIQ($B35, J$6,  C35)</f>
        <v>-59.600299999999997</v>
      </c>
      <c r="K35" s="26">
        <f>-L35/M35</f>
        <v>0</v>
      </c>
      <c r="L35" s="22">
        <f>_xll.ciqfunctions.udf.CIQ($B35, L$6,  C35)</f>
        <v>0</v>
      </c>
      <c r="M35">
        <f>_xll.ciqfunctions.udf.CIQ($B35, M$6, C35)</f>
        <v>-107.66</v>
      </c>
      <c r="N35" s="27">
        <f>_xll.ciqfunctions.udf.CIQ($B35, N$6,#REF!)</f>
        <v>12.94</v>
      </c>
      <c r="O35">
        <f>_xll.ciqfunctions.udf.CIQ($B35, O$6,#REF!)</f>
        <v>0</v>
      </c>
      <c r="P35">
        <f>_xll.ciqfunctions.udf.CIQ($B35, P$6, C35)</f>
        <v>-81.819000000000003</v>
      </c>
      <c r="Q35">
        <f>_xll.ciqfunctions.udf.CIQ($B35, Q$6, C35)</f>
        <v>505.00900000000001</v>
      </c>
      <c r="R35">
        <f>_xll.ciqfunctions.udf.CIQ($R$32, $R$33, D35)</f>
        <v>2.75</v>
      </c>
    </row>
    <row r="36" spans="1:18">
      <c r="A36" s="12" t="str">
        <f>_xll.ciqfunctions.udf.CIQ(B36,$A$74)</f>
        <v>EZchip Semiconductor Ltd.</v>
      </c>
      <c r="B36" t="s">
        <v>173</v>
      </c>
      <c r="C36" t="s">
        <v>53</v>
      </c>
      <c r="D36" s="8">
        <f>_xll.ciqfunctions.udf.CIQ($F2, D$6,C36)</f>
        <v>41684</v>
      </c>
      <c r="E36" s="12">
        <f>_xll.ciqfunctions.udf.CIQ($F2,$E$6, , D36)</f>
        <v>11.17309</v>
      </c>
      <c r="F36" s="12">
        <f>_xll.ciqfunctions.udf.CIQ($B36, F$6, D36)/100</f>
        <v>0</v>
      </c>
      <c r="G36" s="12">
        <f>_xll.ciqfunctions.udf.CIQ($B36, G$6, C36)/100</f>
        <v>2.2540000000000001E-2</v>
      </c>
      <c r="H36" s="15">
        <f>_xll.ciqfunctions.udf.CIQ($B36, H$6, C36)</f>
        <v>0</v>
      </c>
      <c r="I36" s="18">
        <f>_xll.ciqfunctions.udf.CIQ($B36, I$6,  C36)/100</f>
        <v>0</v>
      </c>
      <c r="J36" s="21">
        <f>_xll.ciqfunctions.udf.CIQ($B36, J$6,  C36)</f>
        <v>7.4318</v>
      </c>
      <c r="K36" s="26">
        <f t="shared" ref="K36:K40" si="2">-L36/M36</f>
        <v>0</v>
      </c>
      <c r="L36" s="22">
        <f>_xll.ciqfunctions.udf.CIQ($B36, L$6,  C36)</f>
        <v>0</v>
      </c>
      <c r="M36">
        <f>_xll.ciqfunctions.udf.CIQ($B36, M$6, C36)</f>
        <v>21.698</v>
      </c>
      <c r="N36" s="27">
        <f>_xll.ciqfunctions.udf.CIQ($B36, N$6,#REF!)</f>
        <v>19.61</v>
      </c>
      <c r="O36">
        <f>_xll.ciqfunctions.udf.CIQ($B36, O$6,#REF!)</f>
        <v>0</v>
      </c>
      <c r="P36">
        <f>_xll.ciqfunctions.udf.CIQ($B36, P$6, C36)</f>
        <v>-1.597</v>
      </c>
      <c r="Q36">
        <f>_xll.ciqfunctions.udf.CIQ($B36, Q$6, C36)</f>
        <v>70.849999999999994</v>
      </c>
      <c r="R36">
        <f>_xll.ciqfunctions.udf.CIQ($R$32, $R$33, D36)</f>
        <v>2.75</v>
      </c>
    </row>
    <row r="37" spans="1:18">
      <c r="A37" s="12" t="str">
        <f>_xll.ciqfunctions.udf.CIQ(B37,$A$74)</f>
        <v>Nova Measuring Instruments Ltd.</v>
      </c>
      <c r="B37" t="s">
        <v>172</v>
      </c>
      <c r="C37" t="s">
        <v>53</v>
      </c>
      <c r="D37" s="8">
        <f>_xll.ciqfunctions.udf.CIQ($F3, D$6,C37)</f>
        <v>41681</v>
      </c>
      <c r="E37" s="12">
        <f>_xll.ciqfunctions.udf.CIQ($F3,$E$6, , D37)</f>
        <v>9.0744000000000007</v>
      </c>
      <c r="F37" s="12">
        <f>_xll.ciqfunctions.udf.CIQ($B37, F$6, D37)/100</f>
        <v>0</v>
      </c>
      <c r="G37" s="12">
        <f>_xll.ciqfunctions.udf.CIQ($B37, G$6, C37)/100</f>
        <v>3.6937999999999999E-2</v>
      </c>
      <c r="H37" s="15">
        <f>_xll.ciqfunctions.udf.CIQ($B37, H$6, C37)</f>
        <v>0</v>
      </c>
      <c r="I37" s="18">
        <f>_xll.ciqfunctions.udf.CIQ($B37, I$6,  C37)/100</f>
        <v>0</v>
      </c>
      <c r="J37" s="21">
        <f>_xll.ciqfunctions.udf.CIQ($B37, J$6,  C37)</f>
        <v>8.6387999999999998</v>
      </c>
      <c r="K37" s="26">
        <f t="shared" si="2"/>
        <v>0</v>
      </c>
      <c r="L37" s="22">
        <f>_xll.ciqfunctions.udf.CIQ($B37, L$6,  C37)</f>
        <v>0</v>
      </c>
      <c r="M37">
        <f>_xll.ciqfunctions.udf.CIQ($B37, M$6, C37)</f>
        <v>10.515000000000001</v>
      </c>
      <c r="N37" s="27">
        <f>_xll.ciqfunctions.udf.CIQ($B37, N$6,#REF!)</f>
        <v>9.99</v>
      </c>
      <c r="O37">
        <f>_xll.ciqfunctions.udf.CIQ($B37, O$6,#REF!)</f>
        <v>0</v>
      </c>
      <c r="P37">
        <f>_xll.ciqfunctions.udf.CIQ($B37, P$6, C37)</f>
        <v>-4.1189999999999998</v>
      </c>
      <c r="Q37">
        <f>_xll.ciqfunctions.udf.CIQ($B37, Q$6, C37)</f>
        <v>111.509</v>
      </c>
      <c r="R37">
        <f>_xll.ciqfunctions.udf.CIQ($R$32, $R$33, D37)</f>
        <v>2.75</v>
      </c>
    </row>
    <row r="38" spans="1:18">
      <c r="A38" s="12" t="str">
        <f>_xll.ciqfunctions.udf.CIQ(B38,$A$74)</f>
        <v>Altair Nanotechnologies, Inc.</v>
      </c>
      <c r="B38" t="s">
        <v>171</v>
      </c>
      <c r="C38" t="str">
        <f>C37</f>
        <v>FY2013</v>
      </c>
      <c r="D38" s="8">
        <f>_xll.ciqfunctions.udf.CIQ($F4, D$6,C38)</f>
        <v>41935</v>
      </c>
      <c r="E38" s="12">
        <f>_xll.ciqfunctions.udf.CIQ($F4,$E$6, , D38)</f>
        <v>5.33005</v>
      </c>
      <c r="F38" s="12">
        <f>_xll.ciqfunctions.udf.CIQ($B38, F$6, D38)/100</f>
        <v>0</v>
      </c>
      <c r="G38" s="12">
        <f>_xll.ciqfunctions.udf.CIQ($B38, G$6, C38)/100</f>
        <v>0</v>
      </c>
      <c r="H38" s="15">
        <f>_xll.ciqfunctions.udf.CIQ($B38, H$6, C38)</f>
        <v>0</v>
      </c>
      <c r="I38" s="18">
        <f>_xll.ciqfunctions.udf.CIQ($B38, I$6,  C38)/100</f>
        <v>0</v>
      </c>
      <c r="J38" s="21">
        <f>_xll.ciqfunctions.udf.CIQ($B38, J$6,  C38)</f>
        <v>0</v>
      </c>
      <c r="K38" s="26" t="e">
        <f t="shared" si="2"/>
        <v>#DIV/0!</v>
      </c>
      <c r="L38" s="22">
        <f>_xll.ciqfunctions.udf.CIQ($B38, L$6,  C38)</f>
        <v>0</v>
      </c>
      <c r="M38">
        <f>_xll.ciqfunctions.udf.CIQ($B38, M$6, C38)</f>
        <v>0</v>
      </c>
      <c r="N38" s="27">
        <f>_xll.ciqfunctions.udf.CIQ($B38, N$6,#REF!)</f>
        <v>1.2</v>
      </c>
      <c r="O38">
        <f>_xll.ciqfunctions.udf.CIQ($B38, O$6,#REF!)</f>
        <v>0</v>
      </c>
      <c r="P38">
        <f>_xll.ciqfunctions.udf.CIQ($B38, P$6, C38)</f>
        <v>0</v>
      </c>
      <c r="Q38">
        <f>_xll.ciqfunctions.udf.CIQ($B38, Q$6, C38)</f>
        <v>0</v>
      </c>
      <c r="R38">
        <f>_xll.ciqfunctions.udf.CIQ($R$32, $R$33, D38)</f>
        <v>2.29</v>
      </c>
    </row>
    <row r="39" spans="1:18">
      <c r="A39" s="12"/>
      <c r="B39" t="s">
        <v>177</v>
      </c>
      <c r="C39" t="str">
        <f t="shared" ref="C39:C40" si="3">C38</f>
        <v>FY2013</v>
      </c>
      <c r="D39" s="8" t="str">
        <f>_xll.ciqfunctions.udf.CIQ($F5, D$6,C39)</f>
        <v>(Invalid Identifier)</v>
      </c>
      <c r="E39" s="12" t="str">
        <f>_xll.ciqfunctions.udf.CIQ($F5,$E$6, , D39)</f>
        <v>(Invalid Identifier)</v>
      </c>
      <c r="F39" s="12" t="e">
        <f>_xll.ciqfunctions.udf.CIQ($B39, F$6, D39)/100</f>
        <v>#VALUE!</v>
      </c>
      <c r="G39" s="12">
        <f>_xll.ciqfunctions.udf.CIQ($B39, G$6, C39)/100</f>
        <v>1.6232E-2</v>
      </c>
      <c r="H39" s="15">
        <f>_xll.ciqfunctions.udf.CIQ($B39, H$6, C39)</f>
        <v>3.3996499999999998</v>
      </c>
      <c r="I39" s="18">
        <f>_xll.ciqfunctions.udf.CIQ($B39, I$6,  C39)/100</f>
        <v>0.27179300000000001</v>
      </c>
      <c r="J39" s="21">
        <f>_xll.ciqfunctions.udf.CIQ($B39, J$6,  C39)</f>
        <v>-7.0000000000000001E-3</v>
      </c>
      <c r="K39" s="26">
        <f t="shared" si="2"/>
        <v>0</v>
      </c>
      <c r="L39" s="22">
        <f>_xll.ciqfunctions.udf.CIQ($B39, L$6,  C39)</f>
        <v>0</v>
      </c>
      <c r="M39">
        <f>_xll.ciqfunctions.udf.CIQ($B39, M$6, C39)</f>
        <v>-2.6819999999999999</v>
      </c>
      <c r="N39" s="27">
        <f>_xll.ciqfunctions.udf.CIQ($B39, N$6,#REF!)</f>
        <v>19.850000000000001</v>
      </c>
      <c r="O39">
        <f>_xll.ciqfunctions.udf.CIQ($B39, O$6,#REF!)</f>
        <v>0</v>
      </c>
      <c r="P39">
        <f>_xll.ciqfunctions.udf.CIQ($B39, P$6, C39)</f>
        <v>-4.3380000000000001</v>
      </c>
      <c r="Q39">
        <f>_xll.ciqfunctions.udf.CIQ($B39, Q$6, C39)</f>
        <v>267.23899999999998</v>
      </c>
      <c r="R39" t="str">
        <f>_xll.ciqfunctions.udf.CIQ($R$32, $R$33, D39)</f>
        <v>(Invalid Date)</v>
      </c>
    </row>
    <row r="40" spans="1:18">
      <c r="A40" s="12"/>
      <c r="B40" t="s">
        <v>176</v>
      </c>
      <c r="C40" t="str">
        <f t="shared" si="3"/>
        <v>FY2013</v>
      </c>
      <c r="D40" s="8" t="str">
        <f>_xll.ciqfunctions.udf.CIQ($F6, D$6,C40)</f>
        <v>(Invalid Identifier)</v>
      </c>
      <c r="E40" s="12" t="str">
        <f>_xll.ciqfunctions.udf.CIQ($F6,$E$6, , D40)</f>
        <v>(Invalid As Of Time Period)</v>
      </c>
      <c r="F40" s="12" t="e">
        <f>_xll.ciqfunctions.udf.CIQ($B40, F$6, D40)/100</f>
        <v>#VALUE!</v>
      </c>
      <c r="G40" s="12">
        <f>_xll.ciqfunctions.udf.CIQ($B40, G$6, C40)/100</f>
        <v>0.131799</v>
      </c>
      <c r="H40" s="15">
        <f>_xll.ciqfunctions.udf.CIQ($B40, H$6, C40)</f>
        <v>1.3751899999999999</v>
      </c>
      <c r="I40" s="18">
        <f>_xll.ciqfunctions.udf.CIQ($B40, I$6,  C40)/100</f>
        <v>0.35641800000000001</v>
      </c>
      <c r="J40" s="21">
        <f>_xll.ciqfunctions.udf.CIQ($B40, J$6,  C40)</f>
        <v>23.211500000000001</v>
      </c>
      <c r="K40" s="26">
        <f t="shared" si="2"/>
        <v>0</v>
      </c>
      <c r="L40" s="22">
        <f>_xll.ciqfunctions.udf.CIQ($B40, L$6,  C40)</f>
        <v>0</v>
      </c>
      <c r="M40">
        <f>_xll.ciqfunctions.udf.CIQ($B40, M$6, C40)</f>
        <v>818.57299999999998</v>
      </c>
      <c r="N40" s="27">
        <f>_xll.ciqfunctions.udf.CIQ($B40, N$6,#REF!)</f>
        <v>28.1</v>
      </c>
      <c r="O40">
        <f>_xll.ciqfunctions.udf.CIQ($B40, O$6,#REF!)</f>
        <v>0.45</v>
      </c>
      <c r="P40">
        <f>_xll.ciqfunctions.udf.CIQ($B40, P$6, C40)</f>
        <v>-826.58799999999997</v>
      </c>
      <c r="Q40">
        <f>_xll.ciqfunctions.udf.CIQ($B40, Q$6, C40)</f>
        <v>6271.5420000000004</v>
      </c>
      <c r="R40" t="str">
        <f>_xll.ciqfunctions.udf.CIQ($R$32, $R$33, D40)</f>
        <v>(Invalid Date)</v>
      </c>
    </row>
    <row r="41" spans="1:18">
      <c r="A41" s="12"/>
      <c r="D41" s="12" t="s">
        <v>24</v>
      </c>
      <c r="E41" s="16">
        <f>Spearman($E$35:$E$38,E35:E38)</f>
        <v>1</v>
      </c>
      <c r="F41" s="16">
        <f t="shared" ref="F41:Q41" si="4">Spearman($E$35:$E$38,F35:F38)</f>
        <v>-0.4</v>
      </c>
      <c r="G41" s="16">
        <f t="shared" si="4"/>
        <v>-0.4</v>
      </c>
      <c r="H41" s="16">
        <f t="shared" si="4"/>
        <v>-0.1</v>
      </c>
      <c r="I41" s="16">
        <f t="shared" si="4"/>
        <v>-0.1</v>
      </c>
      <c r="J41" s="16">
        <f t="shared" si="4"/>
        <v>0.8</v>
      </c>
      <c r="K41" s="16">
        <f t="shared" si="4"/>
        <v>-0.25</v>
      </c>
      <c r="L41" s="16">
        <f t="shared" si="4"/>
        <v>-0.4</v>
      </c>
      <c r="M41" s="16">
        <f t="shared" si="4"/>
        <v>1</v>
      </c>
      <c r="N41" s="16">
        <f t="shared" si="4"/>
        <v>0.4</v>
      </c>
      <c r="O41" s="16">
        <f t="shared" si="4"/>
        <v>-0.4</v>
      </c>
      <c r="P41" s="16">
        <f t="shared" si="4"/>
        <v>0.4</v>
      </c>
      <c r="Q41" s="16">
        <f t="shared" si="4"/>
        <v>-0.4</v>
      </c>
    </row>
    <row r="42" spans="1:18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8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8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8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8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8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8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  <c r="R52" s="54" t="s">
        <v>169</v>
      </c>
    </row>
    <row r="53" spans="1:21" ht="60.75" thickBot="1">
      <c r="A53" t="str">
        <f>"IQ_COMPANY_NAME"</f>
        <v>IQ_COMPANY_NAME</v>
      </c>
      <c r="B53" s="9"/>
      <c r="C53" s="2"/>
      <c r="D53" t="str">
        <f>"IQ_FILINGDATE_BS"</f>
        <v>IQ_FILINGDATE_BS</v>
      </c>
      <c r="E53" s="33" t="str">
        <f>"IQ_TEV_EBITDA"</f>
        <v>IQ_TEV_EBITDA</v>
      </c>
      <c r="F53" s="57" t="str">
        <f>"IQ_DIVIDEND_YIELD"</f>
        <v>IQ_DIVIDEND_YIELD</v>
      </c>
      <c r="G53" s="57" t="str">
        <f>"IQ_RETURN_EQUITY"</f>
        <v>IQ_RETURN_EQUITY</v>
      </c>
      <c r="H53" s="57" t="str">
        <f>"IQ_TOTAL_DEBT_EBITDA"</f>
        <v>IQ_TOTAL_DEBT_EBITDA</v>
      </c>
      <c r="I53" s="57" t="str">
        <f>"IQ_TOTAL_DEBT_CAPITAL"</f>
        <v>IQ_TOTAL_DEBT_CAPITAL</v>
      </c>
      <c r="J53" s="33"/>
      <c r="K53" s="42"/>
      <c r="L53" s="19" t="str">
        <f>"IQ_COMMON_REP"</f>
        <v>IQ_COMMON_REP</v>
      </c>
      <c r="M53" s="2" t="str">
        <f>"IQ_NI"</f>
        <v>IQ_NI</v>
      </c>
      <c r="N53" s="28" t="str">
        <f>"IQ_LASTSALEPRICE"</f>
        <v>IQ_LASTSALEPRICE</v>
      </c>
      <c r="O53" s="2" t="str">
        <f>"IQ_ANNUALIZED_DIVIDEND"</f>
        <v>IQ_ANNUALIZED_DIVIDEND</v>
      </c>
      <c r="P53" s="2" t="str">
        <f>"IQ_CAPEX"</f>
        <v>IQ_CAPEX</v>
      </c>
      <c r="Q53" s="2" t="str">
        <f>"IQ_TOTAL_REV"</f>
        <v>IQ_TOTAL_REV</v>
      </c>
      <c r="R53" s="54" t="str">
        <f>"IQ_CAPEX"</f>
        <v>IQ_CAPEX</v>
      </c>
    </row>
    <row r="54" spans="1:21" ht="30">
      <c r="A54" s="58" t="s">
        <v>139</v>
      </c>
      <c r="B54" s="59"/>
      <c r="C54" s="59" t="s">
        <v>140</v>
      </c>
      <c r="D54" s="59" t="s">
        <v>141</v>
      </c>
      <c r="E54" s="60" t="s">
        <v>34</v>
      </c>
      <c r="F54" s="60" t="s">
        <v>33</v>
      </c>
      <c r="G54" s="60" t="s">
        <v>28</v>
      </c>
      <c r="H54" s="60" t="s">
        <v>31</v>
      </c>
      <c r="I54" s="60" t="s">
        <v>30</v>
      </c>
      <c r="J54" s="61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62" t="str">
        <f>_xll.ciqfunctions.udf.CIQ(B55,$A$74)</f>
        <v>(Invalid Identifier)</v>
      </c>
      <c r="B55" s="27"/>
      <c r="C55" s="27" t="s">
        <v>53</v>
      </c>
      <c r="D55" s="36" t="str">
        <f>_xll.ciqfunctions.udf.CIQ($B55, D$6,C55)</f>
        <v>(Invalid Identifier)</v>
      </c>
      <c r="E55" s="12" t="str">
        <f>_xll.ciqfunctions.udf.CIQ($B55,$E$6, , D55)</f>
        <v>(Invalid Identifier)</v>
      </c>
      <c r="F55" s="12" t="str">
        <f>_xll.ciqfunctions.udf.CIQ($B55, F$6, D55)</f>
        <v>(Invalid Identifier)</v>
      </c>
      <c r="G55" s="21" t="str">
        <f>_xll.ciqfunctions.udf.CIQ($B55, J$6,  C55)</f>
        <v>(Invalid Identifier)</v>
      </c>
      <c r="H55" s="15" t="str">
        <f>_xll.ciqfunctions.udf.CIQ($B55, H$6, C55)</f>
        <v>(Invalid Identifier)</v>
      </c>
      <c r="I55" s="18" t="e">
        <f>_xll.ciqfunctions.udf.CIQ($B55, I$6,  C55)/100</f>
        <v>#VALUE!</v>
      </c>
      <c r="J55" s="63" t="e">
        <f>P55/-M55</f>
        <v>#VALUE!</v>
      </c>
      <c r="K55" s="43"/>
      <c r="L55" s="22" t="str">
        <f>_xll.ciqfunctions.udf.CIQ($B55, L$6,  C55)</f>
        <v>(Invalid Identifier)</v>
      </c>
      <c r="M55" t="str">
        <f>_xll.ciqfunctions.udf.CIQ($B55, M$6, C55)</f>
        <v>(Invalid Identifier)</v>
      </c>
      <c r="N55" s="27" t="str">
        <f>_xll.ciqfunctions.udf.CIQ($B55, N$6,#REF!)</f>
        <v>(Invalid Identifier)</v>
      </c>
      <c r="O55" t="str">
        <f>_xll.ciqfunctions.udf.CIQ($B55, O$6,#REF!)</f>
        <v>(Invalid Identifier)</v>
      </c>
      <c r="P55" s="56" t="str">
        <f>_xll.ciqfunctions.udf.CIQ($B55, P$6, C55)</f>
        <v>(Invalid Identifier)</v>
      </c>
      <c r="Q55" t="str">
        <f>_xll.ciqfunctions.udf.CIQ($B55, Q$6, C55)</f>
        <v>(Invalid Identifier)</v>
      </c>
      <c r="R55" t="e">
        <f>-_xll.ciqfunctions.udf.CIQ($B55, P$6, C55)/M55</f>
        <v>#VALUE!</v>
      </c>
    </row>
    <row r="56" spans="1:21">
      <c r="A56" s="62" t="str">
        <f>_xll.ciqfunctions.udf.CIQ(B56,$A$74)</f>
        <v>(Invalid Identifier)</v>
      </c>
      <c r="B56" s="27"/>
      <c r="C56" s="27" t="s">
        <v>53</v>
      </c>
      <c r="D56" s="36" t="str">
        <f>_xll.ciqfunctions.udf.CIQ($B56, D$6,C56)</f>
        <v>(Invalid Identifier)</v>
      </c>
      <c r="E56" s="12" t="str">
        <f>_xll.ciqfunctions.udf.CIQ($B56,$E$6, , D56)</f>
        <v>(Invalid Identifier)</v>
      </c>
      <c r="F56" s="12" t="str">
        <f>_xll.ciqfunctions.udf.CIQ($B56, F$6, D56)</f>
        <v>(Invalid Identifier)</v>
      </c>
      <c r="G56" s="21" t="str">
        <f>_xll.ciqfunctions.udf.CIQ($B56, J$6,  C56)</f>
        <v>(Invalid Identifier)</v>
      </c>
      <c r="H56" s="15" t="str">
        <f>_xll.ciqfunctions.udf.CIQ($B56, H$6, C56)</f>
        <v>(Invalid Identifier)</v>
      </c>
      <c r="I56" s="18" t="e">
        <f>_xll.ciqfunctions.udf.CIQ($B56, I$6,  C56)/100</f>
        <v>#VALUE!</v>
      </c>
      <c r="J56" s="63" t="e">
        <f t="shared" ref="J56:J63" si="5">P56/-M56</f>
        <v>#VALUE!</v>
      </c>
      <c r="K56" s="43"/>
      <c r="L56" s="22" t="str">
        <f>_xll.ciqfunctions.udf.CIQ($B56, L$6,  C56)</f>
        <v>(Invalid Identifier)</v>
      </c>
      <c r="M56" t="str">
        <f>_xll.ciqfunctions.udf.CIQ($B56, M$6, C56)</f>
        <v>(Invalid Identifier)</v>
      </c>
      <c r="N56" s="27" t="str">
        <f>_xll.ciqfunctions.udf.CIQ($B56, N$6,#REF!)</f>
        <v>(Invalid Identifier)</v>
      </c>
      <c r="O56" t="str">
        <f>_xll.ciqfunctions.udf.CIQ($B56, O$6,#REF!)</f>
        <v>(Invalid Identifier)</v>
      </c>
      <c r="P56" s="56" t="str">
        <f>_xll.ciqfunctions.udf.CIQ($B56, P$6, C56)</f>
        <v>(Invalid Identifier)</v>
      </c>
      <c r="Q56" t="str">
        <f>_xll.ciqfunctions.udf.CIQ($B56, Q$6, C56)</f>
        <v>(Invalid Identifier)</v>
      </c>
      <c r="R56" t="e">
        <f>-_xll.ciqfunctions.udf.CIQ($B56, P$6, C56)/M56</f>
        <v>#VALUE!</v>
      </c>
      <c r="S56" s="27"/>
      <c r="T56" s="27"/>
    </row>
    <row r="57" spans="1:21">
      <c r="A57" s="62" t="str">
        <f>_xll.ciqfunctions.udf.CIQ(B57,$A$74)</f>
        <v>(Invalid Identifier)</v>
      </c>
      <c r="B57" s="64"/>
      <c r="C57" s="27" t="s">
        <v>53</v>
      </c>
      <c r="D57" s="36" t="str">
        <f>_xll.ciqfunctions.udf.CIQ($B57, D$6,C57)</f>
        <v>(Invalid Identifier)</v>
      </c>
      <c r="E57" s="12" t="str">
        <f>_xll.ciqfunctions.udf.CIQ($B57,$E$6, , D57)</f>
        <v>(Invalid Identifier)</v>
      </c>
      <c r="F57" s="12" t="str">
        <f>_xll.ciqfunctions.udf.CIQ($B57, F$6, D57)</f>
        <v>(Invalid Identifier)</v>
      </c>
      <c r="G57" s="21" t="str">
        <f>_xll.ciqfunctions.udf.CIQ($B57, J$6,  C57)</f>
        <v>(Invalid Identifier)</v>
      </c>
      <c r="H57" s="15" t="str">
        <f>_xll.ciqfunctions.udf.CIQ($B57, H$6, C57)</f>
        <v>(Invalid Identifier)</v>
      </c>
      <c r="I57" s="18" t="e">
        <f>_xll.ciqfunctions.udf.CIQ($B57, I$6,  C57)/100</f>
        <v>#VALUE!</v>
      </c>
      <c r="J57" s="63" t="e">
        <f t="shared" si="5"/>
        <v>#VALUE!</v>
      </c>
      <c r="K57" s="43"/>
      <c r="L57" s="22" t="str">
        <f>_xll.ciqfunctions.udf.CIQ($B57, L$6,  C57)</f>
        <v>(Invalid Identifier)</v>
      </c>
      <c r="M57" t="str">
        <f>_xll.ciqfunctions.udf.CIQ($B57, M$6, C57)</f>
        <v>(Invalid Identifier)</v>
      </c>
      <c r="N57" s="27" t="str">
        <f>_xll.ciqfunctions.udf.CIQ($B57, N$6,#REF!)</f>
        <v>(Invalid Identifier)</v>
      </c>
      <c r="O57" t="str">
        <f>_xll.ciqfunctions.udf.CIQ($B57, O$6,#REF!)</f>
        <v>(Invalid Identifier)</v>
      </c>
      <c r="P57" s="56" t="str">
        <f>_xll.ciqfunctions.udf.CIQ($B57, P$6, C57)</f>
        <v>(Invalid Identifier)</v>
      </c>
      <c r="Q57" t="str">
        <f>_xll.ciqfunctions.udf.CIQ($B57, Q$6, C57)</f>
        <v>(Invalid Identifier)</v>
      </c>
      <c r="R57" t="e">
        <f>-_xll.ciqfunctions.udf.CIQ($B57, P$6, C57)/M57</f>
        <v>#VALUE!</v>
      </c>
      <c r="S57" s="27"/>
      <c r="T57" s="27"/>
    </row>
    <row r="58" spans="1:21">
      <c r="A58" s="62" t="str">
        <f>_xll.ciqfunctions.udf.CIQ(B58,$A$74)</f>
        <v>(Invalid Identifier)</v>
      </c>
      <c r="B58" s="64"/>
      <c r="C58" s="27" t="s">
        <v>53</v>
      </c>
      <c r="D58" s="36" t="str">
        <f>_xll.ciqfunctions.udf.CIQ($B58, D$6,C58)</f>
        <v>(Invalid Identifier)</v>
      </c>
      <c r="E58" s="12" t="str">
        <f>_xll.ciqfunctions.udf.CIQ($B58,$E$6, , D58)</f>
        <v>(Invalid Identifier)</v>
      </c>
      <c r="F58" s="12" t="str">
        <f>_xll.ciqfunctions.udf.CIQ($B58, F$6, D58)</f>
        <v>(Invalid Identifier)</v>
      </c>
      <c r="G58" s="21" t="str">
        <f>_xll.ciqfunctions.udf.CIQ($B58, J$6,  C58)</f>
        <v>(Invalid Identifier)</v>
      </c>
      <c r="H58" s="15" t="str">
        <f>_xll.ciqfunctions.udf.CIQ($B58, H$6, C58)</f>
        <v>(Invalid Identifier)</v>
      </c>
      <c r="I58" s="18" t="e">
        <f>_xll.ciqfunctions.udf.CIQ($B58, I$6,  C58)/100</f>
        <v>#VALUE!</v>
      </c>
      <c r="J58" s="63" t="e">
        <f t="shared" si="5"/>
        <v>#VALUE!</v>
      </c>
      <c r="K58" s="43"/>
      <c r="L58" s="22" t="str">
        <f>_xll.ciqfunctions.udf.CIQ($B58, L$6,  C58)</f>
        <v>(Invalid Identifier)</v>
      </c>
      <c r="M58" t="str">
        <f>_xll.ciqfunctions.udf.CIQ($B58, M$6, C58)</f>
        <v>(Invalid Identifier)</v>
      </c>
      <c r="N58" s="27" t="str">
        <f>_xll.ciqfunctions.udf.CIQ($B58, N$6,#REF!)</f>
        <v>(Invalid Identifier)</v>
      </c>
      <c r="O58" t="str">
        <f>_xll.ciqfunctions.udf.CIQ($B58, O$6,#REF!)</f>
        <v>(Invalid Identifier)</v>
      </c>
      <c r="P58" s="56" t="str">
        <f>_xll.ciqfunctions.udf.CIQ($B58, P$6, C58)</f>
        <v>(Invalid Identifier)</v>
      </c>
      <c r="Q58" t="str">
        <f>_xll.ciqfunctions.udf.CIQ($B58, Q$6, C58)</f>
        <v>(Invalid Identifier)</v>
      </c>
      <c r="R58" t="e">
        <f>-_xll.ciqfunctions.udf.CIQ($B58, P$6, C58)/M58</f>
        <v>#VALUE!</v>
      </c>
      <c r="S58" s="23"/>
      <c r="T58" s="23"/>
    </row>
    <row r="59" spans="1:21">
      <c r="A59" s="62" t="str">
        <f>_xll.ciqfunctions.udf.CIQ(B59,$A$74)</f>
        <v>Suzlon Energy Limited</v>
      </c>
      <c r="B59" s="64">
        <v>532667</v>
      </c>
      <c r="C59" s="27" t="s">
        <v>53</v>
      </c>
      <c r="D59" s="36">
        <f>_xll.ciqfunctions.udf.CIQ($B59, D$6,C59)</f>
        <v>41891</v>
      </c>
      <c r="E59" s="12">
        <f>_xll.ciqfunctions.udf.CIQ($B59,$E$6, , D59)</f>
        <v>37.748480000000001</v>
      </c>
      <c r="F59" s="12">
        <f>_xll.ciqfunctions.udf.CIQ($B59, F$6, D59)</f>
        <v>0</v>
      </c>
      <c r="G59" s="21">
        <f>_xll.ciqfunctions.udf.CIQ($B59, J$6,  C59)</f>
        <v>-150.93389999999999</v>
      </c>
      <c r="H59" s="15" t="str">
        <f>_xll.ciqfunctions.udf.CIQ($B59, H$6, C59)</f>
        <v>NM</v>
      </c>
      <c r="I59" s="18">
        <f>_xll.ciqfunctions.udf.CIQ($B59, I$6,  C59)/100</f>
        <v>0.93903999999999999</v>
      </c>
      <c r="J59" s="63">
        <f t="shared" si="5"/>
        <v>-0.14606177867721148</v>
      </c>
      <c r="K59" s="20"/>
      <c r="L59" s="22">
        <f>_xll.ciqfunctions.udf.CIQ($B59, L$6,  C59)</f>
        <v>0</v>
      </c>
      <c r="M59">
        <f>_xll.ciqfunctions.udf.CIQ($B59, M$6, C59)</f>
        <v>-47239.6</v>
      </c>
      <c r="N59" s="27">
        <f>_xll.ciqfunctions.udf.CIQ($B59, N$6,#REF!)</f>
        <v>13.68</v>
      </c>
      <c r="O59">
        <f>_xll.ciqfunctions.udf.CIQ($B59, O$6,#REF!)</f>
        <v>0</v>
      </c>
      <c r="P59" s="56">
        <f>_xll.ciqfunctions.udf.CIQ($B59, P$6, C59)</f>
        <v>-6899.9</v>
      </c>
      <c r="Q59">
        <f>_xll.ciqfunctions.udf.CIQ($B59, Q$6, C59)</f>
        <v>186147.5</v>
      </c>
      <c r="R59">
        <f>-_xll.ciqfunctions.udf.CIQ($B59, P$6, C59)/M59</f>
        <v>-0.14606177867721148</v>
      </c>
      <c r="S59" s="27"/>
      <c r="T59" s="27"/>
    </row>
    <row r="60" spans="1:21">
      <c r="A60" s="62" t="str">
        <f>_xll.ciqfunctions.udf.CIQ(B60,$A$74)</f>
        <v>Adani Power Limited</v>
      </c>
      <c r="B60" s="64">
        <v>533096</v>
      </c>
      <c r="C60" s="27" t="s">
        <v>132</v>
      </c>
      <c r="D60" s="36">
        <f>_xll.ciqfunctions.udf.CIQ($B60, D$6,C60)</f>
        <v>41470</v>
      </c>
      <c r="E60" s="12">
        <f>_xll.ciqfunctions.udf.CIQ($B60,$E$6, , D60)</f>
        <v>47.307519999999997</v>
      </c>
      <c r="F60" s="12">
        <f>_xll.ciqfunctions.udf.CIQ($B60, F$6, D60)</f>
        <v>0</v>
      </c>
      <c r="G60" s="21">
        <f>_xll.ciqfunctions.udf.CIQ($B60, J$6,  C60)</f>
        <v>-4.3779000000000003</v>
      </c>
      <c r="H60" s="15">
        <f>_xll.ciqfunctions.udf.CIQ($B60, H$6, C60)</f>
        <v>26.141539999999999</v>
      </c>
      <c r="I60" s="18">
        <f>_xll.ciqfunctions.udf.CIQ($B60, I$6,  C60)/100</f>
        <v>0.85397599999999996</v>
      </c>
      <c r="J60" s="63">
        <f t="shared" si="5"/>
        <v>-36.241166846520699</v>
      </c>
      <c r="K60" s="20"/>
      <c r="L60" s="22">
        <f>_xll.ciqfunctions.udf.CIQ($B60, L$6,  C60)</f>
        <v>0</v>
      </c>
      <c r="M60">
        <f>_xll.ciqfunctions.udf.CIQ($B60, M$6, C60)</f>
        <v>-2872.7</v>
      </c>
      <c r="N60" s="27">
        <f>_xll.ciqfunctions.udf.CIQ($B60, N$6,#REF!)</f>
        <v>44.35</v>
      </c>
      <c r="O60">
        <f>_xll.ciqfunctions.udf.CIQ($B60, O$6,#REF!)</f>
        <v>0</v>
      </c>
      <c r="P60" s="56">
        <f>_xll.ciqfunctions.udf.CIQ($B60, P$6, C60)</f>
        <v>-104110</v>
      </c>
      <c r="Q60">
        <f>_xll.ciqfunctions.udf.CIQ($B60, Q$6, C60)</f>
        <v>40921.599999999999</v>
      </c>
      <c r="R60">
        <f>-_xll.ciqfunctions.udf.CIQ($B60, P$6, C60)/M60</f>
        <v>-36.241166846520699</v>
      </c>
      <c r="S60" s="27"/>
      <c r="T60" s="27"/>
    </row>
    <row r="61" spans="1:21">
      <c r="A61" s="62" t="str">
        <f>_xll.ciqfunctions.udf.CIQ(B61,$A$74)</f>
        <v>The Tata Power Company Limited</v>
      </c>
      <c r="B61" s="64">
        <v>500400</v>
      </c>
      <c r="C61" s="27" t="s">
        <v>132</v>
      </c>
      <c r="D61" s="36">
        <f>_xll.ciqfunctions.udf.CIQ($B61, D$6,C61)</f>
        <v>41471</v>
      </c>
      <c r="E61" s="12">
        <f>_xll.ciqfunctions.udf.CIQ($B61,$E$6, , D61)</f>
        <v>8.9508299999999998</v>
      </c>
      <c r="F61" s="12">
        <f>_xll.ciqfunctions.udf.CIQ($B61, F$6, D61)</f>
        <v>1.2891999999999999</v>
      </c>
      <c r="G61" s="21">
        <f>_xll.ciqfunctions.udf.CIQ($B61, J$6,  C61)</f>
        <v>-6.4386000000000001</v>
      </c>
      <c r="H61" s="15">
        <f>_xll.ciqfunctions.udf.CIQ($B61, H$6, C61)</f>
        <v>6.6063900000000002</v>
      </c>
      <c r="I61" s="18">
        <f>_xll.ciqfunctions.udf.CIQ($B61, I$6,  C61)/100</f>
        <v>0.72581899999999999</v>
      </c>
      <c r="J61" s="63">
        <f t="shared" si="5"/>
        <v>-4.9193696675492795</v>
      </c>
      <c r="K61" s="20"/>
      <c r="L61" s="22">
        <f>_xll.ciqfunctions.udf.CIQ($B61, L$6,  C61)</f>
        <v>0</v>
      </c>
      <c r="M61">
        <f>_xll.ciqfunctions.udf.CIQ($B61, M$6, C61)</f>
        <v>-10876.8</v>
      </c>
      <c r="N61" s="27">
        <f>_xll.ciqfunctions.udf.CIQ($B61, N$6,#REF!)</f>
        <v>81.45</v>
      </c>
      <c r="O61">
        <f>_xll.ciqfunctions.udf.CIQ($B61, O$6,#REF!)</f>
        <v>1.25</v>
      </c>
      <c r="P61" s="56">
        <f>_xll.ciqfunctions.udf.CIQ($B61, P$6, C61)</f>
        <v>-53507</v>
      </c>
      <c r="Q61">
        <f>_xll.ciqfunctions.udf.CIQ($B61, Q$6, C61)</f>
        <v>260014</v>
      </c>
      <c r="R61">
        <f>-_xll.ciqfunctions.udf.CIQ($B61, P$6, C61)/M61</f>
        <v>-4.9193696675492795</v>
      </c>
      <c r="S61" s="27"/>
      <c r="T61" s="27"/>
    </row>
    <row r="62" spans="1:21">
      <c r="A62" s="62" t="str">
        <f>_xll.ciqfunctions.udf.CIQ(B62,$A$74)</f>
        <v>Reliance Power Limited</v>
      </c>
      <c r="B62" s="65">
        <v>532939</v>
      </c>
      <c r="C62" s="27" t="s">
        <v>53</v>
      </c>
      <c r="D62" s="36">
        <f>_xll.ciqfunctions.udf.CIQ($B62, D$6,C62)</f>
        <v>41893</v>
      </c>
      <c r="E62" s="12">
        <f>_xll.ciqfunctions.udf.CIQ($B62,$E$6, , D62)</f>
        <v>22.73339</v>
      </c>
      <c r="F62" s="12">
        <f>_xll.ciqfunctions.udf.CIQ($B62, F$6, D62)</f>
        <v>0</v>
      </c>
      <c r="G62" s="21">
        <f>_xll.ciqfunctions.udf.CIQ($B62, J$6,  C62)</f>
        <v>5.5952999999999999</v>
      </c>
      <c r="H62" s="15">
        <f>_xll.ciqfunctions.udf.CIQ($B62, H$6, C62)</f>
        <v>15.646850000000001</v>
      </c>
      <c r="I62" s="18">
        <f>_xll.ciqfunctions.udf.CIQ($B62, I$6,  C62)/100</f>
        <v>0.59659799999999996</v>
      </c>
      <c r="J62" s="63">
        <f t="shared" si="5"/>
        <v>8.8120439760346425</v>
      </c>
      <c r="K62" s="20"/>
      <c r="L62" s="22">
        <f>_xll.ciqfunctions.udf.CIQ($B62, L$6,  C62)</f>
        <v>0</v>
      </c>
      <c r="M62">
        <f>_xll.ciqfunctions.udf.CIQ($B62, M$6, C62)</f>
        <v>10114.6</v>
      </c>
      <c r="N62" s="27">
        <f>_xll.ciqfunctions.udf.CIQ($B62, N$6,#REF!)</f>
        <v>61.4</v>
      </c>
      <c r="O62">
        <f>_xll.ciqfunctions.udf.CIQ($B62, O$6,#REF!)</f>
        <v>0</v>
      </c>
      <c r="P62" s="56">
        <f>_xll.ciqfunctions.udf.CIQ($B62, P$6, C62)</f>
        <v>-89130.3</v>
      </c>
      <c r="Q62">
        <f>_xll.ciqfunctions.udf.CIQ($B62, Q$6, C62)</f>
        <v>49265.9</v>
      </c>
      <c r="R62">
        <f>-_xll.ciqfunctions.udf.CIQ($B62, P$6, C62)/M62</f>
        <v>8.8120439760346425</v>
      </c>
      <c r="S62" s="27"/>
      <c r="T62" s="27"/>
    </row>
    <row r="63" spans="1:21">
      <c r="A63" s="62" t="str">
        <f>_xll.ciqfunctions.udf.CIQ(B63,$A$74)</f>
        <v>NTPC Ltd.</v>
      </c>
      <c r="B63" s="27">
        <v>532555</v>
      </c>
      <c r="C63" s="27" t="s">
        <v>53</v>
      </c>
      <c r="D63" s="36">
        <f>_xll.ciqfunctions.udf.CIQ($B63, D$6,C63)</f>
        <v>41850</v>
      </c>
      <c r="E63" s="12">
        <f>_xll.ciqfunctions.udf.CIQ($B63,$E$6, , D63)</f>
        <v>9.3936799999999998</v>
      </c>
      <c r="F63" s="12">
        <f>_xll.ciqfunctions.udf.CIQ($B63, F$6, D63)</f>
        <v>3.8460999999999999</v>
      </c>
      <c r="G63" s="21">
        <f>_xll.ciqfunctions.udf.CIQ($B63, J$6,  C63)</f>
        <v>16.058199999999999</v>
      </c>
      <c r="H63" s="15">
        <f>_xll.ciqfunctions.udf.CIQ($B63, H$6, C63)</f>
        <v>3.8556400000000002</v>
      </c>
      <c r="I63" s="18">
        <f>_xll.ciqfunctions.udf.CIQ($B63, I$6,  C63)/100</f>
        <v>0.46243000000000001</v>
      </c>
      <c r="J63" s="63">
        <f t="shared" si="5"/>
        <v>1.6206891074262277</v>
      </c>
      <c r="K63" s="20"/>
      <c r="L63" s="22">
        <f>_xll.ciqfunctions.udf.CIQ($B63, L$6,  C63)</f>
        <v>0</v>
      </c>
      <c r="M63">
        <f>_xll.ciqfunctions.udf.CIQ($B63, M$6, C63)</f>
        <v>125907.8</v>
      </c>
      <c r="N63" s="27">
        <f>_xll.ciqfunctions.udf.CIQ($B63, N$6,#REF!)</f>
        <v>141.69999999999999</v>
      </c>
      <c r="O63">
        <f>_xll.ciqfunctions.udf.CIQ($B63, O$6,#REF!)</f>
        <v>5.75</v>
      </c>
      <c r="P63" s="56">
        <f>_xll.ciqfunctions.udf.CIQ($B63, P$6, C63)</f>
        <v>-204057.4</v>
      </c>
      <c r="Q63">
        <f>_xll.ciqfunctions.udf.CIQ($B63, Q$6, C63)</f>
        <v>720980.9</v>
      </c>
      <c r="R63">
        <f>-_xll.ciqfunctions.udf.CIQ($B63, P$6, C63)/M63</f>
        <v>1.6206891074262277</v>
      </c>
      <c r="S63" s="27"/>
      <c r="T63" s="27"/>
    </row>
    <row r="64" spans="1:21">
      <c r="A64" s="62"/>
      <c r="B64" s="27"/>
      <c r="C64" s="66"/>
      <c r="D64" s="67"/>
      <c r="E64" s="50"/>
      <c r="F64" s="50"/>
      <c r="G64" s="51"/>
      <c r="H64" s="52"/>
      <c r="I64" s="18"/>
      <c r="J64" s="68"/>
      <c r="K64" s="20"/>
      <c r="L64" s="22"/>
      <c r="M64"/>
      <c r="P64" s="56"/>
      <c r="S64" s="27"/>
      <c r="T64" s="27"/>
    </row>
    <row r="65" spans="1:20" ht="30.75" thickBot="1">
      <c r="A65" s="69"/>
      <c r="B65" s="70"/>
      <c r="C65" s="70"/>
      <c r="D65" s="71" t="s">
        <v>165</v>
      </c>
      <c r="E65" s="72">
        <f>Spearman($E$59:$E$63,E59:E63)</f>
        <v>1</v>
      </c>
      <c r="F65" s="72">
        <f t="shared" ref="F65:J65" si="6">Spearman($E$59:$E$63,F59:F63)</f>
        <v>-0.15</v>
      </c>
      <c r="G65" s="72">
        <f t="shared" si="6"/>
        <v>-0.2</v>
      </c>
      <c r="H65" s="72">
        <f t="shared" si="6"/>
        <v>0.8</v>
      </c>
      <c r="I65" s="72">
        <f t="shared" si="6"/>
        <v>0.6</v>
      </c>
      <c r="J65" s="72">
        <f t="shared" si="6"/>
        <v>-0.3</v>
      </c>
      <c r="K65" s="29" t="e">
        <f t="shared" ref="K65:W65" si="7">Spearman($E$55:$E$63,K55:K63)</f>
        <v>#VALUE!</v>
      </c>
      <c r="L65" s="16">
        <f t="shared" si="7"/>
        <v>-0.5</v>
      </c>
      <c r="M65" s="16">
        <f t="shared" si="7"/>
        <v>-0.2</v>
      </c>
      <c r="N65" s="16">
        <f t="shared" si="7"/>
        <v>-0.8</v>
      </c>
      <c r="O65" s="16">
        <f t="shared" si="7"/>
        <v>-0.15</v>
      </c>
      <c r="P65" s="16">
        <f t="shared" si="7"/>
        <v>0</v>
      </c>
      <c r="Q65" s="16">
        <f t="shared" si="7"/>
        <v>-0.8</v>
      </c>
      <c r="R65" s="16">
        <f t="shared" si="7"/>
        <v>-0.3</v>
      </c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R73" s="54" t="s">
        <v>169</v>
      </c>
    </row>
    <row r="74" spans="1:20" ht="60.75" thickBot="1">
      <c r="A74" t="str">
        <f>"IQ_COMPANY_NAME"</f>
        <v>IQ_COMPANY_NAME</v>
      </c>
      <c r="B74" s="9"/>
      <c r="C74" s="2"/>
      <c r="D74" t="str">
        <f>"IQ_FILINGDATE_BS"</f>
        <v>IQ_FILINGDATE_BS</v>
      </c>
      <c r="E74" s="33" t="str">
        <f>"IQ_TEV_EBITDA"</f>
        <v>IQ_TEV_EBITDA</v>
      </c>
      <c r="F74" s="57" t="str">
        <f>"IQ_DIVIDEND_YIELD"</f>
        <v>IQ_DIVIDEND_YIELD</v>
      </c>
      <c r="G74" s="57" t="str">
        <f>"IQ_RETURN_EQUITY"</f>
        <v>IQ_RETURN_EQUITY</v>
      </c>
      <c r="H74" s="57" t="str">
        <f>"IQ_TOTAL_DEBT_EBITDA"</f>
        <v>IQ_TOTAL_DEBT_EBITDA</v>
      </c>
      <c r="I74" s="57" t="str">
        <f>"IQ_TOTAL_DEBT_CAPITAL"</f>
        <v>IQ_TOTAL_DEBT_CAPITAL</v>
      </c>
      <c r="J74" s="33"/>
      <c r="K74" s="42"/>
      <c r="L74" s="19" t="str">
        <f>"IQ_COMMON_REP"</f>
        <v>IQ_COMMON_REP</v>
      </c>
      <c r="M74" s="2" t="str">
        <f>"IQ_NI"</f>
        <v>IQ_NI</v>
      </c>
      <c r="N74" s="28" t="str">
        <f>"IQ_LASTSALEPRICE"</f>
        <v>IQ_LASTSALEPRICE</v>
      </c>
      <c r="O74" s="2" t="str">
        <f>"IQ_ANNUALIZED_DIVIDEND"</f>
        <v>IQ_ANNUALIZED_DIVIDEND</v>
      </c>
      <c r="P74" s="2" t="str">
        <f>"IQ_CAPEX"</f>
        <v>IQ_CAPEX</v>
      </c>
      <c r="Q74" s="2" t="str">
        <f>"IQ_TOTAL_REV"</f>
        <v>IQ_TOTAL_REV</v>
      </c>
      <c r="R74" s="54" t="s">
        <v>168</v>
      </c>
    </row>
    <row r="75" spans="1:20" ht="30">
      <c r="A75" s="58" t="str">
        <f>A54</f>
        <v>Company Name</v>
      </c>
      <c r="B75" s="74"/>
      <c r="C75" s="59" t="str">
        <f>C54</f>
        <v>Finacial Yr</v>
      </c>
      <c r="D75" s="59" t="str">
        <f>D54</f>
        <v>Filing date</v>
      </c>
      <c r="E75" s="75" t="s">
        <v>34</v>
      </c>
      <c r="F75" s="60" t="s">
        <v>33</v>
      </c>
      <c r="G75" s="60" t="s">
        <v>28</v>
      </c>
      <c r="H75" s="60" t="s">
        <v>31</v>
      </c>
      <c r="I75" s="60" t="s">
        <v>30</v>
      </c>
      <c r="J75" s="61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62" t="str">
        <f>_xll.ciqfunctions.udf.CIQ(B76,$A$74)</f>
        <v>ORT Technologies Ltd.</v>
      </c>
      <c r="B76" s="27" t="s">
        <v>177</v>
      </c>
      <c r="C76" s="27" t="s">
        <v>53</v>
      </c>
      <c r="D76" s="36">
        <f>_xll.ciqfunctions.udf.CIQ($B76, D$6,C76)</f>
        <v>41719</v>
      </c>
      <c r="E76" s="12">
        <f>_xll.ciqfunctions.udf.CIQ($B76,$E$6, , D76)</f>
        <v>11.32371</v>
      </c>
      <c r="F76" s="12">
        <f>_xll.ciqfunctions.udf.CIQ($B76, F$6, D76)</f>
        <v>5.8540000000000001</v>
      </c>
      <c r="G76" s="21">
        <f>_xll.ciqfunctions.udf.CIQ($B76, J$6,  C76)</f>
        <v>-7.0000000000000001E-3</v>
      </c>
      <c r="H76" s="15">
        <f>_xll.ciqfunctions.udf.CIQ($B76, H$6, C76)</f>
        <v>3.3996499999999998</v>
      </c>
      <c r="I76" s="18">
        <f>_xll.ciqfunctions.udf.CIQ($B76, I$6,  C76)/100</f>
        <v>0.27179300000000001</v>
      </c>
      <c r="J76" s="63">
        <f t="shared" ref="J76:J81" si="8">P76/-M76</f>
        <v>-1.6174496644295302</v>
      </c>
      <c r="K76" s="43"/>
      <c r="L76" s="22">
        <f>_xll.ciqfunctions.udf.CIQ($B76, L$6,  C76)</f>
        <v>0</v>
      </c>
      <c r="M76">
        <f>_xll.ciqfunctions.udf.CIQ($B76, M$6, C76)</f>
        <v>-2.6819999999999999</v>
      </c>
      <c r="N76" s="27">
        <f>_xll.ciqfunctions.udf.CIQ($B76, N$6,#REF!)</f>
        <v>19.850000000000001</v>
      </c>
      <c r="O76">
        <f>_xll.ciqfunctions.udf.CIQ($B76, O$6,#REF!)</f>
        <v>0</v>
      </c>
      <c r="P76">
        <f>_xll.ciqfunctions.udf.CIQ($B76, P$6, C76)</f>
        <v>-4.3380000000000001</v>
      </c>
      <c r="Q76">
        <f>_xll.ciqfunctions.udf.CIQ($B76, Q$6, C76)</f>
        <v>267.23899999999998</v>
      </c>
      <c r="R76">
        <f>_xll.ciqfunctions.udf.CIQ($R$73, $R$74, D76)</f>
        <v>2.75</v>
      </c>
    </row>
    <row r="77" spans="1:20">
      <c r="A77" s="62" t="str">
        <f>_xll.ciqfunctions.udf.CIQ(B77,$A$74)</f>
        <v>Israel Chemicals Ltd.</v>
      </c>
      <c r="B77" s="27" t="s">
        <v>176</v>
      </c>
      <c r="C77" s="27" t="s">
        <v>53</v>
      </c>
      <c r="D77" s="36">
        <f>_xll.ciqfunctions.udf.CIQ($B77, D$6,C77)</f>
        <v>41906</v>
      </c>
      <c r="E77" s="12">
        <f>_xll.ciqfunctions.udf.CIQ($B77,$E$6, , D77)</f>
        <v>10.535450000000001</v>
      </c>
      <c r="F77" s="12">
        <f>_xll.ciqfunctions.udf.CIQ($B77, F$6, D77)</f>
        <v>1.6192</v>
      </c>
      <c r="G77" s="21">
        <f>_xll.ciqfunctions.udf.CIQ($B77, J$6,  C77)</f>
        <v>23.211500000000001</v>
      </c>
      <c r="H77" s="15">
        <f>_xll.ciqfunctions.udf.CIQ($B77, H$6, C77)</f>
        <v>1.3751899999999999</v>
      </c>
      <c r="I77" s="18">
        <f>_xll.ciqfunctions.udf.CIQ($B77, I$6,  C77)/100</f>
        <v>0.35641800000000001</v>
      </c>
      <c r="J77" s="63">
        <f t="shared" si="8"/>
        <v>1.0097914297197683</v>
      </c>
      <c r="K77" s="43"/>
      <c r="L77" s="22">
        <f>_xll.ciqfunctions.udf.CIQ($B77, L$6,  C77)</f>
        <v>0</v>
      </c>
      <c r="M77">
        <f>_xll.ciqfunctions.udf.CIQ($B77, M$6, C77)</f>
        <v>818.57299999999998</v>
      </c>
      <c r="N77" s="27">
        <f>_xll.ciqfunctions.udf.CIQ($B77, N$6,#REF!)</f>
        <v>28.1</v>
      </c>
      <c r="O77">
        <f>_xll.ciqfunctions.udf.CIQ($B77, O$6,#REF!)</f>
        <v>0.45</v>
      </c>
      <c r="P77">
        <f>_xll.ciqfunctions.udf.CIQ($B77, P$6, C77)</f>
        <v>-826.58799999999997</v>
      </c>
      <c r="Q77">
        <f>_xll.ciqfunctions.udf.CIQ($B77, Q$6, C77)</f>
        <v>6271.5420000000004</v>
      </c>
      <c r="R77">
        <f>_xll.ciqfunctions.udf.CIQ($R$73, $R$74, D77)</f>
        <v>2.57</v>
      </c>
    </row>
    <row r="78" spans="1:20">
      <c r="A78" s="62" t="str">
        <f>_xll.ciqfunctions.udf.CIQ(B78,$A$74)</f>
        <v>Nova Measuring Instruments Ltd.</v>
      </c>
      <c r="B78" s="27" t="s">
        <v>172</v>
      </c>
      <c r="C78" s="27" t="s">
        <v>132</v>
      </c>
      <c r="D78" s="36">
        <f>_xll.ciqfunctions.udf.CIQ($B78, D$6,C78)</f>
        <v>41698</v>
      </c>
      <c r="E78" s="12">
        <f>_xll.ciqfunctions.udf.CIQ($B78,$E$6, , D78)</f>
        <v>13.212630000000001</v>
      </c>
      <c r="F78" s="12">
        <f>_xll.ciqfunctions.udf.CIQ($B78, F$6, D78)</f>
        <v>0</v>
      </c>
      <c r="G78" s="21">
        <f>_xll.ciqfunctions.udf.CIQ($B78, J$6,  C78)</f>
        <v>11.019299999999999</v>
      </c>
      <c r="H78" s="15">
        <f>_xll.ciqfunctions.udf.CIQ($B78, H$6, C78)</f>
        <v>0</v>
      </c>
      <c r="I78" s="18">
        <f>_xll.ciqfunctions.udf.CIQ($B78, I$6,  C78)/100</f>
        <v>0</v>
      </c>
      <c r="J78" s="63">
        <f t="shared" si="8"/>
        <v>0.30943523841731485</v>
      </c>
      <c r="K78" s="43"/>
      <c r="L78" s="22">
        <f>_xll.ciqfunctions.udf.CIQ($B78, L$6,  C78)</f>
        <v>0</v>
      </c>
      <c r="M78">
        <f>_xll.ciqfunctions.udf.CIQ($B78, M$6, C78)</f>
        <v>11.827999999999999</v>
      </c>
      <c r="N78" s="27">
        <f>_xll.ciqfunctions.udf.CIQ($B78, N$6,#REF!)</f>
        <v>9.99</v>
      </c>
      <c r="O78">
        <f>_xll.ciqfunctions.udf.CIQ($B78, O$6,#REF!)</f>
        <v>0</v>
      </c>
      <c r="P78">
        <f>_xll.ciqfunctions.udf.CIQ($B78, P$6, C78)</f>
        <v>-3.66</v>
      </c>
      <c r="Q78">
        <f>_xll.ciqfunctions.udf.CIQ($B78, Q$6, C78)</f>
        <v>96.168000000000006</v>
      </c>
      <c r="R78">
        <f>_xll.ciqfunctions.udf.CIQ($R$73, $R$74, D78)</f>
        <v>2.66</v>
      </c>
    </row>
    <row r="79" spans="1:20">
      <c r="A79" s="62" t="str">
        <f>_xll.ciqfunctions.udf.CIQ(B79,$A$74)</f>
        <v>Tower Semiconductor Ltd.</v>
      </c>
      <c r="B79" s="27" t="s">
        <v>174</v>
      </c>
      <c r="C79" s="27" t="s">
        <v>53</v>
      </c>
      <c r="D79" s="36">
        <f>_xll.ciqfunctions.udf.CIQ($B79, D$6,C79)</f>
        <v>41701</v>
      </c>
      <c r="E79" s="12">
        <f>_xll.ciqfunctions.udf.CIQ($B79,$E$6, , D79)</f>
        <v>5.2227499999999996</v>
      </c>
      <c r="F79" s="12">
        <f>_xll.ciqfunctions.udf.CIQ($B79, F$6, D79)</f>
        <v>0</v>
      </c>
      <c r="G79" s="21">
        <f>_xll.ciqfunctions.udf.CIQ($B79, J$6,  C79)</f>
        <v>-59.600299999999997</v>
      </c>
      <c r="H79" s="15">
        <f>_xll.ciqfunctions.udf.CIQ($B79, H$6, C79)</f>
        <v>3.0210900000000001</v>
      </c>
      <c r="I79" s="18">
        <f>_xll.ciqfunctions.udf.CIQ($B79, I$6,  C79)/100</f>
        <v>0.71440399999999993</v>
      </c>
      <c r="J79" s="63">
        <f t="shared" si="8"/>
        <v>-0.75997584989782652</v>
      </c>
      <c r="K79" s="20"/>
      <c r="L79" s="22">
        <f>_xll.ciqfunctions.udf.CIQ($B79, L$6,  C79)</f>
        <v>0</v>
      </c>
      <c r="M79">
        <f>_xll.ciqfunctions.udf.CIQ($B79, M$6, C79)</f>
        <v>-107.66</v>
      </c>
      <c r="N79" s="27">
        <f>_xll.ciqfunctions.udf.CIQ($B79, N$6,#REF!)</f>
        <v>12.94</v>
      </c>
      <c r="O79">
        <f>_xll.ciqfunctions.udf.CIQ($B79, O$6,#REF!)</f>
        <v>0</v>
      </c>
      <c r="P79">
        <f>_xll.ciqfunctions.udf.CIQ($B79, P$6, C79)</f>
        <v>-81.819000000000003</v>
      </c>
      <c r="Q79">
        <f>_xll.ciqfunctions.udf.CIQ($B79, Q$6, C79)</f>
        <v>505.00900000000001</v>
      </c>
      <c r="R79">
        <f>_xll.ciqfunctions.udf.CIQ($R$73, $R$74, D79)</f>
        <v>2.6</v>
      </c>
    </row>
    <row r="80" spans="1:20">
      <c r="A80" s="62" t="str">
        <f>_xll.ciqfunctions.udf.CIQ(B80,$A$74)</f>
        <v>EZchip Semiconductor Ltd.</v>
      </c>
      <c r="B80" s="27" t="s">
        <v>173</v>
      </c>
      <c r="C80" s="27" t="s">
        <v>53</v>
      </c>
      <c r="D80" s="36">
        <f>_xll.ciqfunctions.udf.CIQ($B80, D$6,C80)</f>
        <v>41725</v>
      </c>
      <c r="E80" s="12">
        <f>_xll.ciqfunctions.udf.CIQ($B80,$E$6, , D80)</f>
        <v>26.60305</v>
      </c>
      <c r="F80" s="12">
        <f>_xll.ciqfunctions.udf.CIQ($B80, F$6, D80)</f>
        <v>0</v>
      </c>
      <c r="G80" s="21">
        <f>_xll.ciqfunctions.udf.CIQ($B80, J$6,  C80)</f>
        <v>7.4318</v>
      </c>
      <c r="H80" s="15">
        <f>_xll.ciqfunctions.udf.CIQ($B80, H$6, C80)</f>
        <v>0</v>
      </c>
      <c r="I80" s="18">
        <f>_xll.ciqfunctions.udf.CIQ($B80, I$6,  C80)/100</f>
        <v>0</v>
      </c>
      <c r="J80" s="63">
        <f t="shared" si="8"/>
        <v>7.3601253571757758E-2</v>
      </c>
      <c r="K80" s="20"/>
      <c r="L80" s="22">
        <f>_xll.ciqfunctions.udf.CIQ($B80, L$6,  C80)</f>
        <v>0</v>
      </c>
      <c r="M80">
        <f>_xll.ciqfunctions.udf.CIQ($B80, M$6, C80)</f>
        <v>21.698</v>
      </c>
      <c r="N80" s="27">
        <f>_xll.ciqfunctions.udf.CIQ($B80, N$6,#REF!)</f>
        <v>19.61</v>
      </c>
      <c r="O80">
        <f>_xll.ciqfunctions.udf.CIQ($B80, O$6,#REF!)</f>
        <v>0</v>
      </c>
      <c r="P80">
        <f>_xll.ciqfunctions.udf.CIQ($B80, P$6, C80)</f>
        <v>-1.597</v>
      </c>
      <c r="Q80">
        <f>_xll.ciqfunctions.udf.CIQ($B80, Q$6, C80)</f>
        <v>70.849999999999994</v>
      </c>
      <c r="R80">
        <f>_xll.ciqfunctions.udf.CIQ($R$73, $R$74, D80)</f>
        <v>2.69</v>
      </c>
    </row>
    <row r="81" spans="1:18">
      <c r="A81" s="62" t="str">
        <f>_xll.ciqfunctions.udf.CIQ(B81,$A$74)</f>
        <v>Nova Measuring Instruments Ltd.</v>
      </c>
      <c r="B81" s="27" t="s">
        <v>172</v>
      </c>
      <c r="C81" s="27" t="s">
        <v>53</v>
      </c>
      <c r="D81" s="36">
        <f>_xll.ciqfunctions.udf.CIQ($B81, D$6,C81)</f>
        <v>41698</v>
      </c>
      <c r="E81" s="12">
        <f>_xll.ciqfunctions.udf.CIQ($B81,$E$6, , D81)</f>
        <v>13.212630000000001</v>
      </c>
      <c r="F81" s="12">
        <f>_xll.ciqfunctions.udf.CIQ($B81, F$6, D81)</f>
        <v>0</v>
      </c>
      <c r="G81" s="21">
        <f>_xll.ciqfunctions.udf.CIQ($B81, J$6,  C81)</f>
        <v>8.6387999999999998</v>
      </c>
      <c r="H81" s="15">
        <f>_xll.ciqfunctions.udf.CIQ($B81, H$6, C81)</f>
        <v>0</v>
      </c>
      <c r="I81" s="18">
        <f>_xll.ciqfunctions.udf.CIQ($B81, I$6,  C81)/100</f>
        <v>0</v>
      </c>
      <c r="J81" s="63">
        <f t="shared" si="8"/>
        <v>0.3917261055634807</v>
      </c>
      <c r="K81" s="43"/>
      <c r="L81" s="22">
        <f>_xll.ciqfunctions.udf.CIQ($B81, L$6,  C81)</f>
        <v>0</v>
      </c>
      <c r="M81">
        <f>_xll.ciqfunctions.udf.CIQ($B81, M$6, C81)</f>
        <v>10.515000000000001</v>
      </c>
      <c r="N81" s="27">
        <f>_xll.ciqfunctions.udf.CIQ($B81, N$6,#REF!)</f>
        <v>9.99</v>
      </c>
      <c r="O81">
        <f>_xll.ciqfunctions.udf.CIQ($B81, O$6,#REF!)</f>
        <v>0</v>
      </c>
      <c r="P81">
        <f>_xll.ciqfunctions.udf.CIQ($B81, P$6, C81)</f>
        <v>-4.1189999999999998</v>
      </c>
      <c r="Q81">
        <f>_xll.ciqfunctions.udf.CIQ($B81, Q$6, C81)</f>
        <v>111.509</v>
      </c>
      <c r="R81">
        <f>_xll.ciqfunctions.udf.CIQ($R$73, $R$74, D81)</f>
        <v>2.66</v>
      </c>
    </row>
    <row r="82" spans="1:18">
      <c r="A82" s="62" t="str">
        <f>_xll.ciqfunctions.udf.CIQ(B82,$A$74)</f>
        <v>Israel Aerospace Industries Ltd.</v>
      </c>
      <c r="B82" s="27" t="s">
        <v>175</v>
      </c>
      <c r="C82" s="27" t="s">
        <v>132</v>
      </c>
      <c r="D82" s="36">
        <f>_xll.ciqfunctions.udf.CIQ($B82, D$6,C82)</f>
        <v>41724</v>
      </c>
      <c r="E82" s="12">
        <f>_xll.ciqfunctions.udf.CIQ($B82,$E$6, , D82)</f>
        <v>0</v>
      </c>
      <c r="F82" s="12">
        <f>_xll.ciqfunctions.udf.CIQ($B82, F$6, D82)</f>
        <v>0</v>
      </c>
      <c r="G82" s="21">
        <f>_xll.ciqfunctions.udf.CIQ($B82, J$6,  C82)</f>
        <v>8.3757000000000001</v>
      </c>
      <c r="H82" s="15">
        <f>_xll.ciqfunctions.udf.CIQ($B82, H$6, C82)</f>
        <v>2.3011400000000002</v>
      </c>
      <c r="I82" s="18">
        <f>_xll.ciqfunctions.udf.CIQ($B82, I$6,  C82)/100</f>
        <v>0.30133900000000002</v>
      </c>
      <c r="J82" s="63">
        <f>P82/-M82</f>
        <v>1.4246575342465753</v>
      </c>
      <c r="K82" s="43"/>
      <c r="L82" s="22">
        <f>_xll.ciqfunctions.udf.CIQ($B82, L$6,  C82)</f>
        <v>0</v>
      </c>
      <c r="M82">
        <f>_xll.ciqfunctions.udf.CIQ($B82, M$6, C82)</f>
        <v>73</v>
      </c>
      <c r="N82" s="27">
        <f>_xll.ciqfunctions.udf.CIQ($B82, N$6,#REF!)</f>
        <v>0</v>
      </c>
      <c r="O82">
        <f>_xll.ciqfunctions.udf.CIQ($B82, O$6,#REF!)</f>
        <v>0</v>
      </c>
      <c r="P82">
        <f>_xll.ciqfunctions.udf.CIQ($B82, P$6, C82)</f>
        <v>-104</v>
      </c>
      <c r="Q82">
        <f>_xll.ciqfunctions.udf.CIQ($B82, Q$6, C82)</f>
        <v>3338</v>
      </c>
      <c r="R82">
        <f>_xll.ciqfunctions.udf.CIQ($R$73, $R$74, D82)</f>
        <v>2.71</v>
      </c>
    </row>
    <row r="83" spans="1:18" ht="30.75" thickBot="1">
      <c r="A83" s="69"/>
      <c r="B83" s="70"/>
      <c r="C83" s="70"/>
      <c r="D83" s="71" t="str">
        <f>D65</f>
        <v>Spearman Corr</v>
      </c>
      <c r="E83" s="72">
        <f>Spearman($E$76:$E$80,E76:E80)</f>
        <v>1</v>
      </c>
      <c r="F83" s="72">
        <f t="shared" ref="F83:J83" si="9">Spearman($E$76:$E$80,F76:F80)</f>
        <v>0.15</v>
      </c>
      <c r="G83" s="72">
        <f t="shared" si="9"/>
        <v>0.3</v>
      </c>
      <c r="H83" s="72">
        <f t="shared" si="9"/>
        <v>-0.35</v>
      </c>
      <c r="I83" s="72">
        <f t="shared" si="9"/>
        <v>-0.65</v>
      </c>
      <c r="J83" s="73">
        <f t="shared" si="9"/>
        <v>0.1</v>
      </c>
      <c r="K83" s="20"/>
      <c r="L83" s="20"/>
      <c r="M83" s="20"/>
    </row>
    <row r="85" spans="1:18">
      <c r="A85" s="38"/>
    </row>
    <row r="92" spans="1:18">
      <c r="A92" s="46" t="s">
        <v>72</v>
      </c>
    </row>
    <row r="93" spans="1:18">
      <c r="A93" t="s">
        <v>73</v>
      </c>
    </row>
    <row r="94" spans="1:18">
      <c r="A94" t="s">
        <v>74</v>
      </c>
    </row>
    <row r="95" spans="1:18">
      <c r="A95" t="s">
        <v>75</v>
      </c>
    </row>
    <row r="96" spans="1:18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K1"/>
  <sheetViews>
    <sheetView workbookViewId="0"/>
  </sheetViews>
  <sheetFormatPr defaultRowHeight="15"/>
  <sheetData>
    <row r="1" spans="1:89">
      <c r="A1">
        <v>89</v>
      </c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223</v>
      </c>
      <c r="X1" t="s">
        <v>224</v>
      </c>
      <c r="Y1" t="s">
        <v>225</v>
      </c>
      <c r="Z1" t="s">
        <v>226</v>
      </c>
      <c r="AA1" t="s">
        <v>227</v>
      </c>
      <c r="AB1" t="s">
        <v>228</v>
      </c>
      <c r="AC1" t="s">
        <v>229</v>
      </c>
      <c r="AD1" t="s">
        <v>230</v>
      </c>
      <c r="AE1" t="s">
        <v>231</v>
      </c>
      <c r="AF1" t="s">
        <v>232</v>
      </c>
      <c r="AG1" t="s">
        <v>233</v>
      </c>
      <c r="AH1" t="s">
        <v>234</v>
      </c>
      <c r="AI1" t="s">
        <v>235</v>
      </c>
      <c r="AJ1" t="s">
        <v>236</v>
      </c>
      <c r="AK1" t="s">
        <v>237</v>
      </c>
      <c r="AL1" t="s">
        <v>238</v>
      </c>
      <c r="AM1" t="s">
        <v>239</v>
      </c>
      <c r="AN1" t="s">
        <v>240</v>
      </c>
      <c r="AO1" t="s">
        <v>241</v>
      </c>
      <c r="AP1" t="s">
        <v>242</v>
      </c>
      <c r="AQ1" t="s">
        <v>243</v>
      </c>
      <c r="AR1" t="s">
        <v>244</v>
      </c>
      <c r="AS1" t="s">
        <v>245</v>
      </c>
      <c r="AT1" t="s">
        <v>246</v>
      </c>
      <c r="AU1" t="s">
        <v>247</v>
      </c>
      <c r="AV1" t="s">
        <v>248</v>
      </c>
      <c r="AW1" t="s">
        <v>249</v>
      </c>
      <c r="AX1" t="s">
        <v>250</v>
      </c>
      <c r="AY1" t="s">
        <v>251</v>
      </c>
      <c r="AZ1" t="s">
        <v>252</v>
      </c>
      <c r="BA1" t="s">
        <v>253</v>
      </c>
      <c r="BB1" t="s">
        <v>254</v>
      </c>
      <c r="BC1" t="s">
        <v>255</v>
      </c>
      <c r="BD1" t="s">
        <v>256</v>
      </c>
      <c r="BE1" t="s">
        <v>257</v>
      </c>
      <c r="BF1" t="s">
        <v>258</v>
      </c>
      <c r="BG1" t="s">
        <v>259</v>
      </c>
      <c r="BH1" t="s">
        <v>260</v>
      </c>
      <c r="BI1" t="s">
        <v>261</v>
      </c>
      <c r="BJ1" t="s">
        <v>262</v>
      </c>
      <c r="BK1" t="s">
        <v>263</v>
      </c>
      <c r="BL1" t="s">
        <v>264</v>
      </c>
      <c r="BM1" t="s">
        <v>265</v>
      </c>
      <c r="BN1" t="s">
        <v>266</v>
      </c>
      <c r="BO1" t="s">
        <v>267</v>
      </c>
      <c r="BP1" t="s">
        <v>268</v>
      </c>
      <c r="BQ1" t="s">
        <v>269</v>
      </c>
      <c r="BR1" t="s">
        <v>270</v>
      </c>
      <c r="BS1" t="s">
        <v>271</v>
      </c>
      <c r="BT1" t="s">
        <v>272</v>
      </c>
      <c r="BU1" t="s">
        <v>273</v>
      </c>
      <c r="BV1" t="s">
        <v>274</v>
      </c>
      <c r="BW1" t="s">
        <v>275</v>
      </c>
      <c r="BX1" t="s">
        <v>276</v>
      </c>
      <c r="BY1" t="s">
        <v>277</v>
      </c>
      <c r="BZ1" t="s">
        <v>278</v>
      </c>
      <c r="CA1" t="s">
        <v>279</v>
      </c>
      <c r="CB1" t="s">
        <v>280</v>
      </c>
      <c r="CC1" t="s">
        <v>281</v>
      </c>
      <c r="CD1" t="s">
        <v>282</v>
      </c>
      <c r="CE1" t="s">
        <v>283</v>
      </c>
      <c r="CF1" t="s">
        <v>284</v>
      </c>
      <c r="CG1" t="s">
        <v>285</v>
      </c>
      <c r="CH1" t="s">
        <v>286</v>
      </c>
      <c r="CI1" t="s">
        <v>287</v>
      </c>
      <c r="CJ1" t="s">
        <v>288</v>
      </c>
      <c r="CK1" t="s">
        <v>289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2"/>
  <dimension ref="A1:U111"/>
  <sheetViews>
    <sheetView tabSelected="1" topLeftCell="A45" zoomScale="62" zoomScaleNormal="62" workbookViewId="0">
      <selection activeCell="A59" sqref="A59:J65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4" width="11.7109375" customWidth="1"/>
    <col min="5" max="5" width="13.85546875" customWidth="1"/>
    <col min="6" max="6" width="10.28515625" customWidth="1"/>
    <col min="7" max="7" width="11.7109375" customWidth="1"/>
    <col min="8" max="8" width="8.85546875" customWidth="1"/>
    <col min="9" max="9" width="7.7109375" customWidth="1"/>
    <col min="10" max="10" width="9.5703125" customWidth="1"/>
    <col min="11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7" width="9.7109375" customWidth="1"/>
    <col min="18" max="18" width="17.4257812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">
        <v>57</v>
      </c>
      <c r="E6" s="12" t="s">
        <v>58</v>
      </c>
      <c r="F6" s="14" t="s">
        <v>59</v>
      </c>
      <c r="G6" s="14" t="s">
        <v>60</v>
      </c>
      <c r="H6" s="14" t="s">
        <v>61</v>
      </c>
      <c r="I6" s="14" t="s">
        <v>62</v>
      </c>
      <c r="J6" s="14" t="s">
        <v>63</v>
      </c>
      <c r="K6" s="25" t="s">
        <v>27</v>
      </c>
      <c r="L6" s="19" t="s">
        <v>64</v>
      </c>
      <c r="M6" s="2" t="s">
        <v>65</v>
      </c>
      <c r="N6" s="28" t="s">
        <v>66</v>
      </c>
      <c r="O6" s="2" t="s">
        <v>67</v>
      </c>
      <c r="P6" s="2" t="s">
        <v>68</v>
      </c>
      <c r="Q6" s="2" t="s">
        <v>69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v>41957</v>
      </c>
      <c r="E8" s="12">
        <v>5.1093799999999998</v>
      </c>
      <c r="F8" s="12">
        <v>3.8179999999999998E-3</v>
      </c>
      <c r="G8" s="12">
        <v>0</v>
      </c>
      <c r="H8" s="15">
        <v>1.9659899999999999</v>
      </c>
      <c r="I8" s="18">
        <v>0.47100799999999998</v>
      </c>
      <c r="J8" s="21">
        <v>19.721599999999999</v>
      </c>
      <c r="K8" s="26">
        <v>0</v>
      </c>
      <c r="L8" s="22">
        <v>0</v>
      </c>
      <c r="M8">
        <v>32908.6</v>
      </c>
      <c r="N8" s="27">
        <v>523.79999999999995</v>
      </c>
      <c r="O8">
        <v>2</v>
      </c>
      <c r="P8">
        <v>0</v>
      </c>
      <c r="Q8">
        <v>601639.9</v>
      </c>
      <c r="U8" s="7"/>
    </row>
    <row r="9" spans="1:21">
      <c r="C9">
        <v>499</v>
      </c>
      <c r="D9" s="8">
        <v>41935</v>
      </c>
      <c r="E9" s="12">
        <v>5.33005</v>
      </c>
      <c r="F9" s="12">
        <v>3.8679999999999999E-3</v>
      </c>
      <c r="G9" s="12">
        <v>0</v>
      </c>
      <c r="H9" s="15">
        <v>1.6374299999999999</v>
      </c>
      <c r="I9" s="18">
        <v>0.48616999999999999</v>
      </c>
      <c r="J9" s="21">
        <v>32.825600000000001</v>
      </c>
      <c r="K9" s="26">
        <v>0</v>
      </c>
      <c r="L9" s="22">
        <v>0</v>
      </c>
      <c r="M9">
        <v>53982.1</v>
      </c>
      <c r="N9" s="27">
        <v>516.95000000000005</v>
      </c>
      <c r="O9">
        <v>2</v>
      </c>
      <c r="P9">
        <v>0</v>
      </c>
      <c r="Q9">
        <v>641507.4</v>
      </c>
      <c r="U9" s="7"/>
    </row>
    <row r="10" spans="1:21">
      <c r="C10">
        <v>498</v>
      </c>
      <c r="D10" s="8">
        <v>41935</v>
      </c>
      <c r="E10" s="12">
        <v>5.33005</v>
      </c>
      <c r="F10" s="12">
        <v>3.8679999999999999E-3</v>
      </c>
      <c r="G10" s="12">
        <v>0</v>
      </c>
      <c r="H10" s="15">
        <v>1.8904399999999999</v>
      </c>
      <c r="I10" s="18">
        <v>0.48616999999999999</v>
      </c>
      <c r="J10" s="21">
        <v>25.893599999999999</v>
      </c>
      <c r="K10" s="26">
        <v>0</v>
      </c>
      <c r="L10" s="22">
        <v>0</v>
      </c>
      <c r="M10">
        <v>39182.9</v>
      </c>
      <c r="N10" s="27">
        <v>516.95000000000005</v>
      </c>
      <c r="O10">
        <v>2</v>
      </c>
      <c r="P10">
        <v>0</v>
      </c>
      <c r="Q10">
        <v>668451.19999999995</v>
      </c>
      <c r="U10" s="7"/>
    </row>
    <row r="11" spans="1:21">
      <c r="C11">
        <v>497</v>
      </c>
      <c r="D11" s="8">
        <v>41680</v>
      </c>
      <c r="E11" s="12">
        <v>4.9174699999999998</v>
      </c>
      <c r="F11" s="12">
        <v>5.4939999999999998E-3</v>
      </c>
      <c r="G11" s="12">
        <v>0</v>
      </c>
      <c r="H11" s="15">
        <v>1.7057500000000001</v>
      </c>
      <c r="I11" s="18">
        <v>0.497861</v>
      </c>
      <c r="J11" s="21">
        <v>34.586399999999998</v>
      </c>
      <c r="K11" s="26">
        <v>0</v>
      </c>
      <c r="L11" s="22">
        <v>0</v>
      </c>
      <c r="M11">
        <v>48048</v>
      </c>
      <c r="N11" s="27">
        <v>364</v>
      </c>
      <c r="O11">
        <v>2</v>
      </c>
      <c r="P11">
        <v>0</v>
      </c>
      <c r="Q11">
        <v>635360.6</v>
      </c>
      <c r="U11" s="7"/>
    </row>
    <row r="12" spans="1:21">
      <c r="C12">
        <v>496</v>
      </c>
      <c r="D12" s="8">
        <v>41586</v>
      </c>
      <c r="E12" s="12">
        <v>5.9828599999999996</v>
      </c>
      <c r="F12" s="12">
        <v>5.1939999999999998E-3</v>
      </c>
      <c r="G12" s="12">
        <v>0</v>
      </c>
      <c r="H12" s="15">
        <v>1.9999400000000001</v>
      </c>
      <c r="I12" s="18">
        <v>0.497861</v>
      </c>
      <c r="J12" s="21">
        <v>30.338799999999999</v>
      </c>
      <c r="K12" s="26">
        <v>0</v>
      </c>
      <c r="L12" s="22">
        <v>0</v>
      </c>
      <c r="M12">
        <v>35418.6</v>
      </c>
      <c r="N12" s="27">
        <v>385</v>
      </c>
      <c r="O12">
        <v>2</v>
      </c>
      <c r="P12">
        <v>0</v>
      </c>
      <c r="Q12">
        <v>557012.19999999995</v>
      </c>
      <c r="U12" s="7"/>
    </row>
    <row r="13" spans="1:21">
      <c r="C13">
        <v>495</v>
      </c>
      <c r="D13" s="8">
        <v>41935</v>
      </c>
      <c r="E13" s="12">
        <v>5.33005</v>
      </c>
      <c r="F13" s="12">
        <v>3.8679999999999999E-3</v>
      </c>
      <c r="G13" s="12">
        <v>0</v>
      </c>
      <c r="H13" s="15">
        <v>2.8290899999999999</v>
      </c>
      <c r="I13" s="18">
        <v>0.59229900000000002</v>
      </c>
      <c r="J13" s="21">
        <v>18.3736</v>
      </c>
      <c r="K13" s="26">
        <v>0</v>
      </c>
      <c r="L13" s="22">
        <v>0</v>
      </c>
      <c r="M13">
        <v>17260.7</v>
      </c>
      <c r="N13" s="27">
        <v>516.95000000000005</v>
      </c>
      <c r="O13">
        <v>2</v>
      </c>
      <c r="P13">
        <v>0</v>
      </c>
      <c r="Q13">
        <v>467619.1</v>
      </c>
      <c r="U13" s="7"/>
    </row>
    <row r="14" spans="1:21">
      <c r="C14">
        <v>494</v>
      </c>
      <c r="D14" s="8">
        <v>41935</v>
      </c>
      <c r="E14" s="12">
        <v>5.33005</v>
      </c>
      <c r="F14" s="12">
        <v>3.8679999999999999E-3</v>
      </c>
      <c r="G14" s="12">
        <v>0</v>
      </c>
      <c r="H14" s="15">
        <v>2.1301299999999999</v>
      </c>
      <c r="I14" s="18">
        <v>0.59229900000000002</v>
      </c>
      <c r="J14" s="21">
        <v>40.281999999999996</v>
      </c>
      <c r="K14" s="26">
        <v>0</v>
      </c>
      <c r="L14" s="22">
        <v>0</v>
      </c>
      <c r="M14">
        <v>39454.699999999997</v>
      </c>
      <c r="N14" s="27">
        <v>516.95000000000005</v>
      </c>
      <c r="O14">
        <v>2</v>
      </c>
      <c r="P14">
        <v>0</v>
      </c>
      <c r="Q14">
        <v>569813.5</v>
      </c>
      <c r="U14" s="7"/>
    </row>
    <row r="15" spans="1:21">
      <c r="C15">
        <v>493</v>
      </c>
      <c r="D15" s="8">
        <v>41319</v>
      </c>
      <c r="E15" s="12">
        <v>5.3992199999999997</v>
      </c>
      <c r="F15" s="12">
        <v>1.3481E-2</v>
      </c>
      <c r="G15" s="12">
        <v>0</v>
      </c>
      <c r="H15" s="15">
        <v>2.35806</v>
      </c>
      <c r="I15" s="18">
        <v>0.50619700000000001</v>
      </c>
      <c r="J15" s="21">
        <v>16.1432</v>
      </c>
      <c r="K15" s="26">
        <v>0</v>
      </c>
      <c r="L15" s="22">
        <v>0</v>
      </c>
      <c r="M15">
        <v>16275</v>
      </c>
      <c r="N15" s="27">
        <v>296.7</v>
      </c>
      <c r="O15">
        <v>4</v>
      </c>
      <c r="P15">
        <v>0</v>
      </c>
      <c r="Q15">
        <v>458213.1</v>
      </c>
      <c r="U15" s="7"/>
    </row>
    <row r="16" spans="1:21">
      <c r="C16">
        <v>492</v>
      </c>
      <c r="D16" s="8">
        <v>41220</v>
      </c>
      <c r="E16" s="12">
        <v>4.6510899999999999</v>
      </c>
      <c r="F16" s="12">
        <v>1.4856000000000001E-2</v>
      </c>
      <c r="G16" s="12">
        <v>0</v>
      </c>
      <c r="H16" s="15">
        <v>2.2797700000000001</v>
      </c>
      <c r="I16" s="18">
        <v>0.50619700000000001</v>
      </c>
      <c r="J16" s="21">
        <v>22.6296</v>
      </c>
      <c r="K16" s="26">
        <v>0</v>
      </c>
      <c r="L16" s="22">
        <v>0</v>
      </c>
      <c r="M16">
        <v>20747.3</v>
      </c>
      <c r="N16" s="27">
        <v>269.25</v>
      </c>
      <c r="O16">
        <v>4</v>
      </c>
      <c r="P16">
        <v>0</v>
      </c>
      <c r="Q16">
        <v>428189</v>
      </c>
      <c r="U16" s="7"/>
    </row>
    <row r="17" spans="3:21">
      <c r="C17">
        <v>491</v>
      </c>
      <c r="D17" s="8">
        <v>41130</v>
      </c>
      <c r="E17" s="12">
        <v>4.5370600000000003</v>
      </c>
      <c r="F17" s="12">
        <v>1.6711E-2</v>
      </c>
      <c r="G17" s="12">
        <v>0</v>
      </c>
      <c r="H17" s="15">
        <v>2.40794</v>
      </c>
      <c r="I17" s="18">
        <v>0.59128599999999998</v>
      </c>
      <c r="J17" s="21">
        <v>27.1692</v>
      </c>
      <c r="K17" s="26">
        <v>0</v>
      </c>
      <c r="L17" s="22">
        <v>0</v>
      </c>
      <c r="M17">
        <v>22449.1</v>
      </c>
      <c r="N17" s="27">
        <v>239.35</v>
      </c>
      <c r="O17">
        <v>4</v>
      </c>
      <c r="P17">
        <v>0</v>
      </c>
      <c r="Q17">
        <v>431711.3</v>
      </c>
      <c r="U17" s="7"/>
    </row>
    <row r="18" spans="3:21">
      <c r="C18">
        <v>490</v>
      </c>
      <c r="D18" s="8">
        <v>41449</v>
      </c>
      <c r="E18" s="12">
        <v>5.25014</v>
      </c>
      <c r="F18" s="12">
        <v>7.0499999999999998E-3</v>
      </c>
      <c r="G18" s="12">
        <v>0</v>
      </c>
      <c r="H18" s="15">
        <v>2.00163</v>
      </c>
      <c r="I18" s="18">
        <v>0.59456500000000001</v>
      </c>
      <c r="J18" s="21">
        <v>88.641999999999996</v>
      </c>
      <c r="K18" s="26">
        <v>0</v>
      </c>
      <c r="L18" s="22">
        <v>0</v>
      </c>
      <c r="M18">
        <v>62340</v>
      </c>
      <c r="N18" s="27">
        <v>283.64999999999998</v>
      </c>
      <c r="O18">
        <v>2</v>
      </c>
      <c r="P18">
        <v>0</v>
      </c>
      <c r="Q18">
        <v>514086.1</v>
      </c>
      <c r="U18" s="7"/>
    </row>
    <row r="19" spans="3:21">
      <c r="C19">
        <v>489</v>
      </c>
      <c r="D19" s="8">
        <v>40953</v>
      </c>
      <c r="E19" s="12">
        <v>5.6076499999999996</v>
      </c>
      <c r="F19" s="12">
        <v>1.4930000000000001E-2</v>
      </c>
      <c r="G19" s="12">
        <v>0</v>
      </c>
      <c r="H19" s="15">
        <v>1.83128</v>
      </c>
      <c r="I19" s="18">
        <v>0.65197900000000009</v>
      </c>
      <c r="J19" s="21">
        <v>58.391599999999997</v>
      </c>
      <c r="K19" s="26">
        <v>0</v>
      </c>
      <c r="L19" s="22">
        <v>0</v>
      </c>
      <c r="M19">
        <v>34055.5</v>
      </c>
      <c r="N19" s="27">
        <v>267.89999999999998</v>
      </c>
      <c r="O19">
        <v>4</v>
      </c>
      <c r="P19">
        <v>0</v>
      </c>
      <c r="Q19">
        <v>451992.9</v>
      </c>
      <c r="U19" s="7"/>
    </row>
    <row r="20" spans="3:21">
      <c r="C20">
        <v>488</v>
      </c>
      <c r="D20" s="8">
        <v>40861</v>
      </c>
      <c r="E20" s="12">
        <v>4.7240700000000002</v>
      </c>
      <c r="F20" s="12">
        <v>2.2484000000000001E-2</v>
      </c>
      <c r="G20" s="12">
        <v>0</v>
      </c>
      <c r="H20" s="15">
        <v>2.7724799999999998</v>
      </c>
      <c r="I20" s="18">
        <v>0.65197900000000009</v>
      </c>
      <c r="J20" s="21">
        <v>35.641199999999998</v>
      </c>
      <c r="K20" s="26">
        <v>0</v>
      </c>
      <c r="L20" s="22">
        <v>0</v>
      </c>
      <c r="M20">
        <v>18773.3</v>
      </c>
      <c r="N20" s="27">
        <v>177.9</v>
      </c>
      <c r="O20">
        <v>4</v>
      </c>
      <c r="P20">
        <v>0</v>
      </c>
      <c r="Q20">
        <v>359384.7</v>
      </c>
      <c r="U20" s="7"/>
    </row>
    <row r="21" spans="3:21">
      <c r="C21">
        <v>487</v>
      </c>
      <c r="D21" s="8">
        <v>40766</v>
      </c>
      <c r="E21" s="12">
        <v>4.25678</v>
      </c>
      <c r="F21" s="12">
        <v>2.3650999999999998E-2</v>
      </c>
      <c r="G21" s="12">
        <v>0</v>
      </c>
      <c r="H21" s="15">
        <v>2.1107399999999998</v>
      </c>
      <c r="I21" s="18">
        <v>0.62812000000000001</v>
      </c>
      <c r="J21" s="21">
        <v>41.2712</v>
      </c>
      <c r="K21" s="26">
        <v>0</v>
      </c>
      <c r="L21" s="22">
        <v>0</v>
      </c>
      <c r="M21">
        <v>19996.2</v>
      </c>
      <c r="N21" s="27">
        <v>169.12</v>
      </c>
      <c r="O21">
        <v>4</v>
      </c>
      <c r="P21">
        <v>0</v>
      </c>
      <c r="Q21">
        <v>333917.8</v>
      </c>
      <c r="U21" s="7"/>
    </row>
    <row r="22" spans="3:21">
      <c r="C22">
        <v>486</v>
      </c>
      <c r="D22" s="8">
        <v>41081</v>
      </c>
      <c r="E22" s="12">
        <v>4.9344900000000003</v>
      </c>
      <c r="F22" s="12">
        <v>1.6122000000000001E-2</v>
      </c>
      <c r="G22" s="12">
        <v>0</v>
      </c>
      <c r="H22" s="15">
        <v>2.1725400000000001</v>
      </c>
      <c r="I22" s="18">
        <v>0.63428600000000002</v>
      </c>
      <c r="J22" s="21">
        <v>66.196799999999996</v>
      </c>
      <c r="K22" s="26">
        <v>0</v>
      </c>
      <c r="L22" s="22">
        <v>0</v>
      </c>
      <c r="M22">
        <v>26375.200000000001</v>
      </c>
      <c r="N22" s="27">
        <v>248.1</v>
      </c>
      <c r="O22">
        <v>4</v>
      </c>
      <c r="P22">
        <v>0</v>
      </c>
      <c r="Q22">
        <v>351728</v>
      </c>
      <c r="U22" s="7"/>
    </row>
    <row r="23" spans="3:21">
      <c r="C23">
        <v>485</v>
      </c>
      <c r="D23" s="8">
        <v>40585</v>
      </c>
      <c r="E23" s="12">
        <v>5.7114799999999999</v>
      </c>
      <c r="F23" s="12">
        <v>1.3103999999999999E-2</v>
      </c>
      <c r="G23" s="12">
        <v>0</v>
      </c>
      <c r="H23" s="15">
        <v>2.1659000000000002</v>
      </c>
      <c r="I23" s="18">
        <v>0.74220399999999997</v>
      </c>
      <c r="J23" s="21">
        <v>76.697199999999995</v>
      </c>
      <c r="K23" s="26">
        <v>0</v>
      </c>
      <c r="L23" s="22">
        <v>0</v>
      </c>
      <c r="M23">
        <v>24243.8</v>
      </c>
      <c r="N23" s="27">
        <v>228.93</v>
      </c>
      <c r="O23">
        <v>3</v>
      </c>
      <c r="P23">
        <v>0</v>
      </c>
      <c r="Q23">
        <v>315063.3</v>
      </c>
      <c r="U23" s="7"/>
    </row>
    <row r="24" spans="3:21">
      <c r="C24">
        <v>484</v>
      </c>
      <c r="D24" s="8">
        <v>40491</v>
      </c>
      <c r="E24" s="12">
        <v>6.83453</v>
      </c>
      <c r="F24" s="12">
        <v>1.1805000000000001E-2</v>
      </c>
      <c r="G24" s="12">
        <v>0</v>
      </c>
      <c r="H24" s="15">
        <v>2.3575400000000002</v>
      </c>
      <c r="I24" s="18">
        <v>0.74220399999999997</v>
      </c>
      <c r="J24" s="21">
        <v>84.63</v>
      </c>
      <c r="K24" s="26">
        <v>0</v>
      </c>
      <c r="L24" s="22">
        <v>0</v>
      </c>
      <c r="M24">
        <v>22229.9</v>
      </c>
      <c r="N24" s="27">
        <v>254.11</v>
      </c>
      <c r="O24">
        <v>3</v>
      </c>
      <c r="P24">
        <v>0</v>
      </c>
      <c r="Q24">
        <v>285727.09999999998</v>
      </c>
      <c r="U24" s="7"/>
    </row>
    <row r="25" spans="3:21">
      <c r="C25">
        <v>483</v>
      </c>
      <c r="D25" s="8">
        <v>40400</v>
      </c>
      <c r="E25" s="12">
        <v>6.4754899999999997</v>
      </c>
      <c r="F25" s="12">
        <v>1.5668999999999999E-2</v>
      </c>
      <c r="G25" s="12">
        <v>0</v>
      </c>
      <c r="H25" s="15">
        <v>2.3064800000000001</v>
      </c>
      <c r="I25" s="18">
        <v>0.80693499999999996</v>
      </c>
      <c r="J25" s="21">
        <v>94.7744</v>
      </c>
      <c r="K25" s="26">
        <v>0</v>
      </c>
      <c r="L25" s="22">
        <v>0</v>
      </c>
      <c r="M25">
        <v>19887.3</v>
      </c>
      <c r="N25" s="27">
        <v>191.46</v>
      </c>
      <c r="O25">
        <v>3</v>
      </c>
      <c r="P25">
        <v>0</v>
      </c>
      <c r="Q25">
        <v>268760.8</v>
      </c>
      <c r="U25" s="7"/>
    </row>
    <row r="26" spans="3:21">
      <c r="C26">
        <v>482</v>
      </c>
      <c r="D26" s="8">
        <v>40730</v>
      </c>
      <c r="E26" s="12">
        <v>4.9801700000000002</v>
      </c>
      <c r="F26" s="12">
        <v>1.9368E-2</v>
      </c>
      <c r="G26" s="12">
        <v>0</v>
      </c>
      <c r="H26" s="15">
        <v>3.8119000000000001</v>
      </c>
      <c r="I26" s="18">
        <v>0.80664800000000003</v>
      </c>
      <c r="J26" s="21">
        <v>0</v>
      </c>
      <c r="K26" s="26">
        <v>0</v>
      </c>
      <c r="L26" s="22">
        <v>0</v>
      </c>
      <c r="M26">
        <v>22278</v>
      </c>
      <c r="N26" s="27">
        <v>206.52</v>
      </c>
      <c r="O26">
        <v>4</v>
      </c>
      <c r="P26">
        <v>0</v>
      </c>
      <c r="Q26">
        <v>293606</v>
      </c>
      <c r="U26" s="7"/>
    </row>
    <row r="27" spans="3:21">
      <c r="C27">
        <v>481</v>
      </c>
      <c r="D27" s="8">
        <v>40235</v>
      </c>
      <c r="E27" s="12">
        <v>21.24174</v>
      </c>
      <c r="F27" s="12">
        <v>8.4379999999999993E-3</v>
      </c>
      <c r="G27" s="12">
        <v>0</v>
      </c>
      <c r="H27" s="15">
        <v>0</v>
      </c>
      <c r="I27" s="18">
        <v>0</v>
      </c>
      <c r="J27" s="21">
        <v>0</v>
      </c>
      <c r="K27" s="26">
        <v>0</v>
      </c>
      <c r="L27" s="22">
        <v>0</v>
      </c>
      <c r="M27">
        <v>6502.6</v>
      </c>
      <c r="N27" s="27">
        <v>142.21</v>
      </c>
      <c r="O27">
        <v>1.2</v>
      </c>
      <c r="P27">
        <v>0</v>
      </c>
      <c r="Q27">
        <v>259796.1</v>
      </c>
      <c r="U27" s="7"/>
    </row>
    <row r="28" spans="3:21">
      <c r="C28">
        <v>480</v>
      </c>
      <c r="D28" s="8">
        <v>40144</v>
      </c>
      <c r="E28" s="12" t="s">
        <v>70</v>
      </c>
      <c r="F28" s="12">
        <v>9.5309999999999995E-3</v>
      </c>
      <c r="G28" s="12">
        <v>0</v>
      </c>
      <c r="H28" s="15">
        <v>0</v>
      </c>
      <c r="I28" s="18">
        <v>0</v>
      </c>
      <c r="J28" s="21">
        <v>0</v>
      </c>
      <c r="K28" s="26">
        <v>0</v>
      </c>
      <c r="L28" s="22">
        <v>0</v>
      </c>
      <c r="M28">
        <v>217.8</v>
      </c>
      <c r="N28" s="27">
        <v>125.9</v>
      </c>
      <c r="O28">
        <v>1.2</v>
      </c>
      <c r="P28">
        <v>0</v>
      </c>
      <c r="Q28">
        <v>208894.4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v>-0.35639097744360904</v>
      </c>
      <c r="F30" s="16">
        <v>-0.7834586466165413</v>
      </c>
      <c r="G30" s="16">
        <v>-0.25714285714285712</v>
      </c>
      <c r="H30" s="16">
        <v>1.2030075187969926E-2</v>
      </c>
      <c r="I30" s="16">
        <v>0.10601503759398496</v>
      </c>
      <c r="J30" s="16">
        <v>-0.7834586466165413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2" spans="3:21">
      <c r="R32" s="54" t="s">
        <v>169</v>
      </c>
    </row>
    <row r="33" spans="1:18" ht="60">
      <c r="A33" t="s">
        <v>143</v>
      </c>
      <c r="B33" s="9"/>
      <c r="C33" s="2"/>
      <c r="D33" t="s">
        <v>57</v>
      </c>
      <c r="E33" s="12" t="s">
        <v>58</v>
      </c>
      <c r="F33" s="14" t="s">
        <v>59</v>
      </c>
      <c r="G33" s="14" t="s">
        <v>60</v>
      </c>
      <c r="H33" s="14" t="s">
        <v>61</v>
      </c>
      <c r="I33" s="14" t="s">
        <v>62</v>
      </c>
      <c r="J33" s="14" t="s">
        <v>63</v>
      </c>
      <c r="K33" s="25" t="s">
        <v>27</v>
      </c>
      <c r="L33" s="19" t="s">
        <v>64</v>
      </c>
      <c r="M33" s="2" t="s">
        <v>65</v>
      </c>
      <c r="N33" s="28" t="s">
        <v>66</v>
      </c>
      <c r="O33" s="2" t="s">
        <v>67</v>
      </c>
      <c r="P33" s="2" t="s">
        <v>68</v>
      </c>
      <c r="Q33" s="2" t="s">
        <v>69</v>
      </c>
      <c r="R33" s="54" t="s">
        <v>168</v>
      </c>
    </row>
    <row r="34" spans="1:18" ht="30">
      <c r="A34" t="s">
        <v>139</v>
      </c>
      <c r="C34" s="2" t="s">
        <v>166</v>
      </c>
      <c r="D34" t="s">
        <v>167</v>
      </c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8">
      <c r="A35" s="12" t="s">
        <v>179</v>
      </c>
      <c r="B35" t="s">
        <v>174</v>
      </c>
      <c r="C35" t="s">
        <v>53</v>
      </c>
      <c r="D35" s="8">
        <v>41684</v>
      </c>
      <c r="E35" s="12">
        <v>4.18872</v>
      </c>
      <c r="F35" s="12">
        <v>0</v>
      </c>
      <c r="G35" s="12">
        <v>0.16201399999999999</v>
      </c>
      <c r="H35" s="15">
        <v>3.0210900000000001</v>
      </c>
      <c r="I35" s="18">
        <v>0.71440399999999993</v>
      </c>
      <c r="J35" s="21">
        <v>-59.600299999999997</v>
      </c>
      <c r="K35" s="26">
        <v>0</v>
      </c>
      <c r="L35" s="22">
        <v>0</v>
      </c>
      <c r="M35">
        <v>-107.66</v>
      </c>
      <c r="N35" s="27">
        <v>12.61</v>
      </c>
      <c r="O35">
        <v>0</v>
      </c>
      <c r="P35">
        <v>-81.819000000000003</v>
      </c>
      <c r="Q35">
        <v>505.00900000000001</v>
      </c>
      <c r="R35">
        <v>2.75</v>
      </c>
    </row>
    <row r="36" spans="1:18">
      <c r="A36" s="12" t="s">
        <v>180</v>
      </c>
      <c r="B36" t="s">
        <v>173</v>
      </c>
      <c r="C36" t="s">
        <v>53</v>
      </c>
      <c r="D36" s="8">
        <v>41684</v>
      </c>
      <c r="E36" s="12">
        <v>11.17309</v>
      </c>
      <c r="F36" s="12">
        <v>0</v>
      </c>
      <c r="G36" s="12">
        <v>2.2540000000000001E-2</v>
      </c>
      <c r="H36" s="15">
        <v>0</v>
      </c>
      <c r="I36" s="18">
        <v>0</v>
      </c>
      <c r="J36" s="21">
        <v>7.4318</v>
      </c>
      <c r="K36" s="26">
        <v>0</v>
      </c>
      <c r="L36" s="22">
        <v>0</v>
      </c>
      <c r="M36">
        <v>21.698</v>
      </c>
      <c r="N36" s="27">
        <v>20.07</v>
      </c>
      <c r="O36">
        <v>0</v>
      </c>
      <c r="P36">
        <v>-1.597</v>
      </c>
      <c r="Q36">
        <v>70.849999999999994</v>
      </c>
      <c r="R36">
        <v>2.75</v>
      </c>
    </row>
    <row r="37" spans="1:18">
      <c r="A37" s="12" t="s">
        <v>181</v>
      </c>
      <c r="B37" t="s">
        <v>172</v>
      </c>
      <c r="C37" t="s">
        <v>53</v>
      </c>
      <c r="D37" s="8">
        <v>41681</v>
      </c>
      <c r="E37" s="12">
        <v>9.0744000000000007</v>
      </c>
      <c r="F37" s="12">
        <v>0</v>
      </c>
      <c r="G37" s="12">
        <v>3.6937999999999999E-2</v>
      </c>
      <c r="H37" s="15">
        <v>0</v>
      </c>
      <c r="I37" s="18">
        <v>0</v>
      </c>
      <c r="J37" s="21">
        <v>8.6387999999999998</v>
      </c>
      <c r="K37" s="26">
        <v>0</v>
      </c>
      <c r="L37" s="22">
        <v>0</v>
      </c>
      <c r="M37">
        <v>10.515000000000001</v>
      </c>
      <c r="N37" s="27">
        <v>10.02</v>
      </c>
      <c r="O37">
        <v>0</v>
      </c>
      <c r="P37">
        <v>-4.1189999999999998</v>
      </c>
      <c r="Q37">
        <v>111.509</v>
      </c>
      <c r="R37">
        <v>2.75</v>
      </c>
    </row>
    <row r="38" spans="1:18">
      <c r="A38" s="12" t="s">
        <v>182</v>
      </c>
      <c r="B38" t="s">
        <v>171</v>
      </c>
      <c r="C38" t="s">
        <v>53</v>
      </c>
      <c r="D38" s="8">
        <v>41935</v>
      </c>
      <c r="E38" s="12">
        <v>5.33005</v>
      </c>
      <c r="F38" s="12">
        <v>0</v>
      </c>
      <c r="G38" s="12">
        <v>0</v>
      </c>
      <c r="H38" s="15">
        <v>0</v>
      </c>
      <c r="I38" s="18">
        <v>0</v>
      </c>
      <c r="J38" s="21">
        <v>0</v>
      </c>
      <c r="K38" s="26" t="e">
        <v>#DIV/0!</v>
      </c>
      <c r="L38" s="22">
        <v>0</v>
      </c>
      <c r="M38">
        <v>0</v>
      </c>
      <c r="N38" s="27">
        <v>1.35</v>
      </c>
      <c r="O38">
        <v>0</v>
      </c>
      <c r="P38">
        <v>0</v>
      </c>
      <c r="Q38">
        <v>0</v>
      </c>
      <c r="R38">
        <v>2.29</v>
      </c>
    </row>
    <row r="39" spans="1:18">
      <c r="A39" s="12"/>
      <c r="B39" t="s">
        <v>177</v>
      </c>
      <c r="C39" t="s">
        <v>53</v>
      </c>
      <c r="D39" s="8" t="s">
        <v>183</v>
      </c>
      <c r="E39" s="12" t="s">
        <v>183</v>
      </c>
      <c r="F39" s="12" t="e">
        <v>#VALUE!</v>
      </c>
      <c r="G39" s="12">
        <v>1.6232E-2</v>
      </c>
      <c r="H39" s="15">
        <v>3.3996499999999998</v>
      </c>
      <c r="I39" s="18">
        <v>0.27179300000000001</v>
      </c>
      <c r="J39" s="21">
        <v>-7.0000000000000001E-3</v>
      </c>
      <c r="K39" s="26">
        <v>0</v>
      </c>
      <c r="L39" s="22">
        <v>0</v>
      </c>
      <c r="M39">
        <v>-2.6819999999999999</v>
      </c>
      <c r="N39" s="27">
        <v>19.489999999999998</v>
      </c>
      <c r="O39">
        <v>0</v>
      </c>
      <c r="P39">
        <v>-4.3380000000000001</v>
      </c>
      <c r="Q39">
        <v>267.23899999999998</v>
      </c>
      <c r="R39" t="s">
        <v>184</v>
      </c>
    </row>
    <row r="40" spans="1:18">
      <c r="A40" s="12"/>
      <c r="B40" t="s">
        <v>176</v>
      </c>
      <c r="C40" t="s">
        <v>53</v>
      </c>
      <c r="D40" s="8" t="s">
        <v>183</v>
      </c>
      <c r="E40" s="12" t="s">
        <v>185</v>
      </c>
      <c r="F40" s="12" t="e">
        <v>#VALUE!</v>
      </c>
      <c r="G40" s="12">
        <v>0.131799</v>
      </c>
      <c r="H40" s="15">
        <v>1.3751899999999999</v>
      </c>
      <c r="I40" s="18">
        <v>0.35641800000000001</v>
      </c>
      <c r="J40" s="21">
        <v>23.211500000000001</v>
      </c>
      <c r="K40" s="26">
        <v>0</v>
      </c>
      <c r="L40" s="22">
        <v>0</v>
      </c>
      <c r="M40">
        <v>818.57299999999998</v>
      </c>
      <c r="N40" s="27">
        <v>28.63</v>
      </c>
      <c r="O40">
        <v>0.45</v>
      </c>
      <c r="P40">
        <v>-826.58799999999997</v>
      </c>
      <c r="Q40">
        <v>6271.5420000000004</v>
      </c>
      <c r="R40" t="s">
        <v>184</v>
      </c>
    </row>
    <row r="41" spans="1:18">
      <c r="A41" s="12"/>
      <c r="D41" s="12" t="s">
        <v>24</v>
      </c>
      <c r="E41" s="16">
        <v>1</v>
      </c>
      <c r="F41" s="16">
        <v>-0.4</v>
      </c>
      <c r="G41" s="16">
        <v>-0.4</v>
      </c>
      <c r="H41" s="16">
        <v>-0.1</v>
      </c>
      <c r="I41" s="16">
        <v>-0.1</v>
      </c>
      <c r="J41" s="16">
        <v>0.8</v>
      </c>
      <c r="K41" s="16">
        <v>-0.25</v>
      </c>
      <c r="L41" s="16">
        <v>-0.4</v>
      </c>
      <c r="M41" s="16">
        <v>1</v>
      </c>
      <c r="N41" s="16">
        <v>0.4</v>
      </c>
      <c r="O41" s="16">
        <v>-0.4</v>
      </c>
      <c r="P41" s="16">
        <v>0.4</v>
      </c>
      <c r="Q41" s="16">
        <v>-0.4</v>
      </c>
    </row>
    <row r="42" spans="1:18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8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8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8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8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8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8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  <c r="R52" s="54" t="s">
        <v>169</v>
      </c>
    </row>
    <row r="53" spans="1:21" ht="60.75" thickBot="1">
      <c r="A53" t="s">
        <v>143</v>
      </c>
      <c r="B53" s="9"/>
      <c r="C53" s="2"/>
      <c r="D53" t="s">
        <v>57</v>
      </c>
      <c r="E53" s="33" t="s">
        <v>58</v>
      </c>
      <c r="F53" s="57" t="s">
        <v>59</v>
      </c>
      <c r="G53" s="57" t="s">
        <v>63</v>
      </c>
      <c r="H53" s="57" t="s">
        <v>61</v>
      </c>
      <c r="I53" s="57" t="s">
        <v>62</v>
      </c>
      <c r="J53" s="33"/>
      <c r="K53" s="42"/>
      <c r="L53" s="19" t="s">
        <v>64</v>
      </c>
      <c r="M53" s="2" t="s">
        <v>65</v>
      </c>
      <c r="N53" s="28" t="s">
        <v>66</v>
      </c>
      <c r="O53" s="2" t="s">
        <v>67</v>
      </c>
      <c r="P53" s="2" t="s">
        <v>68</v>
      </c>
      <c r="Q53" s="2" t="s">
        <v>69</v>
      </c>
      <c r="R53" s="54" t="s">
        <v>68</v>
      </c>
    </row>
    <row r="54" spans="1:21" ht="30">
      <c r="A54" s="58" t="s">
        <v>139</v>
      </c>
      <c r="B54" s="59"/>
      <c r="C54" s="59" t="s">
        <v>140</v>
      </c>
      <c r="D54" s="59" t="s">
        <v>141</v>
      </c>
      <c r="E54" s="60" t="s">
        <v>34</v>
      </c>
      <c r="F54" s="60" t="s">
        <v>33</v>
      </c>
      <c r="G54" s="60" t="s">
        <v>28</v>
      </c>
      <c r="H54" s="60" t="s">
        <v>31</v>
      </c>
      <c r="I54" s="60" t="s">
        <v>30</v>
      </c>
      <c r="J54" s="61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62" t="s">
        <v>183</v>
      </c>
      <c r="B55" s="27"/>
      <c r="C55" s="27" t="s">
        <v>53</v>
      </c>
      <c r="D55" s="36" t="s">
        <v>183</v>
      </c>
      <c r="E55" s="12" t="s">
        <v>183</v>
      </c>
      <c r="F55" s="12" t="s">
        <v>183</v>
      </c>
      <c r="G55" s="21" t="s">
        <v>183</v>
      </c>
      <c r="H55" s="15" t="s">
        <v>183</v>
      </c>
      <c r="I55" s="18" t="e">
        <v>#VALUE!</v>
      </c>
      <c r="J55" s="63" t="e">
        <v>#VALUE!</v>
      </c>
      <c r="K55" s="43"/>
      <c r="L55" s="22" t="s">
        <v>183</v>
      </c>
      <c r="M55" t="s">
        <v>183</v>
      </c>
      <c r="N55" s="27" t="s">
        <v>183</v>
      </c>
      <c r="O55" t="s">
        <v>183</v>
      </c>
      <c r="P55" s="56" t="s">
        <v>183</v>
      </c>
      <c r="Q55" t="s">
        <v>183</v>
      </c>
      <c r="R55" t="e">
        <v>#VALUE!</v>
      </c>
    </row>
    <row r="56" spans="1:21">
      <c r="A56" s="62" t="s">
        <v>183</v>
      </c>
      <c r="B56" s="27"/>
      <c r="C56" s="27" t="s">
        <v>53</v>
      </c>
      <c r="D56" s="36" t="s">
        <v>183</v>
      </c>
      <c r="E56" s="12" t="s">
        <v>183</v>
      </c>
      <c r="F56" s="12" t="s">
        <v>183</v>
      </c>
      <c r="G56" s="21" t="s">
        <v>183</v>
      </c>
      <c r="H56" s="15" t="s">
        <v>183</v>
      </c>
      <c r="I56" s="18" t="e">
        <v>#VALUE!</v>
      </c>
      <c r="J56" s="63" t="e">
        <v>#VALUE!</v>
      </c>
      <c r="K56" s="43"/>
      <c r="L56" s="22" t="s">
        <v>183</v>
      </c>
      <c r="M56" t="s">
        <v>183</v>
      </c>
      <c r="N56" s="27" t="s">
        <v>183</v>
      </c>
      <c r="O56" t="s">
        <v>183</v>
      </c>
      <c r="P56" s="56" t="s">
        <v>183</v>
      </c>
      <c r="Q56" t="s">
        <v>183</v>
      </c>
      <c r="R56" t="e">
        <v>#VALUE!</v>
      </c>
      <c r="S56" s="27"/>
      <c r="T56" s="27"/>
    </row>
    <row r="57" spans="1:21">
      <c r="A57" s="62" t="s">
        <v>183</v>
      </c>
      <c r="B57" s="64"/>
      <c r="C57" s="27" t="s">
        <v>53</v>
      </c>
      <c r="D57" s="36" t="s">
        <v>183</v>
      </c>
      <c r="E57" s="12" t="s">
        <v>183</v>
      </c>
      <c r="F57" s="12" t="s">
        <v>183</v>
      </c>
      <c r="G57" s="21" t="s">
        <v>183</v>
      </c>
      <c r="H57" s="15" t="s">
        <v>183</v>
      </c>
      <c r="I57" s="18" t="e">
        <v>#VALUE!</v>
      </c>
      <c r="J57" s="63" t="e">
        <v>#VALUE!</v>
      </c>
      <c r="K57" s="43"/>
      <c r="L57" s="22" t="s">
        <v>183</v>
      </c>
      <c r="M57" t="s">
        <v>183</v>
      </c>
      <c r="N57" s="27" t="s">
        <v>183</v>
      </c>
      <c r="O57" t="s">
        <v>183</v>
      </c>
      <c r="P57" s="56" t="s">
        <v>183</v>
      </c>
      <c r="Q57" t="s">
        <v>183</v>
      </c>
      <c r="R57" t="e">
        <v>#VALUE!</v>
      </c>
      <c r="S57" s="27"/>
      <c r="T57" s="27"/>
    </row>
    <row r="58" spans="1:21">
      <c r="A58" s="62" t="s">
        <v>183</v>
      </c>
      <c r="B58" s="64"/>
      <c r="C58" s="27" t="s">
        <v>53</v>
      </c>
      <c r="D58" s="36" t="s">
        <v>183</v>
      </c>
      <c r="E58" s="12" t="s">
        <v>183</v>
      </c>
      <c r="F58" s="12" t="s">
        <v>183</v>
      </c>
      <c r="G58" s="21" t="s">
        <v>183</v>
      </c>
      <c r="H58" s="15" t="s">
        <v>183</v>
      </c>
      <c r="I58" s="18" t="e">
        <v>#VALUE!</v>
      </c>
      <c r="J58" s="63" t="e">
        <v>#VALUE!</v>
      </c>
      <c r="K58" s="43"/>
      <c r="L58" s="22" t="s">
        <v>183</v>
      </c>
      <c r="M58" t="s">
        <v>183</v>
      </c>
      <c r="N58" s="27" t="s">
        <v>183</v>
      </c>
      <c r="O58" t="s">
        <v>183</v>
      </c>
      <c r="P58" s="56" t="s">
        <v>183</v>
      </c>
      <c r="Q58" t="s">
        <v>183</v>
      </c>
      <c r="R58" t="e">
        <v>#VALUE!</v>
      </c>
      <c r="S58" s="23"/>
      <c r="T58" s="23"/>
    </row>
    <row r="59" spans="1:21">
      <c r="A59" s="62" t="s">
        <v>197</v>
      </c>
      <c r="B59" s="64">
        <v>532667</v>
      </c>
      <c r="C59" s="27" t="s">
        <v>53</v>
      </c>
      <c r="D59" s="36">
        <v>41891</v>
      </c>
      <c r="E59" s="12">
        <v>37.748480000000001</v>
      </c>
      <c r="F59" s="12">
        <v>0</v>
      </c>
      <c r="G59" s="21">
        <v>-150.93389999999999</v>
      </c>
      <c r="H59" s="15" t="s">
        <v>70</v>
      </c>
      <c r="I59" s="18">
        <v>0.93903999999999999</v>
      </c>
      <c r="J59" s="63">
        <v>-0.14606177867721148</v>
      </c>
      <c r="K59" s="20"/>
      <c r="L59" s="22">
        <v>0</v>
      </c>
      <c r="M59">
        <v>-47239.6</v>
      </c>
      <c r="N59" s="27">
        <v>13.68</v>
      </c>
      <c r="O59">
        <v>0</v>
      </c>
      <c r="P59" s="56">
        <v>-6899.9</v>
      </c>
      <c r="Q59">
        <v>186147.5</v>
      </c>
      <c r="R59">
        <v>-0.14606177867721148</v>
      </c>
      <c r="S59" s="27"/>
      <c r="T59" s="27"/>
    </row>
    <row r="60" spans="1:21">
      <c r="A60" s="62" t="s">
        <v>198</v>
      </c>
      <c r="B60" s="64">
        <v>533096</v>
      </c>
      <c r="C60" s="27" t="s">
        <v>132</v>
      </c>
      <c r="D60" s="36">
        <v>41470</v>
      </c>
      <c r="E60" s="12">
        <v>47.307519999999997</v>
      </c>
      <c r="F60" s="12">
        <v>0</v>
      </c>
      <c r="G60" s="21">
        <v>-4.3779000000000003</v>
      </c>
      <c r="H60" s="15">
        <v>26.141539999999999</v>
      </c>
      <c r="I60" s="18">
        <v>0.85397599999999996</v>
      </c>
      <c r="J60" s="63">
        <v>-36.241166846520699</v>
      </c>
      <c r="K60" s="20"/>
      <c r="L60" s="22">
        <v>0</v>
      </c>
      <c r="M60">
        <v>-2872.7</v>
      </c>
      <c r="N60" s="27">
        <v>44.35</v>
      </c>
      <c r="O60">
        <v>0</v>
      </c>
      <c r="P60" s="56">
        <v>-104110</v>
      </c>
      <c r="Q60">
        <v>40921.599999999999</v>
      </c>
      <c r="R60">
        <v>-36.241166846520699</v>
      </c>
      <c r="S60" s="27"/>
      <c r="T60" s="27"/>
    </row>
    <row r="61" spans="1:21">
      <c r="A61" s="62" t="s">
        <v>199</v>
      </c>
      <c r="B61" s="64">
        <v>500400</v>
      </c>
      <c r="C61" s="27" t="s">
        <v>132</v>
      </c>
      <c r="D61" s="36">
        <v>41471</v>
      </c>
      <c r="E61" s="12">
        <v>8.9508299999999998</v>
      </c>
      <c r="F61" s="12">
        <v>1.2891999999999999</v>
      </c>
      <c r="G61" s="21">
        <v>-6.4386000000000001</v>
      </c>
      <c r="H61" s="15">
        <v>6.6063900000000002</v>
      </c>
      <c r="I61" s="18">
        <v>0.72581899999999999</v>
      </c>
      <c r="J61" s="63">
        <v>-4.9193696675492795</v>
      </c>
      <c r="K61" s="20"/>
      <c r="L61" s="22">
        <v>0</v>
      </c>
      <c r="M61">
        <v>-10876.8</v>
      </c>
      <c r="N61" s="27">
        <v>81.45</v>
      </c>
      <c r="O61">
        <v>1.25</v>
      </c>
      <c r="P61" s="56">
        <v>-53507</v>
      </c>
      <c r="Q61">
        <v>260014</v>
      </c>
      <c r="R61">
        <v>-4.9193696675492795</v>
      </c>
      <c r="S61" s="27"/>
      <c r="T61" s="27"/>
    </row>
    <row r="62" spans="1:21">
      <c r="A62" s="62" t="s">
        <v>200</v>
      </c>
      <c r="B62" s="65">
        <v>532939</v>
      </c>
      <c r="C62" s="27" t="s">
        <v>53</v>
      </c>
      <c r="D62" s="36">
        <v>41893</v>
      </c>
      <c r="E62" s="12">
        <v>22.73339</v>
      </c>
      <c r="F62" s="12">
        <v>0</v>
      </c>
      <c r="G62" s="21">
        <v>5.5952999999999999</v>
      </c>
      <c r="H62" s="15">
        <v>15.646850000000001</v>
      </c>
      <c r="I62" s="18">
        <v>0.59659799999999996</v>
      </c>
      <c r="J62" s="63">
        <v>8.8120439760346425</v>
      </c>
      <c r="K62" s="20"/>
      <c r="L62" s="22">
        <v>0</v>
      </c>
      <c r="M62">
        <v>10114.6</v>
      </c>
      <c r="N62" s="27">
        <v>61.4</v>
      </c>
      <c r="O62">
        <v>0</v>
      </c>
      <c r="P62" s="56">
        <v>-89130.3</v>
      </c>
      <c r="Q62">
        <v>49265.9</v>
      </c>
      <c r="R62">
        <v>8.8120439760346425</v>
      </c>
      <c r="S62" s="27"/>
      <c r="T62" s="27"/>
    </row>
    <row r="63" spans="1:21">
      <c r="A63" s="62" t="s">
        <v>201</v>
      </c>
      <c r="B63" s="27">
        <v>532555</v>
      </c>
      <c r="C63" s="27" t="s">
        <v>53</v>
      </c>
      <c r="D63" s="36">
        <v>41850</v>
      </c>
      <c r="E63" s="12">
        <v>9.3936799999999998</v>
      </c>
      <c r="F63" s="12">
        <v>3.8460999999999999</v>
      </c>
      <c r="G63" s="21">
        <v>16.058199999999999</v>
      </c>
      <c r="H63" s="15">
        <v>3.8556400000000002</v>
      </c>
      <c r="I63" s="18">
        <v>0.46243000000000001</v>
      </c>
      <c r="J63" s="63">
        <v>1.6206891074262277</v>
      </c>
      <c r="K63" s="20"/>
      <c r="L63" s="22">
        <v>0</v>
      </c>
      <c r="M63">
        <v>125907.8</v>
      </c>
      <c r="N63" s="27">
        <v>141.69999999999999</v>
      </c>
      <c r="O63">
        <v>5.75</v>
      </c>
      <c r="P63" s="56">
        <v>-204057.4</v>
      </c>
      <c r="Q63">
        <v>720980.9</v>
      </c>
      <c r="R63">
        <v>1.6206891074262277</v>
      </c>
      <c r="S63" s="27"/>
      <c r="T63" s="27"/>
    </row>
    <row r="64" spans="1:21">
      <c r="A64" s="62"/>
      <c r="B64" s="27"/>
      <c r="C64" s="66"/>
      <c r="D64" s="67"/>
      <c r="E64" s="50"/>
      <c r="F64" s="50"/>
      <c r="G64" s="51"/>
      <c r="H64" s="52"/>
      <c r="I64" s="18"/>
      <c r="J64" s="68"/>
      <c r="K64" s="20"/>
      <c r="L64" s="22"/>
      <c r="M64"/>
      <c r="P64" s="56"/>
      <c r="S64" s="27"/>
      <c r="T64" s="27"/>
    </row>
    <row r="65" spans="1:20" ht="30.75" thickBot="1">
      <c r="A65" s="69"/>
      <c r="B65" s="70"/>
      <c r="C65" s="70"/>
      <c r="D65" s="71" t="s">
        <v>165</v>
      </c>
      <c r="E65" s="72">
        <v>1</v>
      </c>
      <c r="F65" s="72">
        <v>-0.15</v>
      </c>
      <c r="G65" s="72">
        <v>-0.2</v>
      </c>
      <c r="H65" s="72">
        <v>0.8</v>
      </c>
      <c r="I65" s="72">
        <v>0.6</v>
      </c>
      <c r="J65" s="72">
        <v>-0.3</v>
      </c>
      <c r="K65" s="29" t="e">
        <v>#VALUE!</v>
      </c>
      <c r="L65" s="16">
        <v>-0.5</v>
      </c>
      <c r="M65" s="16">
        <v>-0.2</v>
      </c>
      <c r="N65" s="16">
        <v>-0.8</v>
      </c>
      <c r="O65" s="16">
        <v>-0.15</v>
      </c>
      <c r="P65" s="16">
        <v>0</v>
      </c>
      <c r="Q65" s="16">
        <v>-0.8</v>
      </c>
      <c r="R65" s="16">
        <v>-0.3</v>
      </c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R73" s="54" t="s">
        <v>169</v>
      </c>
    </row>
    <row r="74" spans="1:20" ht="60.75" thickBot="1">
      <c r="A74" t="s">
        <v>143</v>
      </c>
      <c r="B74" s="9"/>
      <c r="C74" s="2"/>
      <c r="D74" t="s">
        <v>57</v>
      </c>
      <c r="E74" s="33" t="s">
        <v>58</v>
      </c>
      <c r="F74" s="57" t="s">
        <v>59</v>
      </c>
      <c r="G74" s="57" t="s">
        <v>63</v>
      </c>
      <c r="H74" s="57" t="s">
        <v>61</v>
      </c>
      <c r="I74" s="57" t="s">
        <v>62</v>
      </c>
      <c r="J74" s="33"/>
      <c r="K74" s="42"/>
      <c r="L74" s="19" t="s">
        <v>64</v>
      </c>
      <c r="M74" s="2" t="s">
        <v>65</v>
      </c>
      <c r="N74" s="28" t="s">
        <v>66</v>
      </c>
      <c r="O74" s="2" t="s">
        <v>67</v>
      </c>
      <c r="P74" s="2" t="s">
        <v>68</v>
      </c>
      <c r="Q74" s="2" t="s">
        <v>69</v>
      </c>
      <c r="R74" s="54" t="s">
        <v>168</v>
      </c>
    </row>
    <row r="75" spans="1:20" ht="30">
      <c r="A75" s="58" t="s">
        <v>139</v>
      </c>
      <c r="B75" s="74"/>
      <c r="C75" s="59" t="s">
        <v>140</v>
      </c>
      <c r="D75" s="59" t="s">
        <v>141</v>
      </c>
      <c r="E75" s="75" t="s">
        <v>34</v>
      </c>
      <c r="F75" s="60" t="s">
        <v>33</v>
      </c>
      <c r="G75" s="60" t="s">
        <v>28</v>
      </c>
      <c r="H75" s="60" t="s">
        <v>31</v>
      </c>
      <c r="I75" s="60" t="s">
        <v>30</v>
      </c>
      <c r="J75" s="61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62" t="s">
        <v>194</v>
      </c>
      <c r="B76" s="27" t="s">
        <v>177</v>
      </c>
      <c r="C76" s="27" t="s">
        <v>53</v>
      </c>
      <c r="D76" s="36">
        <v>41719</v>
      </c>
      <c r="E76" s="12">
        <v>11.32371</v>
      </c>
      <c r="F76" s="12">
        <v>5.8540000000000001</v>
      </c>
      <c r="G76" s="21">
        <v>-7.0000000000000001E-3</v>
      </c>
      <c r="H76" s="15">
        <v>3.3996499999999998</v>
      </c>
      <c r="I76" s="18">
        <v>0.27179300000000001</v>
      </c>
      <c r="J76" s="63">
        <v>-1.6174496644295302</v>
      </c>
      <c r="K76" s="43"/>
      <c r="L76" s="22">
        <v>0</v>
      </c>
      <c r="M76">
        <v>-2.6819999999999999</v>
      </c>
      <c r="N76" s="27">
        <v>19.489999999999998</v>
      </c>
      <c r="O76">
        <v>0</v>
      </c>
      <c r="P76">
        <v>-4.3380000000000001</v>
      </c>
      <c r="Q76">
        <v>267.23899999999998</v>
      </c>
      <c r="R76">
        <v>2.75</v>
      </c>
    </row>
    <row r="77" spans="1:20">
      <c r="A77" s="62" t="s">
        <v>195</v>
      </c>
      <c r="B77" s="27" t="s">
        <v>176</v>
      </c>
      <c r="C77" s="27" t="s">
        <v>53</v>
      </c>
      <c r="D77" s="36">
        <v>41906</v>
      </c>
      <c r="E77" s="12">
        <v>10.535450000000001</v>
      </c>
      <c r="F77" s="12">
        <v>1.6192</v>
      </c>
      <c r="G77" s="21">
        <v>23.211500000000001</v>
      </c>
      <c r="H77" s="15">
        <v>1.3751899999999999</v>
      </c>
      <c r="I77" s="18">
        <v>0.35641800000000001</v>
      </c>
      <c r="J77" s="63">
        <v>1.0097914297197683</v>
      </c>
      <c r="K77" s="43"/>
      <c r="L77" s="22">
        <v>0</v>
      </c>
      <c r="M77">
        <v>818.57299999999998</v>
      </c>
      <c r="N77" s="27">
        <v>28.63</v>
      </c>
      <c r="O77">
        <v>0.45</v>
      </c>
      <c r="P77">
        <v>-826.58799999999997</v>
      </c>
      <c r="Q77">
        <v>6271.5420000000004</v>
      </c>
      <c r="R77">
        <v>2.57</v>
      </c>
    </row>
    <row r="78" spans="1:20">
      <c r="A78" s="62" t="s">
        <v>181</v>
      </c>
      <c r="B78" s="27" t="s">
        <v>172</v>
      </c>
      <c r="C78" s="27" t="s">
        <v>132</v>
      </c>
      <c r="D78" s="36">
        <v>41698</v>
      </c>
      <c r="E78" s="12">
        <v>13.212630000000001</v>
      </c>
      <c r="F78" s="12">
        <v>0</v>
      </c>
      <c r="G78" s="21">
        <v>11.019299999999999</v>
      </c>
      <c r="H78" s="15">
        <v>0</v>
      </c>
      <c r="I78" s="18">
        <v>0</v>
      </c>
      <c r="J78" s="63">
        <v>0.30943523841731485</v>
      </c>
      <c r="K78" s="43"/>
      <c r="L78" s="22">
        <v>0</v>
      </c>
      <c r="M78">
        <v>11.827999999999999</v>
      </c>
      <c r="N78" s="27">
        <v>10.02</v>
      </c>
      <c r="O78">
        <v>0</v>
      </c>
      <c r="P78">
        <v>-3.66</v>
      </c>
      <c r="Q78">
        <v>96.168000000000006</v>
      </c>
      <c r="R78">
        <v>2.66</v>
      </c>
    </row>
    <row r="79" spans="1:20">
      <c r="A79" s="62" t="s">
        <v>179</v>
      </c>
      <c r="B79" s="27" t="s">
        <v>174</v>
      </c>
      <c r="C79" s="27" t="s">
        <v>53</v>
      </c>
      <c r="D79" s="36">
        <v>41701</v>
      </c>
      <c r="E79" s="12">
        <v>5.2227499999999996</v>
      </c>
      <c r="F79" s="12">
        <v>0</v>
      </c>
      <c r="G79" s="21">
        <v>-59.600299999999997</v>
      </c>
      <c r="H79" s="15">
        <v>3.0210900000000001</v>
      </c>
      <c r="I79" s="18">
        <v>0.71440399999999993</v>
      </c>
      <c r="J79" s="63">
        <v>-0.75997584989782652</v>
      </c>
      <c r="K79" s="20"/>
      <c r="L79" s="22">
        <v>0</v>
      </c>
      <c r="M79">
        <v>-107.66</v>
      </c>
      <c r="N79" s="27">
        <v>12.61</v>
      </c>
      <c r="O79">
        <v>0</v>
      </c>
      <c r="P79">
        <v>-81.819000000000003</v>
      </c>
      <c r="Q79">
        <v>505.00900000000001</v>
      </c>
      <c r="R79">
        <v>2.6</v>
      </c>
    </row>
    <row r="80" spans="1:20">
      <c r="A80" s="62" t="s">
        <v>180</v>
      </c>
      <c r="B80" s="27" t="s">
        <v>173</v>
      </c>
      <c r="C80" s="27" t="s">
        <v>53</v>
      </c>
      <c r="D80" s="36">
        <v>41725</v>
      </c>
      <c r="E80" s="12">
        <v>26.60305</v>
      </c>
      <c r="F80" s="12">
        <v>0</v>
      </c>
      <c r="G80" s="21">
        <v>7.4318</v>
      </c>
      <c r="H80" s="15">
        <v>0</v>
      </c>
      <c r="I80" s="18">
        <v>0</v>
      </c>
      <c r="J80" s="63">
        <v>7.3601253571757758E-2</v>
      </c>
      <c r="K80" s="20"/>
      <c r="L80" s="22">
        <v>0</v>
      </c>
      <c r="M80">
        <v>21.698</v>
      </c>
      <c r="N80" s="27">
        <v>20.07</v>
      </c>
      <c r="O80">
        <v>0</v>
      </c>
      <c r="P80">
        <v>-1.597</v>
      </c>
      <c r="Q80">
        <v>70.849999999999994</v>
      </c>
      <c r="R80">
        <v>2.69</v>
      </c>
    </row>
    <row r="81" spans="1:18">
      <c r="A81" s="62" t="s">
        <v>181</v>
      </c>
      <c r="B81" s="27" t="s">
        <v>172</v>
      </c>
      <c r="C81" s="27" t="s">
        <v>53</v>
      </c>
      <c r="D81" s="36">
        <v>41698</v>
      </c>
      <c r="E81" s="12">
        <v>13.212630000000001</v>
      </c>
      <c r="F81" s="12">
        <v>0</v>
      </c>
      <c r="G81" s="21">
        <v>8.6387999999999998</v>
      </c>
      <c r="H81" s="15">
        <v>0</v>
      </c>
      <c r="I81" s="18">
        <v>0</v>
      </c>
      <c r="J81" s="63">
        <v>0.3917261055634807</v>
      </c>
      <c r="K81" s="43"/>
      <c r="L81" s="22">
        <v>0</v>
      </c>
      <c r="M81">
        <v>10.515000000000001</v>
      </c>
      <c r="N81" s="27">
        <v>10.02</v>
      </c>
      <c r="O81">
        <v>0</v>
      </c>
      <c r="P81">
        <v>-4.1189999999999998</v>
      </c>
      <c r="Q81">
        <v>111.509</v>
      </c>
      <c r="R81">
        <v>2.66</v>
      </c>
    </row>
    <row r="82" spans="1:18">
      <c r="A82" s="62" t="s">
        <v>196</v>
      </c>
      <c r="B82" s="27" t="s">
        <v>175</v>
      </c>
      <c r="C82" s="27" t="s">
        <v>132</v>
      </c>
      <c r="D82" s="36">
        <v>41724</v>
      </c>
      <c r="E82" s="12">
        <v>0</v>
      </c>
      <c r="F82" s="12">
        <v>0</v>
      </c>
      <c r="G82" s="21">
        <v>8.3757000000000001</v>
      </c>
      <c r="H82" s="15">
        <v>2.3011400000000002</v>
      </c>
      <c r="I82" s="18">
        <v>0.30133900000000002</v>
      </c>
      <c r="J82" s="63">
        <v>1.4246575342465753</v>
      </c>
      <c r="K82" s="43"/>
      <c r="L82" s="22">
        <v>0</v>
      </c>
      <c r="M82">
        <v>73</v>
      </c>
      <c r="N82" s="27">
        <v>0</v>
      </c>
      <c r="O82">
        <v>0</v>
      </c>
      <c r="P82">
        <v>-104</v>
      </c>
      <c r="Q82">
        <v>3338</v>
      </c>
      <c r="R82">
        <v>2.71</v>
      </c>
    </row>
    <row r="83" spans="1:18" ht="30.75" thickBot="1">
      <c r="A83" s="69"/>
      <c r="B83" s="70"/>
      <c r="C83" s="70"/>
      <c r="D83" s="71" t="s">
        <v>165</v>
      </c>
      <c r="E83" s="72">
        <v>1</v>
      </c>
      <c r="F83" s="72">
        <v>0.15</v>
      </c>
      <c r="G83" s="72">
        <v>0.3</v>
      </c>
      <c r="H83" s="72">
        <v>-0.35</v>
      </c>
      <c r="I83" s="72">
        <v>-0.65</v>
      </c>
      <c r="J83" s="73">
        <v>0.1</v>
      </c>
      <c r="K83" s="20"/>
      <c r="L83" s="20"/>
      <c r="M83" s="20"/>
    </row>
    <row r="85" spans="1:18">
      <c r="A85" s="38"/>
    </row>
    <row r="92" spans="1:18">
      <c r="A92" s="46" t="s">
        <v>72</v>
      </c>
    </row>
    <row r="93" spans="1:18">
      <c r="A93" t="s">
        <v>73</v>
      </c>
    </row>
    <row r="94" spans="1:18">
      <c r="A94" t="s">
        <v>74</v>
      </c>
    </row>
    <row r="95" spans="1:18">
      <c r="A95" t="s">
        <v>75</v>
      </c>
    </row>
    <row r="96" spans="1:18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1:U111"/>
  <sheetViews>
    <sheetView topLeftCell="A45" zoomScale="62" zoomScaleNormal="62" workbookViewId="0">
      <selection activeCell="A75" sqref="A75:J83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4" width="15.5703125" customWidth="1"/>
    <col min="5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7" width="9.7109375" customWidth="1"/>
    <col min="18" max="18" width="17.4257812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">
        <v>57</v>
      </c>
      <c r="E6" s="12" t="s">
        <v>58</v>
      </c>
      <c r="F6" s="14" t="s">
        <v>59</v>
      </c>
      <c r="G6" s="14" t="s">
        <v>60</v>
      </c>
      <c r="H6" s="14" t="s">
        <v>61</v>
      </c>
      <c r="I6" s="14" t="s">
        <v>62</v>
      </c>
      <c r="J6" s="14" t="s">
        <v>63</v>
      </c>
      <c r="K6" s="25" t="s">
        <v>27</v>
      </c>
      <c r="L6" s="19" t="s">
        <v>64</v>
      </c>
      <c r="M6" s="2" t="s">
        <v>65</v>
      </c>
      <c r="N6" s="28" t="s">
        <v>66</v>
      </c>
      <c r="O6" s="2" t="s">
        <v>67</v>
      </c>
      <c r="P6" s="2" t="s">
        <v>68</v>
      </c>
      <c r="Q6" s="2" t="s">
        <v>69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v>41957</v>
      </c>
      <c r="E8" s="12">
        <v>5.1093799999999998</v>
      </c>
      <c r="F8" s="12">
        <v>3.8179999999999998E-3</v>
      </c>
      <c r="G8" s="12">
        <v>0</v>
      </c>
      <c r="H8" s="15">
        <v>1.9659899999999999</v>
      </c>
      <c r="I8" s="18">
        <v>0.47100799999999998</v>
      </c>
      <c r="J8" s="21">
        <v>19.721599999999999</v>
      </c>
      <c r="K8" s="26">
        <v>0</v>
      </c>
      <c r="L8" s="22">
        <v>0</v>
      </c>
      <c r="M8">
        <v>32908.6</v>
      </c>
      <c r="N8" s="27">
        <v>523.79999999999995</v>
      </c>
      <c r="O8">
        <v>2</v>
      </c>
      <c r="P8">
        <v>0</v>
      </c>
      <c r="Q8">
        <v>601639.9</v>
      </c>
      <c r="U8" s="7"/>
    </row>
    <row r="9" spans="1:21">
      <c r="C9">
        <v>499</v>
      </c>
      <c r="D9" s="8">
        <v>41935</v>
      </c>
      <c r="E9" s="12">
        <v>5.33005</v>
      </c>
      <c r="F9" s="12">
        <v>3.8679999999999999E-3</v>
      </c>
      <c r="G9" s="12">
        <v>0</v>
      </c>
      <c r="H9" s="15">
        <v>1.6374299999999999</v>
      </c>
      <c r="I9" s="18">
        <v>0.48616999999999999</v>
      </c>
      <c r="J9" s="21">
        <v>32.825600000000001</v>
      </c>
      <c r="K9" s="26">
        <v>0</v>
      </c>
      <c r="L9" s="22">
        <v>0</v>
      </c>
      <c r="M9">
        <v>53982.1</v>
      </c>
      <c r="N9" s="27">
        <v>516.95000000000005</v>
      </c>
      <c r="O9">
        <v>2</v>
      </c>
      <c r="P9">
        <v>0</v>
      </c>
      <c r="Q9">
        <v>641507.4</v>
      </c>
      <c r="U9" s="7"/>
    </row>
    <row r="10" spans="1:21">
      <c r="C10">
        <v>498</v>
      </c>
      <c r="D10" s="8">
        <v>41935</v>
      </c>
      <c r="E10" s="12">
        <v>5.33005</v>
      </c>
      <c r="F10" s="12">
        <v>3.8679999999999999E-3</v>
      </c>
      <c r="G10" s="12">
        <v>0</v>
      </c>
      <c r="H10" s="15">
        <v>1.8904399999999999</v>
      </c>
      <c r="I10" s="18">
        <v>0.48616999999999999</v>
      </c>
      <c r="J10" s="21">
        <v>25.893599999999999</v>
      </c>
      <c r="K10" s="26">
        <v>0</v>
      </c>
      <c r="L10" s="22">
        <v>0</v>
      </c>
      <c r="M10">
        <v>39182.9</v>
      </c>
      <c r="N10" s="27">
        <v>516.95000000000005</v>
      </c>
      <c r="O10">
        <v>2</v>
      </c>
      <c r="P10">
        <v>0</v>
      </c>
      <c r="Q10">
        <v>668451.19999999995</v>
      </c>
      <c r="U10" s="7"/>
    </row>
    <row r="11" spans="1:21">
      <c r="C11">
        <v>497</v>
      </c>
      <c r="D11" s="8">
        <v>41680</v>
      </c>
      <c r="E11" s="12">
        <v>4.9174699999999998</v>
      </c>
      <c r="F11" s="12">
        <v>5.4939999999999998E-3</v>
      </c>
      <c r="G11" s="12">
        <v>0</v>
      </c>
      <c r="H11" s="15">
        <v>1.7057500000000001</v>
      </c>
      <c r="I11" s="18">
        <v>0.497861</v>
      </c>
      <c r="J11" s="21">
        <v>34.586399999999998</v>
      </c>
      <c r="K11" s="26">
        <v>0</v>
      </c>
      <c r="L11" s="22">
        <v>0</v>
      </c>
      <c r="M11">
        <v>48048</v>
      </c>
      <c r="N11" s="27">
        <v>364</v>
      </c>
      <c r="O11">
        <v>2</v>
      </c>
      <c r="P11">
        <v>0</v>
      </c>
      <c r="Q11">
        <v>635360.6</v>
      </c>
      <c r="U11" s="7"/>
    </row>
    <row r="12" spans="1:21">
      <c r="C12">
        <v>496</v>
      </c>
      <c r="D12" s="8">
        <v>41586</v>
      </c>
      <c r="E12" s="12">
        <v>5.9828599999999996</v>
      </c>
      <c r="F12" s="12">
        <v>5.1939999999999998E-3</v>
      </c>
      <c r="G12" s="12">
        <v>0</v>
      </c>
      <c r="H12" s="15">
        <v>1.9999400000000001</v>
      </c>
      <c r="I12" s="18">
        <v>0.497861</v>
      </c>
      <c r="J12" s="21">
        <v>30.338799999999999</v>
      </c>
      <c r="K12" s="26">
        <v>0</v>
      </c>
      <c r="L12" s="22">
        <v>0</v>
      </c>
      <c r="M12">
        <v>35418.6</v>
      </c>
      <c r="N12" s="27">
        <v>385</v>
      </c>
      <c r="O12">
        <v>2</v>
      </c>
      <c r="P12">
        <v>0</v>
      </c>
      <c r="Q12">
        <v>557012.19999999995</v>
      </c>
      <c r="U12" s="7"/>
    </row>
    <row r="13" spans="1:21">
      <c r="C13">
        <v>495</v>
      </c>
      <c r="D13" s="8">
        <v>41935</v>
      </c>
      <c r="E13" s="12">
        <v>5.33005</v>
      </c>
      <c r="F13" s="12">
        <v>3.8679999999999999E-3</v>
      </c>
      <c r="G13" s="12">
        <v>0</v>
      </c>
      <c r="H13" s="15">
        <v>2.8290899999999999</v>
      </c>
      <c r="I13" s="18">
        <v>0.59229900000000002</v>
      </c>
      <c r="J13" s="21">
        <v>18.3736</v>
      </c>
      <c r="K13" s="26">
        <v>0</v>
      </c>
      <c r="L13" s="22">
        <v>0</v>
      </c>
      <c r="M13">
        <v>17260.7</v>
      </c>
      <c r="N13" s="27">
        <v>516.95000000000005</v>
      </c>
      <c r="O13">
        <v>2</v>
      </c>
      <c r="P13">
        <v>0</v>
      </c>
      <c r="Q13">
        <v>467619.1</v>
      </c>
      <c r="U13" s="7"/>
    </row>
    <row r="14" spans="1:21">
      <c r="C14">
        <v>494</v>
      </c>
      <c r="D14" s="8">
        <v>41935</v>
      </c>
      <c r="E14" s="12">
        <v>5.33005</v>
      </c>
      <c r="F14" s="12">
        <v>3.8679999999999999E-3</v>
      </c>
      <c r="G14" s="12">
        <v>0</v>
      </c>
      <c r="H14" s="15">
        <v>2.1301299999999999</v>
      </c>
      <c r="I14" s="18">
        <v>0.59229900000000002</v>
      </c>
      <c r="J14" s="21">
        <v>40.281999999999996</v>
      </c>
      <c r="K14" s="26">
        <v>0</v>
      </c>
      <c r="L14" s="22">
        <v>0</v>
      </c>
      <c r="M14">
        <v>39454.699999999997</v>
      </c>
      <c r="N14" s="27">
        <v>516.95000000000005</v>
      </c>
      <c r="O14">
        <v>2</v>
      </c>
      <c r="P14">
        <v>0</v>
      </c>
      <c r="Q14">
        <v>569813.5</v>
      </c>
      <c r="U14" s="7"/>
    </row>
    <row r="15" spans="1:21">
      <c r="C15">
        <v>493</v>
      </c>
      <c r="D15" s="8">
        <v>41319</v>
      </c>
      <c r="E15" s="12">
        <v>5.3992199999999997</v>
      </c>
      <c r="F15" s="12">
        <v>1.3481E-2</v>
      </c>
      <c r="G15" s="12">
        <v>0</v>
      </c>
      <c r="H15" s="15">
        <v>2.35806</v>
      </c>
      <c r="I15" s="18">
        <v>0.50619700000000001</v>
      </c>
      <c r="J15" s="21">
        <v>16.1432</v>
      </c>
      <c r="K15" s="26">
        <v>0</v>
      </c>
      <c r="L15" s="22">
        <v>0</v>
      </c>
      <c r="M15">
        <v>16275</v>
      </c>
      <c r="N15" s="27">
        <v>296.7</v>
      </c>
      <c r="O15">
        <v>4</v>
      </c>
      <c r="P15">
        <v>0</v>
      </c>
      <c r="Q15">
        <v>458213.1</v>
      </c>
      <c r="U15" s="7"/>
    </row>
    <row r="16" spans="1:21">
      <c r="C16">
        <v>492</v>
      </c>
      <c r="D16" s="8">
        <v>41220</v>
      </c>
      <c r="E16" s="12">
        <v>4.6510899999999999</v>
      </c>
      <c r="F16" s="12">
        <v>1.4856000000000001E-2</v>
      </c>
      <c r="G16" s="12">
        <v>0</v>
      </c>
      <c r="H16" s="15">
        <v>2.2797700000000001</v>
      </c>
      <c r="I16" s="18">
        <v>0.50619700000000001</v>
      </c>
      <c r="J16" s="21">
        <v>22.6296</v>
      </c>
      <c r="K16" s="26">
        <v>0</v>
      </c>
      <c r="L16" s="22">
        <v>0</v>
      </c>
      <c r="M16">
        <v>20747.3</v>
      </c>
      <c r="N16" s="27">
        <v>269.25</v>
      </c>
      <c r="O16">
        <v>4</v>
      </c>
      <c r="P16">
        <v>0</v>
      </c>
      <c r="Q16">
        <v>428189</v>
      </c>
      <c r="U16" s="7"/>
    </row>
    <row r="17" spans="3:21">
      <c r="C17">
        <v>491</v>
      </c>
      <c r="D17" s="8">
        <v>41130</v>
      </c>
      <c r="E17" s="12">
        <v>4.5370600000000003</v>
      </c>
      <c r="F17" s="12">
        <v>1.6711E-2</v>
      </c>
      <c r="G17" s="12">
        <v>0</v>
      </c>
      <c r="H17" s="15">
        <v>2.40794</v>
      </c>
      <c r="I17" s="18">
        <v>0.59128599999999998</v>
      </c>
      <c r="J17" s="21">
        <v>27.1692</v>
      </c>
      <c r="K17" s="26">
        <v>0</v>
      </c>
      <c r="L17" s="22">
        <v>0</v>
      </c>
      <c r="M17">
        <v>22449.1</v>
      </c>
      <c r="N17" s="27">
        <v>239.35</v>
      </c>
      <c r="O17">
        <v>4</v>
      </c>
      <c r="P17">
        <v>0</v>
      </c>
      <c r="Q17">
        <v>431711.3</v>
      </c>
      <c r="U17" s="7"/>
    </row>
    <row r="18" spans="3:21">
      <c r="C18">
        <v>490</v>
      </c>
      <c r="D18" s="8">
        <v>41449</v>
      </c>
      <c r="E18" s="12">
        <v>5.25014</v>
      </c>
      <c r="F18" s="12">
        <v>7.0499999999999998E-3</v>
      </c>
      <c r="G18" s="12">
        <v>0</v>
      </c>
      <c r="H18" s="15">
        <v>2.00163</v>
      </c>
      <c r="I18" s="18">
        <v>0.59456500000000001</v>
      </c>
      <c r="J18" s="21">
        <v>88.641999999999996</v>
      </c>
      <c r="K18" s="26">
        <v>0</v>
      </c>
      <c r="L18" s="22">
        <v>0</v>
      </c>
      <c r="M18">
        <v>62340</v>
      </c>
      <c r="N18" s="27">
        <v>283.64999999999998</v>
      </c>
      <c r="O18">
        <v>2</v>
      </c>
      <c r="P18">
        <v>0</v>
      </c>
      <c r="Q18">
        <v>514086.1</v>
      </c>
      <c r="U18" s="7"/>
    </row>
    <row r="19" spans="3:21">
      <c r="C19">
        <v>489</v>
      </c>
      <c r="D19" s="8">
        <v>40953</v>
      </c>
      <c r="E19" s="12">
        <v>5.6076499999999996</v>
      </c>
      <c r="F19" s="12">
        <v>1.4930000000000001E-2</v>
      </c>
      <c r="G19" s="12">
        <v>0</v>
      </c>
      <c r="H19" s="15">
        <v>1.83128</v>
      </c>
      <c r="I19" s="18">
        <v>0.65197900000000009</v>
      </c>
      <c r="J19" s="21">
        <v>58.391599999999997</v>
      </c>
      <c r="K19" s="26">
        <v>0</v>
      </c>
      <c r="L19" s="22">
        <v>0</v>
      </c>
      <c r="M19">
        <v>34055.5</v>
      </c>
      <c r="N19" s="27">
        <v>267.89999999999998</v>
      </c>
      <c r="O19">
        <v>4</v>
      </c>
      <c r="P19">
        <v>0</v>
      </c>
      <c r="Q19">
        <v>451992.9</v>
      </c>
      <c r="U19" s="7"/>
    </row>
    <row r="20" spans="3:21">
      <c r="C20">
        <v>488</v>
      </c>
      <c r="D20" s="8">
        <v>40861</v>
      </c>
      <c r="E20" s="12">
        <v>4.7240700000000002</v>
      </c>
      <c r="F20" s="12">
        <v>2.2484000000000001E-2</v>
      </c>
      <c r="G20" s="12">
        <v>0</v>
      </c>
      <c r="H20" s="15">
        <v>2.7724799999999998</v>
      </c>
      <c r="I20" s="18">
        <v>0.65197900000000009</v>
      </c>
      <c r="J20" s="21">
        <v>35.641199999999998</v>
      </c>
      <c r="K20" s="26">
        <v>0</v>
      </c>
      <c r="L20" s="22">
        <v>0</v>
      </c>
      <c r="M20">
        <v>18773.3</v>
      </c>
      <c r="N20" s="27">
        <v>177.9</v>
      </c>
      <c r="O20">
        <v>4</v>
      </c>
      <c r="P20">
        <v>0</v>
      </c>
      <c r="Q20">
        <v>359384.7</v>
      </c>
      <c r="U20" s="7"/>
    </row>
    <row r="21" spans="3:21">
      <c r="C21">
        <v>487</v>
      </c>
      <c r="D21" s="8">
        <v>40766</v>
      </c>
      <c r="E21" s="12">
        <v>4.25678</v>
      </c>
      <c r="F21" s="12">
        <v>2.3650999999999998E-2</v>
      </c>
      <c r="G21" s="12">
        <v>0</v>
      </c>
      <c r="H21" s="15">
        <v>2.1107399999999998</v>
      </c>
      <c r="I21" s="18">
        <v>0.62812000000000001</v>
      </c>
      <c r="J21" s="21">
        <v>41.2712</v>
      </c>
      <c r="K21" s="26">
        <v>0</v>
      </c>
      <c r="L21" s="22">
        <v>0</v>
      </c>
      <c r="M21">
        <v>19996.2</v>
      </c>
      <c r="N21" s="27">
        <v>169.12</v>
      </c>
      <c r="O21">
        <v>4</v>
      </c>
      <c r="P21">
        <v>0</v>
      </c>
      <c r="Q21">
        <v>333917.8</v>
      </c>
      <c r="U21" s="7"/>
    </row>
    <row r="22" spans="3:21">
      <c r="C22">
        <v>486</v>
      </c>
      <c r="D22" s="8">
        <v>41081</v>
      </c>
      <c r="E22" s="12">
        <v>4.9344900000000003</v>
      </c>
      <c r="F22" s="12">
        <v>1.6122000000000001E-2</v>
      </c>
      <c r="G22" s="12">
        <v>0</v>
      </c>
      <c r="H22" s="15">
        <v>2.1725400000000001</v>
      </c>
      <c r="I22" s="18">
        <v>0.63428600000000002</v>
      </c>
      <c r="J22" s="21">
        <v>66.196799999999996</v>
      </c>
      <c r="K22" s="26">
        <v>0</v>
      </c>
      <c r="L22" s="22">
        <v>0</v>
      </c>
      <c r="M22">
        <v>26375.200000000001</v>
      </c>
      <c r="N22" s="27">
        <v>248.1</v>
      </c>
      <c r="O22">
        <v>4</v>
      </c>
      <c r="P22">
        <v>0</v>
      </c>
      <c r="Q22">
        <v>351728</v>
      </c>
      <c r="U22" s="7"/>
    </row>
    <row r="23" spans="3:21">
      <c r="C23">
        <v>485</v>
      </c>
      <c r="D23" s="8">
        <v>40585</v>
      </c>
      <c r="E23" s="12">
        <v>5.7114799999999999</v>
      </c>
      <c r="F23" s="12">
        <v>1.3103999999999999E-2</v>
      </c>
      <c r="G23" s="12">
        <v>0</v>
      </c>
      <c r="H23" s="15">
        <v>2.1659000000000002</v>
      </c>
      <c r="I23" s="18">
        <v>0.74220399999999997</v>
      </c>
      <c r="J23" s="21">
        <v>76.697199999999995</v>
      </c>
      <c r="K23" s="26">
        <v>0</v>
      </c>
      <c r="L23" s="22">
        <v>0</v>
      </c>
      <c r="M23">
        <v>24243.8</v>
      </c>
      <c r="N23" s="27">
        <v>228.93</v>
      </c>
      <c r="O23">
        <v>3</v>
      </c>
      <c r="P23">
        <v>0</v>
      </c>
      <c r="Q23">
        <v>315063.3</v>
      </c>
      <c r="U23" s="7"/>
    </row>
    <row r="24" spans="3:21">
      <c r="C24">
        <v>484</v>
      </c>
      <c r="D24" s="8">
        <v>40491</v>
      </c>
      <c r="E24" s="12">
        <v>6.83453</v>
      </c>
      <c r="F24" s="12">
        <v>1.1805000000000001E-2</v>
      </c>
      <c r="G24" s="12">
        <v>0</v>
      </c>
      <c r="H24" s="15">
        <v>2.3575400000000002</v>
      </c>
      <c r="I24" s="18">
        <v>0.74220399999999997</v>
      </c>
      <c r="J24" s="21">
        <v>84.63</v>
      </c>
      <c r="K24" s="26">
        <v>0</v>
      </c>
      <c r="L24" s="22">
        <v>0</v>
      </c>
      <c r="M24">
        <v>22229.9</v>
      </c>
      <c r="N24" s="27">
        <v>254.11</v>
      </c>
      <c r="O24">
        <v>3</v>
      </c>
      <c r="P24">
        <v>0</v>
      </c>
      <c r="Q24">
        <v>285727.09999999998</v>
      </c>
      <c r="U24" s="7"/>
    </row>
    <row r="25" spans="3:21">
      <c r="C25">
        <v>483</v>
      </c>
      <c r="D25" s="8">
        <v>40400</v>
      </c>
      <c r="E25" s="12">
        <v>6.4754899999999997</v>
      </c>
      <c r="F25" s="12">
        <v>1.5668999999999999E-2</v>
      </c>
      <c r="G25" s="12">
        <v>0</v>
      </c>
      <c r="H25" s="15">
        <v>2.3064800000000001</v>
      </c>
      <c r="I25" s="18">
        <v>0.80693499999999996</v>
      </c>
      <c r="J25" s="21">
        <v>94.7744</v>
      </c>
      <c r="K25" s="26">
        <v>0</v>
      </c>
      <c r="L25" s="22">
        <v>0</v>
      </c>
      <c r="M25">
        <v>19887.3</v>
      </c>
      <c r="N25" s="27">
        <v>191.46</v>
      </c>
      <c r="O25">
        <v>3</v>
      </c>
      <c r="P25">
        <v>0</v>
      </c>
      <c r="Q25">
        <v>268760.8</v>
      </c>
      <c r="U25" s="7"/>
    </row>
    <row r="26" spans="3:21">
      <c r="C26">
        <v>482</v>
      </c>
      <c r="D26" s="8">
        <v>40730</v>
      </c>
      <c r="E26" s="12">
        <v>4.9801700000000002</v>
      </c>
      <c r="F26" s="12">
        <v>1.9368E-2</v>
      </c>
      <c r="G26" s="12">
        <v>0</v>
      </c>
      <c r="H26" s="15">
        <v>3.8119000000000001</v>
      </c>
      <c r="I26" s="18">
        <v>0.80664800000000003</v>
      </c>
      <c r="J26" s="21">
        <v>0</v>
      </c>
      <c r="K26" s="26">
        <v>0</v>
      </c>
      <c r="L26" s="22">
        <v>0</v>
      </c>
      <c r="M26">
        <v>22278</v>
      </c>
      <c r="N26" s="27">
        <v>206.52</v>
      </c>
      <c r="O26">
        <v>4</v>
      </c>
      <c r="P26">
        <v>0</v>
      </c>
      <c r="Q26">
        <v>293606</v>
      </c>
      <c r="U26" s="7"/>
    </row>
    <row r="27" spans="3:21">
      <c r="C27">
        <v>481</v>
      </c>
      <c r="D27" s="8">
        <v>40235</v>
      </c>
      <c r="E27" s="12">
        <v>21.24174</v>
      </c>
      <c r="F27" s="12">
        <v>8.4379999999999993E-3</v>
      </c>
      <c r="G27" s="12">
        <v>0</v>
      </c>
      <c r="H27" s="15">
        <v>0</v>
      </c>
      <c r="I27" s="18">
        <v>0</v>
      </c>
      <c r="J27" s="21">
        <v>0</v>
      </c>
      <c r="K27" s="26">
        <v>0</v>
      </c>
      <c r="L27" s="22">
        <v>0</v>
      </c>
      <c r="M27">
        <v>6502.6</v>
      </c>
      <c r="N27" s="27">
        <v>142.21</v>
      </c>
      <c r="O27">
        <v>1.2</v>
      </c>
      <c r="P27">
        <v>0</v>
      </c>
      <c r="Q27">
        <v>259796.1</v>
      </c>
      <c r="U27" s="7"/>
    </row>
    <row r="28" spans="3:21">
      <c r="C28">
        <v>480</v>
      </c>
      <c r="D28" s="8">
        <v>40144</v>
      </c>
      <c r="E28" s="12" t="s">
        <v>70</v>
      </c>
      <c r="F28" s="12">
        <v>9.5309999999999995E-3</v>
      </c>
      <c r="G28" s="12">
        <v>0</v>
      </c>
      <c r="H28" s="15">
        <v>0</v>
      </c>
      <c r="I28" s="18">
        <v>0</v>
      </c>
      <c r="J28" s="21">
        <v>0</v>
      </c>
      <c r="K28" s="26">
        <v>0</v>
      </c>
      <c r="L28" s="22">
        <v>0</v>
      </c>
      <c r="M28">
        <v>217.8</v>
      </c>
      <c r="N28" s="27">
        <v>125.9</v>
      </c>
      <c r="O28">
        <v>1.2</v>
      </c>
      <c r="P28">
        <v>0</v>
      </c>
      <c r="Q28">
        <v>208894.4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v>-0.35639097744360904</v>
      </c>
      <c r="F30" s="16">
        <v>-0.7834586466165413</v>
      </c>
      <c r="G30" s="16">
        <v>-0.25714285714285712</v>
      </c>
      <c r="H30" s="16">
        <v>1.2030075187969926E-2</v>
      </c>
      <c r="I30" s="16">
        <v>0.10601503759398496</v>
      </c>
      <c r="J30" s="16">
        <v>-0.7834586466165413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2" spans="3:21">
      <c r="R32" s="54" t="s">
        <v>169</v>
      </c>
    </row>
    <row r="33" spans="1:18" ht="30">
      <c r="A33" t="s">
        <v>143</v>
      </c>
      <c r="B33" s="9"/>
      <c r="C33" s="2"/>
      <c r="D33" t="s">
        <v>57</v>
      </c>
      <c r="E33" s="12" t="s">
        <v>58</v>
      </c>
      <c r="F33" s="14" t="s">
        <v>59</v>
      </c>
      <c r="G33" s="14" t="s">
        <v>60</v>
      </c>
      <c r="H33" s="14" t="s">
        <v>61</v>
      </c>
      <c r="I33" s="14" t="s">
        <v>62</v>
      </c>
      <c r="J33" s="14" t="s">
        <v>63</v>
      </c>
      <c r="K33" s="25" t="s">
        <v>27</v>
      </c>
      <c r="L33" s="19" t="s">
        <v>64</v>
      </c>
      <c r="M33" s="2" t="s">
        <v>65</v>
      </c>
      <c r="N33" s="28" t="s">
        <v>66</v>
      </c>
      <c r="O33" s="2" t="s">
        <v>67</v>
      </c>
      <c r="P33" s="2" t="s">
        <v>68</v>
      </c>
      <c r="Q33" s="2" t="s">
        <v>69</v>
      </c>
      <c r="R33" s="54" t="s">
        <v>168</v>
      </c>
    </row>
    <row r="34" spans="1:18" ht="30">
      <c r="A34" t="s">
        <v>139</v>
      </c>
      <c r="C34" s="2" t="s">
        <v>166</v>
      </c>
      <c r="D34" t="s">
        <v>167</v>
      </c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8">
      <c r="A35" s="12" t="s">
        <v>179</v>
      </c>
      <c r="B35" t="s">
        <v>174</v>
      </c>
      <c r="C35" t="s">
        <v>53</v>
      </c>
      <c r="D35" s="8">
        <v>41684</v>
      </c>
      <c r="E35" s="12">
        <v>4.18872</v>
      </c>
      <c r="F35" s="12">
        <v>0</v>
      </c>
      <c r="G35" s="12">
        <v>0.16201399999999999</v>
      </c>
      <c r="H35" s="15">
        <v>3.0210900000000001</v>
      </c>
      <c r="I35" s="18">
        <v>0.71440399999999993</v>
      </c>
      <c r="J35" s="21">
        <v>-59.600299999999997</v>
      </c>
      <c r="K35" s="26">
        <v>0</v>
      </c>
      <c r="L35" s="22">
        <v>0</v>
      </c>
      <c r="M35">
        <v>-107.66</v>
      </c>
      <c r="N35" s="27">
        <v>12.61</v>
      </c>
      <c r="O35">
        <v>0</v>
      </c>
      <c r="P35">
        <v>-81.819000000000003</v>
      </c>
      <c r="Q35">
        <v>505.00900000000001</v>
      </c>
      <c r="R35">
        <v>2.75</v>
      </c>
    </row>
    <row r="36" spans="1:18">
      <c r="A36" s="12" t="s">
        <v>180</v>
      </c>
      <c r="B36" t="s">
        <v>173</v>
      </c>
      <c r="C36" t="s">
        <v>53</v>
      </c>
      <c r="D36" s="8">
        <v>41684</v>
      </c>
      <c r="E36" s="12">
        <v>11.17309</v>
      </c>
      <c r="F36" s="12">
        <v>0</v>
      </c>
      <c r="G36" s="12">
        <v>2.2540000000000001E-2</v>
      </c>
      <c r="H36" s="15">
        <v>0</v>
      </c>
      <c r="I36" s="18">
        <v>0</v>
      </c>
      <c r="J36" s="21">
        <v>7.4318</v>
      </c>
      <c r="K36" s="26">
        <v>0</v>
      </c>
      <c r="L36" s="22">
        <v>0</v>
      </c>
      <c r="M36">
        <v>21.698</v>
      </c>
      <c r="N36" s="27">
        <v>20.07</v>
      </c>
      <c r="O36">
        <v>0</v>
      </c>
      <c r="P36">
        <v>-1.597</v>
      </c>
      <c r="Q36">
        <v>70.849999999999994</v>
      </c>
      <c r="R36">
        <v>2.75</v>
      </c>
    </row>
    <row r="37" spans="1:18">
      <c r="A37" s="12" t="s">
        <v>181</v>
      </c>
      <c r="B37" t="s">
        <v>172</v>
      </c>
      <c r="C37" t="s">
        <v>53</v>
      </c>
      <c r="D37" s="8">
        <v>41681</v>
      </c>
      <c r="E37" s="12">
        <v>9.0744000000000007</v>
      </c>
      <c r="F37" s="12">
        <v>0</v>
      </c>
      <c r="G37" s="12">
        <v>3.6937999999999999E-2</v>
      </c>
      <c r="H37" s="15">
        <v>0</v>
      </c>
      <c r="I37" s="18">
        <v>0</v>
      </c>
      <c r="J37" s="21">
        <v>8.6387999999999998</v>
      </c>
      <c r="K37" s="26">
        <v>0</v>
      </c>
      <c r="L37" s="22">
        <v>0</v>
      </c>
      <c r="M37">
        <v>10.515000000000001</v>
      </c>
      <c r="N37" s="27">
        <v>10.02</v>
      </c>
      <c r="O37">
        <v>0</v>
      </c>
      <c r="P37">
        <v>-4.1189999999999998</v>
      </c>
      <c r="Q37">
        <v>111.509</v>
      </c>
      <c r="R37">
        <v>2.75</v>
      </c>
    </row>
    <row r="38" spans="1:18">
      <c r="A38" s="12" t="s">
        <v>182</v>
      </c>
      <c r="B38" t="s">
        <v>171</v>
      </c>
      <c r="C38" t="s">
        <v>53</v>
      </c>
      <c r="D38" s="8">
        <v>41935</v>
      </c>
      <c r="E38" s="12">
        <v>5.33005</v>
      </c>
      <c r="F38" s="12">
        <v>0</v>
      </c>
      <c r="G38" s="12">
        <v>0</v>
      </c>
      <c r="H38" s="15">
        <v>0</v>
      </c>
      <c r="I38" s="18">
        <v>0</v>
      </c>
      <c r="J38" s="21">
        <v>0</v>
      </c>
      <c r="K38" s="26" t="e">
        <v>#DIV/0!</v>
      </c>
      <c r="L38" s="22">
        <v>0</v>
      </c>
      <c r="M38">
        <v>0</v>
      </c>
      <c r="N38" s="27">
        <v>1.35</v>
      </c>
      <c r="O38">
        <v>0</v>
      </c>
      <c r="P38">
        <v>0</v>
      </c>
      <c r="Q38">
        <v>0</v>
      </c>
      <c r="R38">
        <v>2.29</v>
      </c>
    </row>
    <row r="39" spans="1:18">
      <c r="A39" s="12"/>
      <c r="B39" t="s">
        <v>177</v>
      </c>
      <c r="C39" t="s">
        <v>53</v>
      </c>
      <c r="D39" s="8" t="s">
        <v>183</v>
      </c>
      <c r="E39" s="12" t="s">
        <v>183</v>
      </c>
      <c r="F39" s="12" t="e">
        <v>#VALUE!</v>
      </c>
      <c r="G39" s="12">
        <v>1.6232E-2</v>
      </c>
      <c r="H39" s="15">
        <v>3.3996499999999998</v>
      </c>
      <c r="I39" s="18">
        <v>0.27179300000000001</v>
      </c>
      <c r="J39" s="21">
        <v>-7.0000000000000001E-3</v>
      </c>
      <c r="K39" s="26">
        <v>0</v>
      </c>
      <c r="L39" s="22">
        <v>0</v>
      </c>
      <c r="M39">
        <v>-2.6819999999999999</v>
      </c>
      <c r="N39" s="27">
        <v>19.489999999999998</v>
      </c>
      <c r="O39">
        <v>0</v>
      </c>
      <c r="P39">
        <v>-4.3380000000000001</v>
      </c>
      <c r="Q39">
        <v>267.23899999999998</v>
      </c>
      <c r="R39" t="s">
        <v>184</v>
      </c>
    </row>
    <row r="40" spans="1:18">
      <c r="A40" s="12"/>
      <c r="B40" t="s">
        <v>176</v>
      </c>
      <c r="C40" t="s">
        <v>53</v>
      </c>
      <c r="D40" s="8" t="s">
        <v>183</v>
      </c>
      <c r="E40" s="12" t="s">
        <v>185</v>
      </c>
      <c r="F40" s="12" t="e">
        <v>#VALUE!</v>
      </c>
      <c r="G40" s="12">
        <v>0.131799</v>
      </c>
      <c r="H40" s="15">
        <v>1.3751899999999999</v>
      </c>
      <c r="I40" s="18">
        <v>0.35641800000000001</v>
      </c>
      <c r="J40" s="21">
        <v>23.211500000000001</v>
      </c>
      <c r="K40" s="26">
        <v>0</v>
      </c>
      <c r="L40" s="22">
        <v>0</v>
      </c>
      <c r="M40">
        <v>818.57299999999998</v>
      </c>
      <c r="N40" s="27">
        <v>28.63</v>
      </c>
      <c r="O40">
        <v>0.45</v>
      </c>
      <c r="P40">
        <v>-826.58799999999997</v>
      </c>
      <c r="Q40">
        <v>6271.5420000000004</v>
      </c>
      <c r="R40" t="s">
        <v>184</v>
      </c>
    </row>
    <row r="41" spans="1:18">
      <c r="A41" s="12"/>
      <c r="D41" s="12" t="s">
        <v>24</v>
      </c>
      <c r="E41" s="16">
        <v>1</v>
      </c>
      <c r="F41" s="16">
        <v>-0.4</v>
      </c>
      <c r="G41" s="16">
        <v>-0.4</v>
      </c>
      <c r="H41" s="16">
        <v>-0.1</v>
      </c>
      <c r="I41" s="16">
        <v>-0.1</v>
      </c>
      <c r="J41" s="16">
        <v>0.8</v>
      </c>
      <c r="K41" s="16">
        <v>-0.25</v>
      </c>
      <c r="L41" s="16">
        <v>-0.4</v>
      </c>
      <c r="M41" s="16">
        <v>1</v>
      </c>
      <c r="N41" s="16">
        <v>0.4</v>
      </c>
      <c r="O41" s="16">
        <v>-0.4</v>
      </c>
      <c r="P41" s="16">
        <v>0.4</v>
      </c>
      <c r="Q41" s="16">
        <v>-0.4</v>
      </c>
    </row>
    <row r="42" spans="1:18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8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8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8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8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8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8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  <c r="R52" s="54" t="s">
        <v>169</v>
      </c>
    </row>
    <row r="53" spans="1:21" ht="30">
      <c r="A53" t="s">
        <v>143</v>
      </c>
      <c r="B53" s="9"/>
      <c r="C53" s="2"/>
      <c r="D53" t="s">
        <v>57</v>
      </c>
      <c r="E53" s="12" t="s">
        <v>58</v>
      </c>
      <c r="F53" s="14" t="s">
        <v>59</v>
      </c>
      <c r="G53" s="14" t="s">
        <v>63</v>
      </c>
      <c r="H53" s="14" t="s">
        <v>61</v>
      </c>
      <c r="I53" s="14" t="s">
        <v>62</v>
      </c>
      <c r="J53" s="12"/>
      <c r="K53" s="42"/>
      <c r="L53" s="19" t="s">
        <v>64</v>
      </c>
      <c r="M53" s="2" t="s">
        <v>65</v>
      </c>
      <c r="N53" s="28" t="s">
        <v>66</v>
      </c>
      <c r="O53" s="2" t="s">
        <v>67</v>
      </c>
      <c r="P53" s="2" t="s">
        <v>68</v>
      </c>
      <c r="Q53" s="2" t="s">
        <v>69</v>
      </c>
      <c r="R53" s="54" t="s">
        <v>68</v>
      </c>
    </row>
    <row r="54" spans="1:21" ht="19.5" customHeight="1">
      <c r="A54" t="s">
        <v>139</v>
      </c>
      <c r="C54" s="2" t="s">
        <v>140</v>
      </c>
      <c r="D54" t="s">
        <v>141</v>
      </c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J54" s="44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12" t="s">
        <v>186</v>
      </c>
      <c r="B55">
        <v>517140</v>
      </c>
      <c r="C55" t="s">
        <v>53</v>
      </c>
      <c r="D55" s="8">
        <v>41799</v>
      </c>
      <c r="E55" s="12" t="s">
        <v>70</v>
      </c>
      <c r="F55" s="12">
        <v>0</v>
      </c>
      <c r="G55" s="21">
        <v>0</v>
      </c>
      <c r="H55" s="15" t="s">
        <v>70</v>
      </c>
      <c r="I55" s="18">
        <v>1.550224</v>
      </c>
      <c r="J55" s="18">
        <v>-4.8697247453060297E-2</v>
      </c>
      <c r="K55" s="43"/>
      <c r="L55" s="22">
        <v>0</v>
      </c>
      <c r="M55">
        <v>-9274.1898899999997</v>
      </c>
      <c r="N55" s="27">
        <v>8.01</v>
      </c>
      <c r="O55">
        <v>0</v>
      </c>
      <c r="P55" s="56">
        <v>-451.62752</v>
      </c>
      <c r="Q55">
        <v>15848.81529</v>
      </c>
      <c r="R55">
        <v>-4.8697247453060297E-2</v>
      </c>
    </row>
    <row r="56" spans="1:21">
      <c r="A56" s="12" t="s">
        <v>187</v>
      </c>
      <c r="B56">
        <v>500279</v>
      </c>
      <c r="C56" t="s">
        <v>53</v>
      </c>
      <c r="D56" s="8">
        <v>41855</v>
      </c>
      <c r="E56" s="12">
        <v>67.106049999999996</v>
      </c>
      <c r="F56" s="12">
        <v>0</v>
      </c>
      <c r="G56" s="21">
        <v>-15.105700000000001</v>
      </c>
      <c r="H56" s="15" t="s">
        <v>70</v>
      </c>
      <c r="I56" s="18">
        <v>0.60462000000000005</v>
      </c>
      <c r="J56" s="18">
        <v>-0.54073093152406726</v>
      </c>
      <c r="K56" s="43"/>
      <c r="L56" s="22">
        <v>0</v>
      </c>
      <c r="M56">
        <v>-311.87599999999998</v>
      </c>
      <c r="N56" s="27">
        <v>8.51</v>
      </c>
      <c r="O56">
        <v>0</v>
      </c>
      <c r="P56" s="56">
        <v>-168.64099999999999</v>
      </c>
      <c r="Q56">
        <v>13161.258</v>
      </c>
      <c r="R56">
        <v>-0.54073093152406726</v>
      </c>
      <c r="S56" s="27"/>
      <c r="T56" s="27"/>
    </row>
    <row r="57" spans="1:21">
      <c r="A57" s="12" t="s">
        <v>188</v>
      </c>
      <c r="B57">
        <v>532850</v>
      </c>
      <c r="C57" t="s">
        <v>53</v>
      </c>
      <c r="D57" s="8">
        <v>41891</v>
      </c>
      <c r="E57" s="12">
        <v>40.401040000000002</v>
      </c>
      <c r="F57" s="12">
        <v>0</v>
      </c>
      <c r="G57" s="21">
        <v>0</v>
      </c>
      <c r="H57" s="15">
        <v>12.934799999999999</v>
      </c>
      <c r="I57" s="18">
        <v>0.30907099999999998</v>
      </c>
      <c r="J57" s="18">
        <v>-0.34125703732358981</v>
      </c>
      <c r="K57" s="43"/>
      <c r="L57" s="22">
        <v>0</v>
      </c>
      <c r="M57">
        <v>-307.22795000000002</v>
      </c>
      <c r="N57" s="27">
        <v>7.5</v>
      </c>
      <c r="O57">
        <v>0</v>
      </c>
      <c r="P57" s="56">
        <v>-104.8437</v>
      </c>
      <c r="Q57">
        <v>1036.10061</v>
      </c>
      <c r="R57">
        <v>-0.34125703732358981</v>
      </c>
      <c r="S57" s="27"/>
      <c r="T57" s="27"/>
    </row>
    <row r="58" spans="1:21">
      <c r="A58" s="12" t="s">
        <v>148</v>
      </c>
      <c r="B58">
        <v>500049</v>
      </c>
      <c r="C58" t="s">
        <v>53</v>
      </c>
      <c r="D58" s="8">
        <v>41878</v>
      </c>
      <c r="E58" s="12">
        <v>12.732469999999999</v>
      </c>
      <c r="F58" s="12">
        <v>1.1178999999999999</v>
      </c>
      <c r="G58" s="21">
        <v>14.840999999999999</v>
      </c>
      <c r="H58" s="15">
        <v>8.5999999999999998E-4</v>
      </c>
      <c r="I58" s="18">
        <v>8.8999999999999995E-5</v>
      </c>
      <c r="J58" s="18">
        <v>0.42652895140834574</v>
      </c>
      <c r="K58" s="43"/>
      <c r="L58" s="22">
        <v>0</v>
      </c>
      <c r="M58">
        <v>9107.7780000000002</v>
      </c>
      <c r="N58" s="27">
        <v>2726.6</v>
      </c>
      <c r="O58">
        <v>23.3</v>
      </c>
      <c r="P58" s="56">
        <v>-3884.7310000000002</v>
      </c>
      <c r="Q58">
        <v>62209.976999999999</v>
      </c>
      <c r="R58">
        <v>0.42652895140834574</v>
      </c>
      <c r="S58" s="23"/>
      <c r="T58" s="23"/>
    </row>
    <row r="59" spans="1:21">
      <c r="A59" s="12" t="s">
        <v>188</v>
      </c>
      <c r="B59">
        <v>532850</v>
      </c>
      <c r="C59" t="s">
        <v>53</v>
      </c>
      <c r="D59" s="8">
        <v>41891</v>
      </c>
      <c r="E59" s="12">
        <v>40.401040000000002</v>
      </c>
      <c r="F59" s="12">
        <v>0</v>
      </c>
      <c r="G59" s="21">
        <v>0</v>
      </c>
      <c r="H59" s="15">
        <v>12.934799999999999</v>
      </c>
      <c r="I59" s="18">
        <v>0.30907099999999998</v>
      </c>
      <c r="J59" s="18">
        <v>-0.34125703732358981</v>
      </c>
      <c r="K59" s="20"/>
      <c r="L59" s="22">
        <v>0</v>
      </c>
      <c r="M59">
        <v>-307.22795000000002</v>
      </c>
      <c r="N59" s="27">
        <v>7.5</v>
      </c>
      <c r="O59">
        <v>0</v>
      </c>
      <c r="P59" s="56">
        <v>-104.8437</v>
      </c>
      <c r="Q59">
        <v>1036.10061</v>
      </c>
      <c r="R59">
        <v>-0.34125703732358981</v>
      </c>
      <c r="S59" s="27"/>
      <c r="T59" s="27"/>
    </row>
    <row r="60" spans="1:21">
      <c r="A60" s="12" t="s">
        <v>189</v>
      </c>
      <c r="B60" s="48">
        <v>517166</v>
      </c>
      <c r="C60" t="s">
        <v>132</v>
      </c>
      <c r="D60" s="8">
        <v>41387</v>
      </c>
      <c r="E60" s="12">
        <v>5.1662299999999997</v>
      </c>
      <c r="F60" s="12">
        <v>0</v>
      </c>
      <c r="G60" s="21">
        <v>0.59179999999999999</v>
      </c>
      <c r="H60" s="15">
        <v>2.8269799999999998</v>
      </c>
      <c r="I60" s="18">
        <v>0.29555500000000001</v>
      </c>
      <c r="J60" s="18">
        <v>33.773471067835281</v>
      </c>
      <c r="K60" s="20"/>
      <c r="L60" s="22">
        <v>0</v>
      </c>
      <c r="M60">
        <v>5.4297700000000004</v>
      </c>
      <c r="N60" s="27">
        <v>13.9</v>
      </c>
      <c r="O60">
        <v>0</v>
      </c>
      <c r="P60" s="56">
        <v>-183.38218000000001</v>
      </c>
      <c r="Q60">
        <v>797.86307999999997</v>
      </c>
      <c r="R60">
        <v>33.773471067835281</v>
      </c>
      <c r="S60" s="27"/>
      <c r="T60" s="27"/>
    </row>
    <row r="61" spans="1:21">
      <c r="A61" s="12" t="s">
        <v>190</v>
      </c>
      <c r="B61" s="47">
        <v>526299</v>
      </c>
      <c r="C61" t="s">
        <v>132</v>
      </c>
      <c r="D61" s="8">
        <v>41642</v>
      </c>
      <c r="E61" s="12">
        <v>6.8040099999999999</v>
      </c>
      <c r="F61" s="12">
        <v>3.9803000000000002</v>
      </c>
      <c r="G61" s="21">
        <v>19.081499999999998</v>
      </c>
      <c r="H61" s="15">
        <v>0.27409</v>
      </c>
      <c r="I61" s="18">
        <v>6.8285999999999999E-2</v>
      </c>
      <c r="J61" s="18">
        <v>0.16517778260189117</v>
      </c>
      <c r="K61" s="20"/>
      <c r="L61" s="22">
        <v>0</v>
      </c>
      <c r="M61">
        <v>7923.16</v>
      </c>
      <c r="N61" s="27">
        <v>366.4</v>
      </c>
      <c r="O61">
        <v>7</v>
      </c>
      <c r="P61" s="56">
        <v>-1308.73</v>
      </c>
      <c r="Q61">
        <v>55048.160000000003</v>
      </c>
      <c r="R61">
        <v>0.16517778260189117</v>
      </c>
      <c r="S61" s="27"/>
      <c r="T61" s="27"/>
    </row>
    <row r="62" spans="1:21">
      <c r="A62" s="12" t="s">
        <v>191</v>
      </c>
      <c r="B62" s="55">
        <v>500550</v>
      </c>
      <c r="C62" t="s">
        <v>53</v>
      </c>
      <c r="D62" s="8">
        <v>41619</v>
      </c>
      <c r="E62" s="12">
        <v>50.561610000000002</v>
      </c>
      <c r="F62" s="12">
        <v>0.76829999999999998</v>
      </c>
      <c r="G62" s="21">
        <v>4.8543000000000003</v>
      </c>
      <c r="H62" s="15">
        <v>0</v>
      </c>
      <c r="I62" s="18">
        <v>0</v>
      </c>
      <c r="J62" s="18">
        <v>1.1541237113402061</v>
      </c>
      <c r="K62" s="20"/>
      <c r="L62" s="22">
        <v>0</v>
      </c>
      <c r="M62">
        <v>1940</v>
      </c>
      <c r="N62" s="27">
        <v>862.25</v>
      </c>
      <c r="O62">
        <v>6</v>
      </c>
      <c r="P62" s="56">
        <v>-2239</v>
      </c>
      <c r="Q62">
        <v>113526</v>
      </c>
      <c r="R62">
        <v>1.1541237113402061</v>
      </c>
      <c r="S62" s="27"/>
      <c r="T62" s="27"/>
    </row>
    <row r="63" spans="1:21">
      <c r="A63" s="12" t="s">
        <v>192</v>
      </c>
      <c r="B63">
        <v>504067</v>
      </c>
      <c r="C63" t="s">
        <v>53</v>
      </c>
      <c r="D63" s="8">
        <v>41751</v>
      </c>
      <c r="E63" s="12">
        <v>4.2894800000000002</v>
      </c>
      <c r="F63" s="12">
        <v>2.6949999999999998</v>
      </c>
      <c r="G63" s="21">
        <v>26.751899999999999</v>
      </c>
      <c r="H63" s="15">
        <v>0.68008999999999997</v>
      </c>
      <c r="I63" s="18">
        <v>0.21559200000000001</v>
      </c>
      <c r="J63" s="18">
        <v>0.19228600796873013</v>
      </c>
      <c r="K63" s="20"/>
      <c r="L63" s="22">
        <v>0</v>
      </c>
      <c r="M63">
        <v>1745.3219999999999</v>
      </c>
      <c r="N63" s="27">
        <v>579.1</v>
      </c>
      <c r="O63">
        <v>10</v>
      </c>
      <c r="P63" s="56">
        <v>-335.601</v>
      </c>
      <c r="Q63">
        <v>21208.016</v>
      </c>
      <c r="R63">
        <v>0.19228600796873013</v>
      </c>
      <c r="S63" s="27"/>
      <c r="T63" s="27"/>
    </row>
    <row r="64" spans="1:21">
      <c r="A64" s="12" t="s">
        <v>193</v>
      </c>
      <c r="B64">
        <v>500222</v>
      </c>
      <c r="C64" s="48" t="s">
        <v>53</v>
      </c>
      <c r="D64" s="49">
        <v>41893</v>
      </c>
      <c r="E64" s="50" t="s">
        <v>70</v>
      </c>
      <c r="F64" s="50">
        <v>0</v>
      </c>
      <c r="G64" s="51" t="s">
        <v>70</v>
      </c>
      <c r="H64" s="52" t="s">
        <v>70</v>
      </c>
      <c r="I64" s="53" t="e">
        <v>#VALUE!</v>
      </c>
      <c r="J64" s="53">
        <v>-6.9569278629901934E-2</v>
      </c>
      <c r="K64" s="20"/>
      <c r="L64" s="22">
        <v>0</v>
      </c>
      <c r="M64">
        <v>-498.88400000000001</v>
      </c>
      <c r="N64" s="27">
        <v>0.62</v>
      </c>
      <c r="O64">
        <v>0</v>
      </c>
      <c r="P64" s="56">
        <v>-34.707000000000001</v>
      </c>
      <c r="Q64">
        <v>3461.098</v>
      </c>
      <c r="R64">
        <v>-6.9569278629901934E-2</v>
      </c>
      <c r="S64" s="27"/>
      <c r="T64" s="27"/>
    </row>
    <row r="65" spans="1:20">
      <c r="B65">
        <v>500222</v>
      </c>
      <c r="D65" s="12" t="s">
        <v>165</v>
      </c>
      <c r="E65" s="16">
        <v>1</v>
      </c>
      <c r="F65" s="16">
        <v>-0.15476190476190477</v>
      </c>
      <c r="G65" s="16">
        <v>-0.7142857142857143</v>
      </c>
      <c r="H65" s="16">
        <v>-7.1428571428571425E-2</v>
      </c>
      <c r="I65" s="16">
        <v>0.2857142857142857</v>
      </c>
      <c r="J65" s="16">
        <v>-0.47619047619047616</v>
      </c>
      <c r="K65" s="16" t="e">
        <v>#VALUE!</v>
      </c>
      <c r="L65" s="16">
        <v>-0.6071428571428571</v>
      </c>
      <c r="M65" s="16">
        <v>-0.42857142857142855</v>
      </c>
      <c r="N65" s="16">
        <v>-0.26190476190476192</v>
      </c>
      <c r="O65" s="16">
        <v>-0.10714285714285714</v>
      </c>
      <c r="P65" s="16">
        <v>0.23809523809523808</v>
      </c>
      <c r="Q65" s="16">
        <v>0.16666666666666666</v>
      </c>
      <c r="R65" s="16">
        <v>-0.47619047619047616</v>
      </c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R73" s="54" t="s">
        <v>169</v>
      </c>
    </row>
    <row r="74" spans="1:20" ht="30">
      <c r="A74" t="s">
        <v>143</v>
      </c>
      <c r="B74" s="9"/>
      <c r="C74" s="2"/>
      <c r="D74" t="s">
        <v>57</v>
      </c>
      <c r="E74" s="12" t="s">
        <v>58</v>
      </c>
      <c r="F74" s="14" t="s">
        <v>59</v>
      </c>
      <c r="G74" s="14" t="s">
        <v>63</v>
      </c>
      <c r="H74" s="14" t="s">
        <v>61</v>
      </c>
      <c r="I74" s="14" t="s">
        <v>62</v>
      </c>
      <c r="J74" s="12"/>
      <c r="K74" s="42"/>
      <c r="L74" s="19" t="s">
        <v>64</v>
      </c>
      <c r="M74" s="2" t="s">
        <v>65</v>
      </c>
      <c r="N74" s="28" t="s">
        <v>66</v>
      </c>
      <c r="O74" s="2" t="s">
        <v>67</v>
      </c>
      <c r="P74" s="2" t="s">
        <v>68</v>
      </c>
      <c r="Q74" s="2" t="s">
        <v>69</v>
      </c>
      <c r="R74" s="54" t="s">
        <v>168</v>
      </c>
    </row>
    <row r="75" spans="1:20">
      <c r="A75" s="2" t="s">
        <v>139</v>
      </c>
      <c r="C75" s="2" t="s">
        <v>140</v>
      </c>
      <c r="D75" s="2" t="s">
        <v>141</v>
      </c>
      <c r="E75" s="12" t="s">
        <v>34</v>
      </c>
      <c r="F75" s="14" t="s">
        <v>33</v>
      </c>
      <c r="G75" s="14" t="s">
        <v>28</v>
      </c>
      <c r="H75" s="14" t="s">
        <v>31</v>
      </c>
      <c r="I75" s="14" t="s">
        <v>30</v>
      </c>
      <c r="J75" s="44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12" t="s">
        <v>194</v>
      </c>
      <c r="B76" t="s">
        <v>177</v>
      </c>
      <c r="C76" t="s">
        <v>53</v>
      </c>
      <c r="D76" s="8">
        <v>41719</v>
      </c>
      <c r="E76" s="12">
        <v>11.32371</v>
      </c>
      <c r="F76" s="12">
        <v>5.8540000000000001</v>
      </c>
      <c r="G76" s="21">
        <v>-7.0000000000000001E-3</v>
      </c>
      <c r="H76" s="15">
        <v>3.3996499999999998</v>
      </c>
      <c r="I76" s="18">
        <v>0.27179300000000001</v>
      </c>
      <c r="J76" s="18">
        <v>-1.6174496644295302</v>
      </c>
      <c r="K76" s="43"/>
      <c r="L76" s="22">
        <v>0</v>
      </c>
      <c r="M76">
        <v>-2.6819999999999999</v>
      </c>
      <c r="N76" s="27">
        <v>19.489999999999998</v>
      </c>
      <c r="O76">
        <v>0</v>
      </c>
      <c r="P76">
        <v>-4.3380000000000001</v>
      </c>
      <c r="Q76">
        <v>267.23899999999998</v>
      </c>
      <c r="R76">
        <v>2.75</v>
      </c>
    </row>
    <row r="77" spans="1:20">
      <c r="A77" s="12" t="s">
        <v>195</v>
      </c>
      <c r="B77" t="s">
        <v>176</v>
      </c>
      <c r="C77" t="s">
        <v>53</v>
      </c>
      <c r="D77" s="8">
        <v>41906</v>
      </c>
      <c r="E77" s="12">
        <v>10.535450000000001</v>
      </c>
      <c r="F77" s="12">
        <v>1.6192</v>
      </c>
      <c r="G77" s="21">
        <v>23.211500000000001</v>
      </c>
      <c r="H77" s="15">
        <v>1.3751899999999999</v>
      </c>
      <c r="I77" s="18">
        <v>0.35641800000000001</v>
      </c>
      <c r="J77" s="18">
        <v>1.0097914297197683</v>
      </c>
      <c r="K77" s="43"/>
      <c r="L77" s="22">
        <v>0</v>
      </c>
      <c r="M77">
        <v>818.57299999999998</v>
      </c>
      <c r="N77" s="27">
        <v>28.63</v>
      </c>
      <c r="O77">
        <v>0.45</v>
      </c>
      <c r="P77">
        <v>-826.58799999999997</v>
      </c>
      <c r="Q77">
        <v>6271.5420000000004</v>
      </c>
      <c r="R77">
        <v>2.57</v>
      </c>
    </row>
    <row r="78" spans="1:20">
      <c r="A78" s="12" t="s">
        <v>181</v>
      </c>
      <c r="B78" t="s">
        <v>172</v>
      </c>
      <c r="C78" t="s">
        <v>132</v>
      </c>
      <c r="D78" s="8">
        <v>41698</v>
      </c>
      <c r="E78" s="12">
        <v>13.212630000000001</v>
      </c>
      <c r="F78" s="12">
        <v>0</v>
      </c>
      <c r="G78" s="21">
        <v>11.019299999999999</v>
      </c>
      <c r="H78" s="15">
        <v>0</v>
      </c>
      <c r="I78" s="18">
        <v>0</v>
      </c>
      <c r="J78" s="18">
        <v>0.30943523841731485</v>
      </c>
      <c r="K78" s="43"/>
      <c r="L78" s="22">
        <v>0</v>
      </c>
      <c r="M78">
        <v>11.827999999999999</v>
      </c>
      <c r="N78" s="27">
        <v>10.02</v>
      </c>
      <c r="O78">
        <v>0</v>
      </c>
      <c r="P78">
        <v>-3.66</v>
      </c>
      <c r="Q78">
        <v>96.168000000000006</v>
      </c>
      <c r="R78">
        <v>2.66</v>
      </c>
    </row>
    <row r="79" spans="1:20">
      <c r="A79" s="12" t="s">
        <v>179</v>
      </c>
      <c r="B79" t="s">
        <v>174</v>
      </c>
      <c r="C79" t="s">
        <v>53</v>
      </c>
      <c r="D79" s="8">
        <v>41701</v>
      </c>
      <c r="E79" s="12">
        <v>5.2227499999999996</v>
      </c>
      <c r="F79" s="12">
        <v>0</v>
      </c>
      <c r="G79" s="21">
        <v>-59.600299999999997</v>
      </c>
      <c r="H79" s="15">
        <v>3.0210900000000001</v>
      </c>
      <c r="I79" s="18">
        <v>0.71440399999999993</v>
      </c>
      <c r="J79" s="18" t="s">
        <v>71</v>
      </c>
      <c r="K79" s="20"/>
      <c r="L79" s="22">
        <v>0</v>
      </c>
      <c r="M79">
        <v>-107.66</v>
      </c>
      <c r="N79" s="27">
        <v>12.61</v>
      </c>
      <c r="O79">
        <v>0</v>
      </c>
      <c r="P79">
        <v>-81.819000000000003</v>
      </c>
      <c r="Q79">
        <v>505.00900000000001</v>
      </c>
      <c r="R79">
        <v>2.6</v>
      </c>
    </row>
    <row r="80" spans="1:20">
      <c r="A80" s="12" t="s">
        <v>180</v>
      </c>
      <c r="B80" t="s">
        <v>173</v>
      </c>
      <c r="C80" t="s">
        <v>53</v>
      </c>
      <c r="D80" s="8">
        <v>41725</v>
      </c>
      <c r="E80" s="12">
        <v>26.60305</v>
      </c>
      <c r="F80" s="12">
        <v>0</v>
      </c>
      <c r="G80" s="21">
        <v>7.4318</v>
      </c>
      <c r="H80" s="15">
        <v>0</v>
      </c>
      <c r="I80" s="18">
        <v>0</v>
      </c>
      <c r="J80" s="18">
        <v>7.3601253571757758E-2</v>
      </c>
      <c r="K80" s="20"/>
      <c r="L80" s="22">
        <v>0</v>
      </c>
      <c r="M80">
        <v>21.698</v>
      </c>
      <c r="N80" s="27">
        <v>20.07</v>
      </c>
      <c r="O80">
        <v>0</v>
      </c>
      <c r="P80">
        <v>-1.597</v>
      </c>
      <c r="Q80">
        <v>70.849999999999994</v>
      </c>
      <c r="R80">
        <v>2.69</v>
      </c>
    </row>
    <row r="81" spans="1:18">
      <c r="A81" s="12" t="s">
        <v>181</v>
      </c>
      <c r="B81" t="s">
        <v>172</v>
      </c>
      <c r="C81" t="s">
        <v>53</v>
      </c>
      <c r="D81" s="8">
        <v>41698</v>
      </c>
      <c r="E81" s="12">
        <v>13.212630000000001</v>
      </c>
      <c r="F81" s="12">
        <v>0</v>
      </c>
      <c r="G81" s="21">
        <v>8.6387999999999998</v>
      </c>
      <c r="H81" s="15">
        <v>0</v>
      </c>
      <c r="I81" s="18">
        <v>0</v>
      </c>
      <c r="J81" s="18">
        <v>0.3917261055634807</v>
      </c>
      <c r="K81" s="43"/>
      <c r="L81" s="22">
        <v>0</v>
      </c>
      <c r="M81">
        <v>10.515000000000001</v>
      </c>
      <c r="N81" s="27">
        <v>10.02</v>
      </c>
      <c r="O81">
        <v>0</v>
      </c>
      <c r="P81">
        <v>-4.1189999999999998</v>
      </c>
      <c r="Q81">
        <v>111.509</v>
      </c>
      <c r="R81">
        <v>2.66</v>
      </c>
    </row>
    <row r="82" spans="1:18">
      <c r="A82" s="12" t="s">
        <v>196</v>
      </c>
      <c r="B82" t="s">
        <v>175</v>
      </c>
      <c r="C82" t="s">
        <v>132</v>
      </c>
      <c r="D82" s="8">
        <v>41724</v>
      </c>
      <c r="E82" s="12">
        <v>0</v>
      </c>
      <c r="F82" s="12">
        <v>0</v>
      </c>
      <c r="G82" s="21">
        <v>8.3757000000000001</v>
      </c>
      <c r="H82" s="15">
        <v>2.3011400000000002</v>
      </c>
      <c r="I82" s="18">
        <v>0.30133900000000002</v>
      </c>
      <c r="J82" s="18">
        <v>1.4246575342465753</v>
      </c>
      <c r="K82" s="43"/>
      <c r="L82" s="22">
        <v>0</v>
      </c>
      <c r="M82">
        <v>73</v>
      </c>
      <c r="N82" s="27">
        <v>0</v>
      </c>
      <c r="O82">
        <v>0</v>
      </c>
      <c r="P82">
        <v>-104</v>
      </c>
      <c r="Q82">
        <v>3338</v>
      </c>
      <c r="R82">
        <v>2.71</v>
      </c>
    </row>
    <row r="83" spans="1:18">
      <c r="D83" s="12" t="s">
        <v>24</v>
      </c>
      <c r="E83" s="16">
        <v>1</v>
      </c>
      <c r="F83" s="16">
        <v>0.15</v>
      </c>
      <c r="G83" s="16">
        <v>0.3</v>
      </c>
      <c r="H83" s="16">
        <v>-0.35</v>
      </c>
      <c r="I83" s="16">
        <v>-0.65</v>
      </c>
      <c r="J83" s="16">
        <v>-0.4</v>
      </c>
      <c r="K83" s="20"/>
      <c r="L83" s="20"/>
      <c r="M83" s="20"/>
    </row>
    <row r="85" spans="1:18">
      <c r="A85" s="38"/>
    </row>
    <row r="92" spans="1:18">
      <c r="A92" s="46" t="s">
        <v>72</v>
      </c>
    </row>
    <row r="93" spans="1:18">
      <c r="A93" t="s">
        <v>73</v>
      </c>
    </row>
    <row r="94" spans="1:18">
      <c r="A94" t="s">
        <v>74</v>
      </c>
    </row>
    <row r="95" spans="1:18">
      <c r="A95" t="s">
        <v>75</v>
      </c>
    </row>
    <row r="96" spans="1:18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U111"/>
  <sheetViews>
    <sheetView topLeftCell="E52" zoomScaleNormal="100" workbookViewId="0">
      <selection activeCell="G66" sqref="A1:XFD1048576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4" width="15.5703125" customWidth="1"/>
    <col min="5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7" width="9.7109375" customWidth="1"/>
    <col min="18" max="18" width="17.4257812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">
        <v>57</v>
      </c>
      <c r="E6" s="12" t="s">
        <v>58</v>
      </c>
      <c r="F6" s="14" t="s">
        <v>59</v>
      </c>
      <c r="G6" s="14" t="s">
        <v>60</v>
      </c>
      <c r="H6" s="14" t="s">
        <v>61</v>
      </c>
      <c r="I6" s="14" t="s">
        <v>62</v>
      </c>
      <c r="J6" s="14" t="s">
        <v>63</v>
      </c>
      <c r="K6" s="25" t="s">
        <v>27</v>
      </c>
      <c r="L6" s="19" t="s">
        <v>64</v>
      </c>
      <c r="M6" s="2" t="s">
        <v>65</v>
      </c>
      <c r="N6" s="28" t="s">
        <v>66</v>
      </c>
      <c r="O6" s="2" t="s">
        <v>67</v>
      </c>
      <c r="P6" s="2" t="s">
        <v>68</v>
      </c>
      <c r="Q6" s="2" t="s">
        <v>69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v>41957</v>
      </c>
      <c r="E8" s="12">
        <v>5.1093799999999998</v>
      </c>
      <c r="F8" s="12">
        <v>3.8179999999999998E-3</v>
      </c>
      <c r="G8" s="12">
        <v>0</v>
      </c>
      <c r="H8" s="15">
        <v>1.9659899999999999</v>
      </c>
      <c r="I8" s="18">
        <v>0.47100799999999998</v>
      </c>
      <c r="J8" s="21">
        <v>19.721599999999999</v>
      </c>
      <c r="K8" s="26">
        <v>0</v>
      </c>
      <c r="L8" s="22">
        <v>0</v>
      </c>
      <c r="M8">
        <v>32908.6</v>
      </c>
      <c r="N8" s="27">
        <v>523.79999999999995</v>
      </c>
      <c r="O8">
        <v>2</v>
      </c>
      <c r="P8">
        <v>0</v>
      </c>
      <c r="Q8">
        <v>601639.9</v>
      </c>
      <c r="U8" s="7"/>
    </row>
    <row r="9" spans="1:21">
      <c r="C9">
        <v>499</v>
      </c>
      <c r="D9" s="8">
        <v>41935</v>
      </c>
      <c r="E9" s="12">
        <v>5.33005</v>
      </c>
      <c r="F9" s="12">
        <v>3.8679999999999999E-3</v>
      </c>
      <c r="G9" s="12">
        <v>0</v>
      </c>
      <c r="H9" s="15">
        <v>1.6374299999999999</v>
      </c>
      <c r="I9" s="18">
        <v>0.48616999999999999</v>
      </c>
      <c r="J9" s="21">
        <v>32.825600000000001</v>
      </c>
      <c r="K9" s="26">
        <v>0</v>
      </c>
      <c r="L9" s="22">
        <v>0</v>
      </c>
      <c r="M9">
        <v>53982.1</v>
      </c>
      <c r="N9" s="27">
        <v>516.95000000000005</v>
      </c>
      <c r="O9">
        <v>2</v>
      </c>
      <c r="P9">
        <v>0</v>
      </c>
      <c r="Q9">
        <v>641507.4</v>
      </c>
      <c r="U9" s="7"/>
    </row>
    <row r="10" spans="1:21">
      <c r="C10">
        <v>498</v>
      </c>
      <c r="D10" s="8">
        <v>41935</v>
      </c>
      <c r="E10" s="12">
        <v>5.33005</v>
      </c>
      <c r="F10" s="12">
        <v>3.8679999999999999E-3</v>
      </c>
      <c r="G10" s="12">
        <v>0</v>
      </c>
      <c r="H10" s="15">
        <v>1.8904399999999999</v>
      </c>
      <c r="I10" s="18">
        <v>0.48616999999999999</v>
      </c>
      <c r="J10" s="21">
        <v>25.893599999999999</v>
      </c>
      <c r="K10" s="26">
        <v>0</v>
      </c>
      <c r="L10" s="22">
        <v>0</v>
      </c>
      <c r="M10">
        <v>39182.9</v>
      </c>
      <c r="N10" s="27">
        <v>516.95000000000005</v>
      </c>
      <c r="O10">
        <v>2</v>
      </c>
      <c r="P10">
        <v>0</v>
      </c>
      <c r="Q10">
        <v>668451.19999999995</v>
      </c>
      <c r="U10" s="7"/>
    </row>
    <row r="11" spans="1:21">
      <c r="C11">
        <v>497</v>
      </c>
      <c r="D11" s="8">
        <v>41680</v>
      </c>
      <c r="E11" s="12">
        <v>4.9174699999999998</v>
      </c>
      <c r="F11" s="12">
        <v>5.4939999999999998E-3</v>
      </c>
      <c r="G11" s="12">
        <v>0</v>
      </c>
      <c r="H11" s="15">
        <v>1.7057500000000001</v>
      </c>
      <c r="I11" s="18">
        <v>0.497861</v>
      </c>
      <c r="J11" s="21">
        <v>34.586399999999998</v>
      </c>
      <c r="K11" s="26">
        <v>0</v>
      </c>
      <c r="L11" s="22">
        <v>0</v>
      </c>
      <c r="M11">
        <v>48048</v>
      </c>
      <c r="N11" s="27">
        <v>364</v>
      </c>
      <c r="O11">
        <v>2</v>
      </c>
      <c r="P11">
        <v>0</v>
      </c>
      <c r="Q11">
        <v>635360.6</v>
      </c>
      <c r="U11" s="7"/>
    </row>
    <row r="12" spans="1:21">
      <c r="C12">
        <v>496</v>
      </c>
      <c r="D12" s="8">
        <v>41586</v>
      </c>
      <c r="E12" s="12">
        <v>5.9828599999999996</v>
      </c>
      <c r="F12" s="12">
        <v>5.1939999999999998E-3</v>
      </c>
      <c r="G12" s="12">
        <v>0</v>
      </c>
      <c r="H12" s="15">
        <v>1.9999400000000001</v>
      </c>
      <c r="I12" s="18">
        <v>0.497861</v>
      </c>
      <c r="J12" s="21">
        <v>30.338799999999999</v>
      </c>
      <c r="K12" s="26">
        <v>0</v>
      </c>
      <c r="L12" s="22">
        <v>0</v>
      </c>
      <c r="M12">
        <v>35418.6</v>
      </c>
      <c r="N12" s="27">
        <v>385</v>
      </c>
      <c r="O12">
        <v>2</v>
      </c>
      <c r="P12">
        <v>0</v>
      </c>
      <c r="Q12">
        <v>557012.19999999995</v>
      </c>
      <c r="U12" s="7"/>
    </row>
    <row r="13" spans="1:21">
      <c r="C13">
        <v>495</v>
      </c>
      <c r="D13" s="8">
        <v>41935</v>
      </c>
      <c r="E13" s="12">
        <v>5.33005</v>
      </c>
      <c r="F13" s="12">
        <v>3.8679999999999999E-3</v>
      </c>
      <c r="G13" s="12">
        <v>0</v>
      </c>
      <c r="H13" s="15">
        <v>2.8290899999999999</v>
      </c>
      <c r="I13" s="18">
        <v>0.59229900000000002</v>
      </c>
      <c r="J13" s="21">
        <v>18.3736</v>
      </c>
      <c r="K13" s="26">
        <v>0</v>
      </c>
      <c r="L13" s="22">
        <v>0</v>
      </c>
      <c r="M13">
        <v>17260.7</v>
      </c>
      <c r="N13" s="27">
        <v>516.95000000000005</v>
      </c>
      <c r="O13">
        <v>2</v>
      </c>
      <c r="P13">
        <v>0</v>
      </c>
      <c r="Q13">
        <v>467619.1</v>
      </c>
      <c r="U13" s="7"/>
    </row>
    <row r="14" spans="1:21">
      <c r="C14">
        <v>494</v>
      </c>
      <c r="D14" s="8">
        <v>41935</v>
      </c>
      <c r="E14" s="12">
        <v>5.33005</v>
      </c>
      <c r="F14" s="12">
        <v>3.8679999999999999E-3</v>
      </c>
      <c r="G14" s="12">
        <v>0</v>
      </c>
      <c r="H14" s="15">
        <v>2.1301299999999999</v>
      </c>
      <c r="I14" s="18">
        <v>0.59229900000000002</v>
      </c>
      <c r="J14" s="21">
        <v>40.281999999999996</v>
      </c>
      <c r="K14" s="26">
        <v>0</v>
      </c>
      <c r="L14" s="22">
        <v>0</v>
      </c>
      <c r="M14">
        <v>39454.699999999997</v>
      </c>
      <c r="N14" s="27">
        <v>516.95000000000005</v>
      </c>
      <c r="O14">
        <v>2</v>
      </c>
      <c r="P14">
        <v>0</v>
      </c>
      <c r="Q14">
        <v>569813.5</v>
      </c>
      <c r="U14" s="7"/>
    </row>
    <row r="15" spans="1:21">
      <c r="C15">
        <v>493</v>
      </c>
      <c r="D15" s="8">
        <v>41319</v>
      </c>
      <c r="E15" s="12">
        <v>5.3992199999999997</v>
      </c>
      <c r="F15" s="12">
        <v>1.3481E-2</v>
      </c>
      <c r="G15" s="12">
        <v>0</v>
      </c>
      <c r="H15" s="15">
        <v>2.35806</v>
      </c>
      <c r="I15" s="18">
        <v>0.50619700000000001</v>
      </c>
      <c r="J15" s="21">
        <v>16.1432</v>
      </c>
      <c r="K15" s="26">
        <v>0</v>
      </c>
      <c r="L15" s="22">
        <v>0</v>
      </c>
      <c r="M15">
        <v>16275</v>
      </c>
      <c r="N15" s="27">
        <v>296.7</v>
      </c>
      <c r="O15">
        <v>4</v>
      </c>
      <c r="P15">
        <v>0</v>
      </c>
      <c r="Q15">
        <v>458213.1</v>
      </c>
      <c r="U15" s="7"/>
    </row>
    <row r="16" spans="1:21">
      <c r="C16">
        <v>492</v>
      </c>
      <c r="D16" s="8">
        <v>41220</v>
      </c>
      <c r="E16" s="12">
        <v>4.6510899999999999</v>
      </c>
      <c r="F16" s="12">
        <v>1.4856000000000001E-2</v>
      </c>
      <c r="G16" s="12">
        <v>0</v>
      </c>
      <c r="H16" s="15">
        <v>2.2797700000000001</v>
      </c>
      <c r="I16" s="18">
        <v>0.50619700000000001</v>
      </c>
      <c r="J16" s="21">
        <v>22.6296</v>
      </c>
      <c r="K16" s="26">
        <v>0</v>
      </c>
      <c r="L16" s="22">
        <v>0</v>
      </c>
      <c r="M16">
        <v>20747.3</v>
      </c>
      <c r="N16" s="27">
        <v>269.25</v>
      </c>
      <c r="O16">
        <v>4</v>
      </c>
      <c r="P16">
        <v>0</v>
      </c>
      <c r="Q16">
        <v>428189</v>
      </c>
      <c r="U16" s="7"/>
    </row>
    <row r="17" spans="3:21">
      <c r="C17">
        <v>491</v>
      </c>
      <c r="D17" s="8">
        <v>41130</v>
      </c>
      <c r="E17" s="12">
        <v>4.5370600000000003</v>
      </c>
      <c r="F17" s="12">
        <v>1.6711E-2</v>
      </c>
      <c r="G17" s="12">
        <v>0</v>
      </c>
      <c r="H17" s="15">
        <v>2.40794</v>
      </c>
      <c r="I17" s="18">
        <v>0.59128599999999998</v>
      </c>
      <c r="J17" s="21">
        <v>27.1692</v>
      </c>
      <c r="K17" s="26">
        <v>0</v>
      </c>
      <c r="L17" s="22">
        <v>0</v>
      </c>
      <c r="M17">
        <v>22449.1</v>
      </c>
      <c r="N17" s="27">
        <v>239.35</v>
      </c>
      <c r="O17">
        <v>4</v>
      </c>
      <c r="P17">
        <v>0</v>
      </c>
      <c r="Q17">
        <v>431711.3</v>
      </c>
      <c r="U17" s="7"/>
    </row>
    <row r="18" spans="3:21">
      <c r="C18">
        <v>490</v>
      </c>
      <c r="D18" s="8">
        <v>41449</v>
      </c>
      <c r="E18" s="12">
        <v>5.25014</v>
      </c>
      <c r="F18" s="12">
        <v>7.0499999999999998E-3</v>
      </c>
      <c r="G18" s="12">
        <v>0</v>
      </c>
      <c r="H18" s="15">
        <v>2.00163</v>
      </c>
      <c r="I18" s="18">
        <v>0.59456500000000001</v>
      </c>
      <c r="J18" s="21">
        <v>88.641999999999996</v>
      </c>
      <c r="K18" s="26">
        <v>0</v>
      </c>
      <c r="L18" s="22">
        <v>0</v>
      </c>
      <c r="M18">
        <v>62340</v>
      </c>
      <c r="N18" s="27">
        <v>283.64999999999998</v>
      </c>
      <c r="O18">
        <v>2</v>
      </c>
      <c r="P18">
        <v>0</v>
      </c>
      <c r="Q18">
        <v>514086.1</v>
      </c>
      <c r="U18" s="7"/>
    </row>
    <row r="19" spans="3:21">
      <c r="C19">
        <v>489</v>
      </c>
      <c r="D19" s="8">
        <v>40953</v>
      </c>
      <c r="E19" s="12">
        <v>5.6076499999999996</v>
      </c>
      <c r="F19" s="12">
        <v>1.4930000000000001E-2</v>
      </c>
      <c r="G19" s="12">
        <v>0</v>
      </c>
      <c r="H19" s="15">
        <v>1.83128</v>
      </c>
      <c r="I19" s="18">
        <v>0.65197900000000009</v>
      </c>
      <c r="J19" s="21">
        <v>58.391599999999997</v>
      </c>
      <c r="K19" s="26">
        <v>0</v>
      </c>
      <c r="L19" s="22">
        <v>0</v>
      </c>
      <c r="M19">
        <v>34055.5</v>
      </c>
      <c r="N19" s="27">
        <v>267.89999999999998</v>
      </c>
      <c r="O19">
        <v>4</v>
      </c>
      <c r="P19">
        <v>0</v>
      </c>
      <c r="Q19">
        <v>451992.9</v>
      </c>
      <c r="U19" s="7"/>
    </row>
    <row r="20" spans="3:21">
      <c r="C20">
        <v>488</v>
      </c>
      <c r="D20" s="8">
        <v>40861</v>
      </c>
      <c r="E20" s="12">
        <v>4.7240700000000002</v>
      </c>
      <c r="F20" s="12">
        <v>2.2484000000000001E-2</v>
      </c>
      <c r="G20" s="12">
        <v>0</v>
      </c>
      <c r="H20" s="15">
        <v>2.7724799999999998</v>
      </c>
      <c r="I20" s="18">
        <v>0.65197900000000009</v>
      </c>
      <c r="J20" s="21">
        <v>35.641199999999998</v>
      </c>
      <c r="K20" s="26">
        <v>0</v>
      </c>
      <c r="L20" s="22">
        <v>0</v>
      </c>
      <c r="M20">
        <v>18773.3</v>
      </c>
      <c r="N20" s="27">
        <v>177.9</v>
      </c>
      <c r="O20">
        <v>4</v>
      </c>
      <c r="P20">
        <v>0</v>
      </c>
      <c r="Q20">
        <v>359384.7</v>
      </c>
      <c r="U20" s="7"/>
    </row>
    <row r="21" spans="3:21">
      <c r="C21">
        <v>487</v>
      </c>
      <c r="D21" s="8">
        <v>40766</v>
      </c>
      <c r="E21" s="12">
        <v>4.25678</v>
      </c>
      <c r="F21" s="12">
        <v>2.3650999999999998E-2</v>
      </c>
      <c r="G21" s="12">
        <v>0</v>
      </c>
      <c r="H21" s="15">
        <v>2.1107399999999998</v>
      </c>
      <c r="I21" s="18">
        <v>0.62812000000000001</v>
      </c>
      <c r="J21" s="21">
        <v>41.2712</v>
      </c>
      <c r="K21" s="26">
        <v>0</v>
      </c>
      <c r="L21" s="22">
        <v>0</v>
      </c>
      <c r="M21">
        <v>19996.2</v>
      </c>
      <c r="N21" s="27">
        <v>169.12</v>
      </c>
      <c r="O21">
        <v>4</v>
      </c>
      <c r="P21">
        <v>0</v>
      </c>
      <c r="Q21">
        <v>333917.8</v>
      </c>
      <c r="U21" s="7"/>
    </row>
    <row r="22" spans="3:21">
      <c r="C22">
        <v>486</v>
      </c>
      <c r="D22" s="8">
        <v>41081</v>
      </c>
      <c r="E22" s="12">
        <v>4.9344900000000003</v>
      </c>
      <c r="F22" s="12">
        <v>1.6122000000000001E-2</v>
      </c>
      <c r="G22" s="12">
        <v>0</v>
      </c>
      <c r="H22" s="15">
        <v>2.1725400000000001</v>
      </c>
      <c r="I22" s="18">
        <v>0.63428600000000002</v>
      </c>
      <c r="J22" s="21">
        <v>66.196799999999996</v>
      </c>
      <c r="K22" s="26">
        <v>0</v>
      </c>
      <c r="L22" s="22">
        <v>0</v>
      </c>
      <c r="M22">
        <v>26375.200000000001</v>
      </c>
      <c r="N22" s="27">
        <v>248.1</v>
      </c>
      <c r="O22">
        <v>4</v>
      </c>
      <c r="P22">
        <v>0</v>
      </c>
      <c r="Q22">
        <v>351728</v>
      </c>
      <c r="U22" s="7"/>
    </row>
    <row r="23" spans="3:21">
      <c r="C23">
        <v>485</v>
      </c>
      <c r="D23" s="8">
        <v>40585</v>
      </c>
      <c r="E23" s="12">
        <v>5.7114799999999999</v>
      </c>
      <c r="F23" s="12">
        <v>1.3103999999999999E-2</v>
      </c>
      <c r="G23" s="12">
        <v>0</v>
      </c>
      <c r="H23" s="15">
        <v>2.1659000000000002</v>
      </c>
      <c r="I23" s="18">
        <v>0.74220399999999997</v>
      </c>
      <c r="J23" s="21">
        <v>76.697199999999995</v>
      </c>
      <c r="K23" s="26">
        <v>0</v>
      </c>
      <c r="L23" s="22">
        <v>0</v>
      </c>
      <c r="M23">
        <v>24243.8</v>
      </c>
      <c r="N23" s="27">
        <v>228.93</v>
      </c>
      <c r="O23">
        <v>3</v>
      </c>
      <c r="P23">
        <v>0</v>
      </c>
      <c r="Q23">
        <v>315063.3</v>
      </c>
      <c r="U23" s="7"/>
    </row>
    <row r="24" spans="3:21">
      <c r="C24">
        <v>484</v>
      </c>
      <c r="D24" s="8">
        <v>40491</v>
      </c>
      <c r="E24" s="12">
        <v>6.83453</v>
      </c>
      <c r="F24" s="12">
        <v>1.1805000000000001E-2</v>
      </c>
      <c r="G24" s="12">
        <v>0</v>
      </c>
      <c r="H24" s="15">
        <v>2.3575400000000002</v>
      </c>
      <c r="I24" s="18">
        <v>0.74220399999999997</v>
      </c>
      <c r="J24" s="21">
        <v>84.63</v>
      </c>
      <c r="K24" s="26">
        <v>0</v>
      </c>
      <c r="L24" s="22">
        <v>0</v>
      </c>
      <c r="M24">
        <v>22229.9</v>
      </c>
      <c r="N24" s="27">
        <v>254.11</v>
      </c>
      <c r="O24">
        <v>3</v>
      </c>
      <c r="P24">
        <v>0</v>
      </c>
      <c r="Q24">
        <v>285727.09999999998</v>
      </c>
      <c r="U24" s="7"/>
    </row>
    <row r="25" spans="3:21">
      <c r="C25">
        <v>483</v>
      </c>
      <c r="D25" s="8">
        <v>40400</v>
      </c>
      <c r="E25" s="12">
        <v>6.4754899999999997</v>
      </c>
      <c r="F25" s="12">
        <v>1.5668999999999999E-2</v>
      </c>
      <c r="G25" s="12">
        <v>0</v>
      </c>
      <c r="H25" s="15">
        <v>2.3064800000000001</v>
      </c>
      <c r="I25" s="18">
        <v>0.80693499999999996</v>
      </c>
      <c r="J25" s="21">
        <v>94.7744</v>
      </c>
      <c r="K25" s="26">
        <v>0</v>
      </c>
      <c r="L25" s="22">
        <v>0</v>
      </c>
      <c r="M25">
        <v>19887.3</v>
      </c>
      <c r="N25" s="27">
        <v>191.46</v>
      </c>
      <c r="O25">
        <v>3</v>
      </c>
      <c r="P25">
        <v>0</v>
      </c>
      <c r="Q25">
        <v>268760.8</v>
      </c>
      <c r="U25" s="7"/>
    </row>
    <row r="26" spans="3:21">
      <c r="C26">
        <v>482</v>
      </c>
      <c r="D26" s="8">
        <v>40730</v>
      </c>
      <c r="E26" s="12">
        <v>4.9801700000000002</v>
      </c>
      <c r="F26" s="12">
        <v>1.9368E-2</v>
      </c>
      <c r="G26" s="12">
        <v>0</v>
      </c>
      <c r="H26" s="15">
        <v>3.8119000000000001</v>
      </c>
      <c r="I26" s="18">
        <v>0.80664800000000003</v>
      </c>
      <c r="J26" s="21">
        <v>0</v>
      </c>
      <c r="K26" s="26">
        <v>0</v>
      </c>
      <c r="L26" s="22">
        <v>0</v>
      </c>
      <c r="M26">
        <v>22278</v>
      </c>
      <c r="N26" s="27">
        <v>206.52</v>
      </c>
      <c r="O26">
        <v>4</v>
      </c>
      <c r="P26">
        <v>0</v>
      </c>
      <c r="Q26">
        <v>293606</v>
      </c>
      <c r="U26" s="7"/>
    </row>
    <row r="27" spans="3:21">
      <c r="C27">
        <v>481</v>
      </c>
      <c r="D27" s="8">
        <v>40235</v>
      </c>
      <c r="E27" s="12">
        <v>21.24174</v>
      </c>
      <c r="F27" s="12">
        <v>8.4379999999999993E-3</v>
      </c>
      <c r="G27" s="12">
        <v>0</v>
      </c>
      <c r="H27" s="15">
        <v>0</v>
      </c>
      <c r="I27" s="18">
        <v>0</v>
      </c>
      <c r="J27" s="21">
        <v>0</v>
      </c>
      <c r="K27" s="26">
        <v>0</v>
      </c>
      <c r="L27" s="22">
        <v>0</v>
      </c>
      <c r="M27">
        <v>6502.6</v>
      </c>
      <c r="N27" s="27">
        <v>142.21</v>
      </c>
      <c r="O27">
        <v>1.2</v>
      </c>
      <c r="P27">
        <v>0</v>
      </c>
      <c r="Q27">
        <v>259796.1</v>
      </c>
      <c r="U27" s="7"/>
    </row>
    <row r="28" spans="3:21">
      <c r="C28">
        <v>480</v>
      </c>
      <c r="D28" s="8">
        <v>40144</v>
      </c>
      <c r="E28" s="12" t="s">
        <v>70</v>
      </c>
      <c r="F28" s="12">
        <v>9.5309999999999995E-3</v>
      </c>
      <c r="G28" s="12">
        <v>0</v>
      </c>
      <c r="H28" s="15">
        <v>0</v>
      </c>
      <c r="I28" s="18">
        <v>0</v>
      </c>
      <c r="J28" s="21">
        <v>0</v>
      </c>
      <c r="K28" s="26">
        <v>0</v>
      </c>
      <c r="L28" s="22">
        <v>0</v>
      </c>
      <c r="M28">
        <v>217.8</v>
      </c>
      <c r="N28" s="27">
        <v>125.9</v>
      </c>
      <c r="O28">
        <v>1.2</v>
      </c>
      <c r="P28">
        <v>0</v>
      </c>
      <c r="Q28">
        <v>208894.4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v>-0.35639097744360904</v>
      </c>
      <c r="F30" s="16">
        <v>-0.7834586466165413</v>
      </c>
      <c r="G30" s="16">
        <v>-0.25714285714285712</v>
      </c>
      <c r="H30" s="16">
        <v>1.2030075187969926E-2</v>
      </c>
      <c r="I30" s="16">
        <v>0.10601503759398496</v>
      </c>
      <c r="J30" s="16">
        <v>-0.7834586466165413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2" spans="3:21">
      <c r="R32" s="54" t="s">
        <v>169</v>
      </c>
    </row>
    <row r="33" spans="1:18" ht="30">
      <c r="A33" t="s">
        <v>143</v>
      </c>
      <c r="B33" s="9"/>
      <c r="C33" s="2"/>
      <c r="D33" t="s">
        <v>57</v>
      </c>
      <c r="E33" s="12" t="s">
        <v>58</v>
      </c>
      <c r="F33" s="14" t="s">
        <v>59</v>
      </c>
      <c r="G33" s="14" t="s">
        <v>60</v>
      </c>
      <c r="H33" s="14" t="s">
        <v>61</v>
      </c>
      <c r="I33" s="14" t="s">
        <v>62</v>
      </c>
      <c r="J33" s="14" t="s">
        <v>63</v>
      </c>
      <c r="K33" s="25" t="s">
        <v>27</v>
      </c>
      <c r="L33" s="19" t="s">
        <v>64</v>
      </c>
      <c r="M33" s="2" t="s">
        <v>65</v>
      </c>
      <c r="N33" s="28" t="s">
        <v>66</v>
      </c>
      <c r="O33" s="2" t="s">
        <v>67</v>
      </c>
      <c r="P33" s="2" t="s">
        <v>68</v>
      </c>
      <c r="Q33" s="2" t="s">
        <v>69</v>
      </c>
      <c r="R33" s="54" t="s">
        <v>168</v>
      </c>
    </row>
    <row r="34" spans="1:18" ht="30">
      <c r="A34" t="s">
        <v>139</v>
      </c>
      <c r="C34" s="2" t="s">
        <v>166</v>
      </c>
      <c r="D34" t="s">
        <v>167</v>
      </c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8">
      <c r="A35" s="12" t="s">
        <v>179</v>
      </c>
      <c r="B35" t="s">
        <v>174</v>
      </c>
      <c r="C35" t="s">
        <v>53</v>
      </c>
      <c r="D35" s="8">
        <v>41684</v>
      </c>
      <c r="E35" s="12">
        <v>4.18872</v>
      </c>
      <c r="F35" s="12">
        <v>0</v>
      </c>
      <c r="G35" s="12">
        <v>0.16201399999999999</v>
      </c>
      <c r="H35" s="15">
        <v>3.0210900000000001</v>
      </c>
      <c r="I35" s="18">
        <v>0.71440399999999993</v>
      </c>
      <c r="J35" s="21">
        <v>-59.600299999999997</v>
      </c>
      <c r="K35" s="26">
        <v>0</v>
      </c>
      <c r="L35" s="22">
        <v>0</v>
      </c>
      <c r="M35">
        <v>-107.66</v>
      </c>
      <c r="N35" s="27">
        <v>12.61</v>
      </c>
      <c r="O35">
        <v>0</v>
      </c>
      <c r="P35">
        <v>-81.819000000000003</v>
      </c>
      <c r="Q35">
        <v>505.00900000000001</v>
      </c>
      <c r="R35">
        <v>2.75</v>
      </c>
    </row>
    <row r="36" spans="1:18">
      <c r="A36" s="12" t="s">
        <v>180</v>
      </c>
      <c r="B36" t="s">
        <v>173</v>
      </c>
      <c r="C36" t="s">
        <v>53</v>
      </c>
      <c r="D36" s="8">
        <v>41684</v>
      </c>
      <c r="E36" s="12">
        <v>11.17309</v>
      </c>
      <c r="F36" s="12">
        <v>0</v>
      </c>
      <c r="G36" s="12">
        <v>2.2540000000000001E-2</v>
      </c>
      <c r="H36" s="15">
        <v>0</v>
      </c>
      <c r="I36" s="18">
        <v>0</v>
      </c>
      <c r="J36" s="21">
        <v>7.4318</v>
      </c>
      <c r="K36" s="26">
        <v>0</v>
      </c>
      <c r="L36" s="22">
        <v>0</v>
      </c>
      <c r="M36">
        <v>21.698</v>
      </c>
      <c r="N36" s="27">
        <v>20.07</v>
      </c>
      <c r="O36">
        <v>0</v>
      </c>
      <c r="P36">
        <v>-1.597</v>
      </c>
      <c r="Q36">
        <v>70.849999999999994</v>
      </c>
      <c r="R36">
        <v>2.75</v>
      </c>
    </row>
    <row r="37" spans="1:18">
      <c r="A37" s="12" t="s">
        <v>181</v>
      </c>
      <c r="B37" t="s">
        <v>172</v>
      </c>
      <c r="C37" t="s">
        <v>53</v>
      </c>
      <c r="D37" s="8">
        <v>41681</v>
      </c>
      <c r="E37" s="12">
        <v>9.0744000000000007</v>
      </c>
      <c r="F37" s="12">
        <v>0</v>
      </c>
      <c r="G37" s="12">
        <v>3.6937999999999999E-2</v>
      </c>
      <c r="H37" s="15">
        <v>0</v>
      </c>
      <c r="I37" s="18">
        <v>0</v>
      </c>
      <c r="J37" s="21">
        <v>8.6387999999999998</v>
      </c>
      <c r="K37" s="26">
        <v>0</v>
      </c>
      <c r="L37" s="22">
        <v>0</v>
      </c>
      <c r="M37">
        <v>10.515000000000001</v>
      </c>
      <c r="N37" s="27">
        <v>10.02</v>
      </c>
      <c r="O37">
        <v>0</v>
      </c>
      <c r="P37">
        <v>-4.1189999999999998</v>
      </c>
      <c r="Q37">
        <v>111.509</v>
      </c>
      <c r="R37">
        <v>2.75</v>
      </c>
    </row>
    <row r="38" spans="1:18">
      <c r="A38" s="12" t="s">
        <v>182</v>
      </c>
      <c r="B38" t="s">
        <v>171</v>
      </c>
      <c r="C38" t="s">
        <v>53</v>
      </c>
      <c r="D38" s="8">
        <v>41935</v>
      </c>
      <c r="E38" s="12">
        <v>5.33005</v>
      </c>
      <c r="F38" s="12">
        <v>0</v>
      </c>
      <c r="G38" s="12">
        <v>0</v>
      </c>
      <c r="H38" s="15">
        <v>0</v>
      </c>
      <c r="I38" s="18">
        <v>0</v>
      </c>
      <c r="J38" s="21">
        <v>0</v>
      </c>
      <c r="K38" s="26" t="e">
        <v>#DIV/0!</v>
      </c>
      <c r="L38" s="22">
        <v>0</v>
      </c>
      <c r="M38">
        <v>0</v>
      </c>
      <c r="N38" s="27">
        <v>1.35</v>
      </c>
      <c r="O38">
        <v>0</v>
      </c>
      <c r="P38">
        <v>0</v>
      </c>
      <c r="Q38">
        <v>0</v>
      </c>
      <c r="R38">
        <v>2.29</v>
      </c>
    </row>
    <row r="39" spans="1:18">
      <c r="A39" s="12"/>
      <c r="B39" t="s">
        <v>177</v>
      </c>
      <c r="C39" t="s">
        <v>53</v>
      </c>
      <c r="D39" s="8" t="s">
        <v>183</v>
      </c>
      <c r="E39" s="12" t="s">
        <v>183</v>
      </c>
      <c r="F39" s="12" t="e">
        <v>#VALUE!</v>
      </c>
      <c r="G39" s="12">
        <v>1.6232E-2</v>
      </c>
      <c r="H39" s="15">
        <v>3.3996499999999998</v>
      </c>
      <c r="I39" s="18">
        <v>0.27179300000000001</v>
      </c>
      <c r="J39" s="21">
        <v>-7.0000000000000001E-3</v>
      </c>
      <c r="K39" s="26">
        <v>0</v>
      </c>
      <c r="L39" s="22">
        <v>0</v>
      </c>
      <c r="M39">
        <v>-2.6819999999999999</v>
      </c>
      <c r="N39" s="27">
        <v>19.489999999999998</v>
      </c>
      <c r="O39">
        <v>0</v>
      </c>
      <c r="P39">
        <v>-4.3380000000000001</v>
      </c>
      <c r="Q39">
        <v>267.23899999999998</v>
      </c>
      <c r="R39" t="s">
        <v>184</v>
      </c>
    </row>
    <row r="40" spans="1:18">
      <c r="A40" s="12"/>
      <c r="B40" t="s">
        <v>176</v>
      </c>
      <c r="C40" t="s">
        <v>53</v>
      </c>
      <c r="D40" s="8" t="s">
        <v>183</v>
      </c>
      <c r="E40" s="12" t="s">
        <v>185</v>
      </c>
      <c r="F40" s="12" t="e">
        <v>#VALUE!</v>
      </c>
      <c r="G40" s="12">
        <v>0.131799</v>
      </c>
      <c r="H40" s="15">
        <v>1.3751899999999999</v>
      </c>
      <c r="I40" s="18">
        <v>0.35641800000000001</v>
      </c>
      <c r="J40" s="21">
        <v>23.211500000000001</v>
      </c>
      <c r="K40" s="26">
        <v>0</v>
      </c>
      <c r="L40" s="22">
        <v>0</v>
      </c>
      <c r="M40">
        <v>818.57299999999998</v>
      </c>
      <c r="N40" s="27">
        <v>28.63</v>
      </c>
      <c r="O40">
        <v>0.45</v>
      </c>
      <c r="P40">
        <v>-826.58799999999997</v>
      </c>
      <c r="Q40">
        <v>6271.5420000000004</v>
      </c>
      <c r="R40" t="s">
        <v>184</v>
      </c>
    </row>
    <row r="41" spans="1:18">
      <c r="A41" s="12"/>
      <c r="D41" s="12" t="s">
        <v>24</v>
      </c>
      <c r="E41" s="16">
        <v>1</v>
      </c>
      <c r="F41" s="16">
        <v>-0.4</v>
      </c>
      <c r="G41" s="16">
        <v>-0.4</v>
      </c>
      <c r="H41" s="16">
        <v>-0.1</v>
      </c>
      <c r="I41" s="16">
        <v>-0.1</v>
      </c>
      <c r="J41" s="16">
        <v>0.8</v>
      </c>
      <c r="K41" s="16">
        <v>-0.25</v>
      </c>
      <c r="L41" s="16">
        <v>-0.4</v>
      </c>
      <c r="M41" s="16">
        <v>1</v>
      </c>
      <c r="N41" s="16">
        <v>0.4</v>
      </c>
      <c r="O41" s="16">
        <v>-0.4</v>
      </c>
      <c r="P41" s="16">
        <v>0.4</v>
      </c>
      <c r="Q41" s="16">
        <v>-0.4</v>
      </c>
    </row>
    <row r="42" spans="1:18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8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8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8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8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8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8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  <c r="R52" s="54" t="s">
        <v>169</v>
      </c>
    </row>
    <row r="53" spans="1:21" ht="30">
      <c r="A53" t="s">
        <v>143</v>
      </c>
      <c r="B53" s="9"/>
      <c r="C53" s="2"/>
      <c r="D53" t="s">
        <v>57</v>
      </c>
      <c r="E53" s="12" t="s">
        <v>58</v>
      </c>
      <c r="F53" s="14" t="s">
        <v>59</v>
      </c>
      <c r="G53" s="14" t="s">
        <v>63</v>
      </c>
      <c r="H53" s="14" t="s">
        <v>61</v>
      </c>
      <c r="I53" s="14" t="s">
        <v>62</v>
      </c>
      <c r="J53" s="12"/>
      <c r="K53" s="42"/>
      <c r="L53" s="19" t="s">
        <v>64</v>
      </c>
      <c r="M53" s="2" t="s">
        <v>65</v>
      </c>
      <c r="N53" s="28" t="s">
        <v>66</v>
      </c>
      <c r="O53" s="2" t="s">
        <v>67</v>
      </c>
      <c r="P53" s="2" t="s">
        <v>68</v>
      </c>
      <c r="Q53" s="2" t="s">
        <v>69</v>
      </c>
      <c r="R53" s="54" t="s">
        <v>68</v>
      </c>
    </row>
    <row r="54" spans="1:21" ht="19.5" customHeight="1">
      <c r="A54" t="s">
        <v>139</v>
      </c>
      <c r="C54" s="2" t="s">
        <v>140</v>
      </c>
      <c r="D54" t="s">
        <v>141</v>
      </c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J54" s="44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12" t="s">
        <v>186</v>
      </c>
      <c r="B55">
        <v>517140</v>
      </c>
      <c r="C55" t="s">
        <v>53</v>
      </c>
      <c r="D55" s="8">
        <v>41799</v>
      </c>
      <c r="E55" s="12" t="s">
        <v>70</v>
      </c>
      <c r="F55" s="12">
        <v>0</v>
      </c>
      <c r="G55" s="21">
        <v>0</v>
      </c>
      <c r="H55" s="15" t="s">
        <v>70</v>
      </c>
      <c r="I55" s="18">
        <v>1.550224</v>
      </c>
      <c r="J55" s="18">
        <v>-4.8697247453060297E-2</v>
      </c>
      <c r="K55" s="43"/>
      <c r="L55" s="22">
        <v>0</v>
      </c>
      <c r="M55">
        <v>-9274.1898899999997</v>
      </c>
      <c r="N55" s="27">
        <v>8.01</v>
      </c>
      <c r="O55">
        <v>0</v>
      </c>
      <c r="P55" s="56">
        <v>-451.62752</v>
      </c>
      <c r="Q55">
        <v>15848.81529</v>
      </c>
      <c r="R55">
        <v>-4.8697247453060297E-2</v>
      </c>
    </row>
    <row r="56" spans="1:21">
      <c r="A56" s="12" t="s">
        <v>187</v>
      </c>
      <c r="B56">
        <v>500279</v>
      </c>
      <c r="C56" t="s">
        <v>53</v>
      </c>
      <c r="D56" s="8">
        <v>41855</v>
      </c>
      <c r="E56" s="12">
        <v>67.106049999999996</v>
      </c>
      <c r="F56" s="12">
        <v>0</v>
      </c>
      <c r="G56" s="21">
        <v>-15.105700000000001</v>
      </c>
      <c r="H56" s="15" t="s">
        <v>70</v>
      </c>
      <c r="I56" s="18">
        <v>0.60462000000000005</v>
      </c>
      <c r="J56" s="18">
        <v>-0.54073093152406726</v>
      </c>
      <c r="K56" s="43"/>
      <c r="L56" s="22">
        <v>0</v>
      </c>
      <c r="M56">
        <v>-311.87599999999998</v>
      </c>
      <c r="N56" s="27">
        <v>8.51</v>
      </c>
      <c r="O56">
        <v>0</v>
      </c>
      <c r="P56" s="56">
        <v>-168.64099999999999</v>
      </c>
      <c r="Q56">
        <v>13161.258</v>
      </c>
      <c r="R56">
        <v>-0.54073093152406726</v>
      </c>
      <c r="S56" s="27"/>
      <c r="T56" s="27"/>
    </row>
    <row r="57" spans="1:21">
      <c r="A57" s="12" t="s">
        <v>188</v>
      </c>
      <c r="B57">
        <v>532850</v>
      </c>
      <c r="C57" t="s">
        <v>53</v>
      </c>
      <c r="D57" s="8">
        <v>41891</v>
      </c>
      <c r="E57" s="12">
        <v>40.401040000000002</v>
      </c>
      <c r="F57" s="12">
        <v>0</v>
      </c>
      <c r="G57" s="21">
        <v>0</v>
      </c>
      <c r="H57" s="15">
        <v>12.934799999999999</v>
      </c>
      <c r="I57" s="18">
        <v>0.30907099999999998</v>
      </c>
      <c r="J57" s="18">
        <v>-0.34125703732358981</v>
      </c>
      <c r="K57" s="43"/>
      <c r="L57" s="22">
        <v>0</v>
      </c>
      <c r="M57">
        <v>-307.22795000000002</v>
      </c>
      <c r="N57" s="27">
        <v>7.5</v>
      </c>
      <c r="O57">
        <v>0</v>
      </c>
      <c r="P57" s="56">
        <v>-104.8437</v>
      </c>
      <c r="Q57">
        <v>1036.10061</v>
      </c>
      <c r="R57">
        <v>-0.34125703732358981</v>
      </c>
      <c r="S57" s="27"/>
      <c r="T57" s="27"/>
    </row>
    <row r="58" spans="1:21">
      <c r="A58" s="12" t="s">
        <v>148</v>
      </c>
      <c r="B58">
        <v>500049</v>
      </c>
      <c r="C58" t="s">
        <v>53</v>
      </c>
      <c r="D58" s="8">
        <v>41878</v>
      </c>
      <c r="E58" s="12">
        <v>12.732469999999999</v>
      </c>
      <c r="F58" s="12">
        <v>1.1178999999999999</v>
      </c>
      <c r="G58" s="21">
        <v>14.840999999999999</v>
      </c>
      <c r="H58" s="15">
        <v>8.5999999999999998E-4</v>
      </c>
      <c r="I58" s="18">
        <v>8.8999999999999995E-5</v>
      </c>
      <c r="J58" s="18">
        <v>0.42652895140834574</v>
      </c>
      <c r="K58" s="43"/>
      <c r="L58" s="22">
        <v>0</v>
      </c>
      <c r="M58">
        <v>9107.7780000000002</v>
      </c>
      <c r="N58" s="27">
        <v>2726.6</v>
      </c>
      <c r="O58">
        <v>23.3</v>
      </c>
      <c r="P58" s="56">
        <v>-3884.7310000000002</v>
      </c>
      <c r="Q58">
        <v>62209.976999999999</v>
      </c>
      <c r="R58">
        <v>0.42652895140834574</v>
      </c>
      <c r="S58" s="23"/>
      <c r="T58" s="23"/>
    </row>
    <row r="59" spans="1:21">
      <c r="A59" s="12" t="s">
        <v>188</v>
      </c>
      <c r="B59">
        <v>532850</v>
      </c>
      <c r="C59" t="s">
        <v>53</v>
      </c>
      <c r="D59" s="8">
        <v>41891</v>
      </c>
      <c r="E59" s="12">
        <v>40.401040000000002</v>
      </c>
      <c r="F59" s="12">
        <v>0</v>
      </c>
      <c r="G59" s="21">
        <v>0</v>
      </c>
      <c r="H59" s="15">
        <v>12.934799999999999</v>
      </c>
      <c r="I59" s="18">
        <v>0.30907099999999998</v>
      </c>
      <c r="J59" s="18">
        <v>-0.34125703732358981</v>
      </c>
      <c r="K59" s="20"/>
      <c r="L59" s="22">
        <v>0</v>
      </c>
      <c r="M59">
        <v>-307.22795000000002</v>
      </c>
      <c r="N59" s="27">
        <v>7.5</v>
      </c>
      <c r="O59">
        <v>0</v>
      </c>
      <c r="P59" s="56">
        <v>-104.8437</v>
      </c>
      <c r="Q59">
        <v>1036.10061</v>
      </c>
      <c r="R59">
        <v>-0.34125703732358981</v>
      </c>
      <c r="S59" s="27"/>
      <c r="T59" s="27"/>
    </row>
    <row r="60" spans="1:21">
      <c r="A60" s="12" t="s">
        <v>189</v>
      </c>
      <c r="B60" s="48">
        <v>517166</v>
      </c>
      <c r="C60" t="s">
        <v>132</v>
      </c>
      <c r="D60" s="8">
        <v>41387</v>
      </c>
      <c r="E60" s="12">
        <v>5.1662299999999997</v>
      </c>
      <c r="F60" s="12">
        <v>0</v>
      </c>
      <c r="G60" s="21">
        <v>0.59179999999999999</v>
      </c>
      <c r="H60" s="15">
        <v>2.8269799999999998</v>
      </c>
      <c r="I60" s="18">
        <v>0.29555500000000001</v>
      </c>
      <c r="J60" s="18">
        <v>33.773471067835281</v>
      </c>
      <c r="K60" s="20"/>
      <c r="L60" s="22">
        <v>0</v>
      </c>
      <c r="M60">
        <v>5.4297700000000004</v>
      </c>
      <c r="N60" s="27">
        <v>13.9</v>
      </c>
      <c r="O60">
        <v>0</v>
      </c>
      <c r="P60" s="56">
        <v>-183.38218000000001</v>
      </c>
      <c r="Q60">
        <v>797.86307999999997</v>
      </c>
      <c r="R60">
        <v>33.773471067835281</v>
      </c>
      <c r="S60" s="27"/>
      <c r="T60" s="27"/>
    </row>
    <row r="61" spans="1:21">
      <c r="A61" s="12" t="s">
        <v>190</v>
      </c>
      <c r="B61" s="47">
        <v>526299</v>
      </c>
      <c r="C61" t="s">
        <v>132</v>
      </c>
      <c r="D61" s="8">
        <v>41642</v>
      </c>
      <c r="E61" s="12">
        <v>6.8040099999999999</v>
      </c>
      <c r="F61" s="12">
        <v>3.9803000000000002</v>
      </c>
      <c r="G61" s="21">
        <v>19.081499999999998</v>
      </c>
      <c r="H61" s="15">
        <v>0.27409</v>
      </c>
      <c r="I61" s="18">
        <v>6.8285999999999999E-2</v>
      </c>
      <c r="J61" s="18">
        <v>0.16517778260189117</v>
      </c>
      <c r="K61" s="20"/>
      <c r="L61" s="22">
        <v>0</v>
      </c>
      <c r="M61">
        <v>7923.16</v>
      </c>
      <c r="N61" s="27">
        <v>366.4</v>
      </c>
      <c r="O61">
        <v>7</v>
      </c>
      <c r="P61" s="56">
        <v>-1308.73</v>
      </c>
      <c r="Q61">
        <v>55048.160000000003</v>
      </c>
      <c r="R61">
        <v>0.16517778260189117</v>
      </c>
      <c r="S61" s="27"/>
      <c r="T61" s="27"/>
    </row>
    <row r="62" spans="1:21">
      <c r="A62" s="12" t="s">
        <v>191</v>
      </c>
      <c r="B62" s="55">
        <v>500550</v>
      </c>
      <c r="C62" t="s">
        <v>53</v>
      </c>
      <c r="D62" s="8">
        <v>41619</v>
      </c>
      <c r="E62" s="12">
        <v>50.561610000000002</v>
      </c>
      <c r="F62" s="12">
        <v>0.76829999999999998</v>
      </c>
      <c r="G62" s="21">
        <v>4.8543000000000003</v>
      </c>
      <c r="H62" s="15">
        <v>0</v>
      </c>
      <c r="I62" s="18">
        <v>0</v>
      </c>
      <c r="J62" s="18">
        <v>1.1541237113402061</v>
      </c>
      <c r="K62" s="20"/>
      <c r="L62" s="22">
        <v>0</v>
      </c>
      <c r="M62">
        <v>1940</v>
      </c>
      <c r="N62" s="27">
        <v>862.25</v>
      </c>
      <c r="O62">
        <v>6</v>
      </c>
      <c r="P62" s="56">
        <v>-2239</v>
      </c>
      <c r="Q62">
        <v>113526</v>
      </c>
      <c r="R62">
        <v>1.1541237113402061</v>
      </c>
      <c r="S62" s="27"/>
      <c r="T62" s="27"/>
    </row>
    <row r="63" spans="1:21">
      <c r="A63" s="12" t="s">
        <v>192</v>
      </c>
      <c r="B63">
        <v>504067</v>
      </c>
      <c r="C63" t="s">
        <v>53</v>
      </c>
      <c r="D63" s="8">
        <v>41751</v>
      </c>
      <c r="E63" s="12">
        <v>4.2894800000000002</v>
      </c>
      <c r="F63" s="12">
        <v>2.6949999999999998</v>
      </c>
      <c r="G63" s="21">
        <v>26.751899999999999</v>
      </c>
      <c r="H63" s="15">
        <v>0.68008999999999997</v>
      </c>
      <c r="I63" s="18">
        <v>0.21559200000000001</v>
      </c>
      <c r="J63" s="18">
        <v>0.19228600796873013</v>
      </c>
      <c r="K63" s="20"/>
      <c r="L63" s="22">
        <v>0</v>
      </c>
      <c r="M63">
        <v>1745.3219999999999</v>
      </c>
      <c r="N63" s="27">
        <v>579.1</v>
      </c>
      <c r="O63">
        <v>10</v>
      </c>
      <c r="P63" s="56">
        <v>-335.601</v>
      </c>
      <c r="Q63">
        <v>21208.016</v>
      </c>
      <c r="R63">
        <v>0.19228600796873013</v>
      </c>
      <c r="S63" s="27"/>
      <c r="T63" s="27"/>
    </row>
    <row r="64" spans="1:21">
      <c r="A64" s="12" t="s">
        <v>193</v>
      </c>
      <c r="B64">
        <v>500222</v>
      </c>
      <c r="C64" s="48" t="s">
        <v>53</v>
      </c>
      <c r="D64" s="49">
        <v>41893</v>
      </c>
      <c r="E64" s="50" t="s">
        <v>70</v>
      </c>
      <c r="F64" s="50">
        <v>0</v>
      </c>
      <c r="G64" s="51" t="s">
        <v>70</v>
      </c>
      <c r="H64" s="52" t="s">
        <v>70</v>
      </c>
      <c r="I64" s="53" t="e">
        <v>#VALUE!</v>
      </c>
      <c r="J64" s="53">
        <v>-6.9569278629901934E-2</v>
      </c>
      <c r="K64" s="20"/>
      <c r="L64" s="22">
        <v>0</v>
      </c>
      <c r="M64">
        <v>-498.88400000000001</v>
      </c>
      <c r="N64" s="27">
        <v>0.62</v>
      </c>
      <c r="O64">
        <v>0</v>
      </c>
      <c r="P64" s="56">
        <v>-34.707000000000001</v>
      </c>
      <c r="Q64">
        <v>3461.098</v>
      </c>
      <c r="R64">
        <v>-6.9569278629901934E-2</v>
      </c>
      <c r="S64" s="27"/>
      <c r="T64" s="27"/>
    </row>
    <row r="65" spans="1:20">
      <c r="B65">
        <v>500222</v>
      </c>
      <c r="D65" s="12" t="s">
        <v>165</v>
      </c>
      <c r="E65" s="16">
        <v>1</v>
      </c>
      <c r="F65" s="16">
        <v>-0.15476190476190477</v>
      </c>
      <c r="G65" s="16">
        <v>-0.7142857142857143</v>
      </c>
      <c r="H65" s="16">
        <v>-7.1428571428571425E-2</v>
      </c>
      <c r="I65" s="16">
        <v>0.2857142857142857</v>
      </c>
      <c r="J65" s="16">
        <v>-0.47619047619047616</v>
      </c>
      <c r="K65" s="16" t="e">
        <v>#VALUE!</v>
      </c>
      <c r="L65" s="16">
        <v>-0.6071428571428571</v>
      </c>
      <c r="M65" s="16">
        <v>-0.42857142857142855</v>
      </c>
      <c r="N65" s="16">
        <v>-0.26190476190476192</v>
      </c>
      <c r="O65" s="16">
        <v>-0.10714285714285714</v>
      </c>
      <c r="P65" s="16">
        <v>0.23809523809523808</v>
      </c>
      <c r="Q65" s="16">
        <v>0.16666666666666666</v>
      </c>
      <c r="R65" s="16">
        <v>-0.47619047619047616</v>
      </c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R73" s="54" t="s">
        <v>169</v>
      </c>
    </row>
    <row r="74" spans="1:20" ht="30">
      <c r="A74" t="s">
        <v>143</v>
      </c>
      <c r="B74" s="9"/>
      <c r="C74" s="2"/>
      <c r="D74" t="s">
        <v>57</v>
      </c>
      <c r="E74" s="12" t="s">
        <v>58</v>
      </c>
      <c r="F74" s="14" t="s">
        <v>59</v>
      </c>
      <c r="G74" s="14" t="s">
        <v>63</v>
      </c>
      <c r="H74" s="14" t="s">
        <v>61</v>
      </c>
      <c r="I74" s="14" t="s">
        <v>62</v>
      </c>
      <c r="J74" s="12"/>
      <c r="K74" s="42"/>
      <c r="L74" s="19" t="s">
        <v>64</v>
      </c>
      <c r="M74" s="2" t="s">
        <v>65</v>
      </c>
      <c r="N74" s="28" t="s">
        <v>66</v>
      </c>
      <c r="O74" s="2" t="s">
        <v>67</v>
      </c>
      <c r="P74" s="2" t="s">
        <v>68</v>
      </c>
      <c r="Q74" s="2" t="s">
        <v>69</v>
      </c>
      <c r="R74" s="54" t="s">
        <v>168</v>
      </c>
    </row>
    <row r="75" spans="1:20">
      <c r="A75" s="2" t="s">
        <v>139</v>
      </c>
      <c r="C75" s="2" t="s">
        <v>140</v>
      </c>
      <c r="D75" s="2" t="s">
        <v>141</v>
      </c>
      <c r="E75" s="12" t="s">
        <v>34</v>
      </c>
      <c r="F75" s="14" t="s">
        <v>33</v>
      </c>
      <c r="G75" s="14" t="s">
        <v>28</v>
      </c>
      <c r="H75" s="14" t="s">
        <v>31</v>
      </c>
      <c r="I75" s="14" t="s">
        <v>30</v>
      </c>
      <c r="J75" s="44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12" t="s">
        <v>194</v>
      </c>
      <c r="B76" t="s">
        <v>177</v>
      </c>
      <c r="C76" t="s">
        <v>53</v>
      </c>
      <c r="D76" s="8">
        <v>41719</v>
      </c>
      <c r="E76" s="12">
        <v>11.32371</v>
      </c>
      <c r="F76" s="12">
        <v>5.8540000000000001</v>
      </c>
      <c r="G76" s="21">
        <v>-7.0000000000000001E-3</v>
      </c>
      <c r="H76" s="15">
        <v>3.3996499999999998</v>
      </c>
      <c r="I76" s="18">
        <v>0.27179300000000001</v>
      </c>
      <c r="J76" s="18">
        <v>-1.6174496644295302</v>
      </c>
      <c r="K76" s="43"/>
      <c r="L76" s="22">
        <v>0</v>
      </c>
      <c r="M76">
        <v>-2.6819999999999999</v>
      </c>
      <c r="N76" s="27">
        <v>19.489999999999998</v>
      </c>
      <c r="O76">
        <v>0</v>
      </c>
      <c r="P76">
        <v>-4.3380000000000001</v>
      </c>
      <c r="Q76">
        <v>267.23899999999998</v>
      </c>
      <c r="R76">
        <v>2.75</v>
      </c>
    </row>
    <row r="77" spans="1:20">
      <c r="A77" s="12" t="s">
        <v>195</v>
      </c>
      <c r="B77" t="s">
        <v>176</v>
      </c>
      <c r="C77" t="s">
        <v>53</v>
      </c>
      <c r="D77" s="8">
        <v>41906</v>
      </c>
      <c r="E77" s="12">
        <v>10.535450000000001</v>
      </c>
      <c r="F77" s="12">
        <v>1.6192</v>
      </c>
      <c r="G77" s="21">
        <v>23.211500000000001</v>
      </c>
      <c r="H77" s="15">
        <v>1.3751899999999999</v>
      </c>
      <c r="I77" s="18">
        <v>0.35641800000000001</v>
      </c>
      <c r="J77" s="18">
        <v>1.0097914297197683</v>
      </c>
      <c r="K77" s="43"/>
      <c r="L77" s="22">
        <v>0</v>
      </c>
      <c r="M77">
        <v>818.57299999999998</v>
      </c>
      <c r="N77" s="27">
        <v>28.63</v>
      </c>
      <c r="O77">
        <v>0.45</v>
      </c>
      <c r="P77">
        <v>-826.58799999999997</v>
      </c>
      <c r="Q77">
        <v>6271.5420000000004</v>
      </c>
      <c r="R77">
        <v>2.57</v>
      </c>
    </row>
    <row r="78" spans="1:20">
      <c r="A78" s="12" t="s">
        <v>181</v>
      </c>
      <c r="B78" t="s">
        <v>172</v>
      </c>
      <c r="C78" t="s">
        <v>132</v>
      </c>
      <c r="D78" s="8">
        <v>41698</v>
      </c>
      <c r="E78" s="12">
        <v>13.212630000000001</v>
      </c>
      <c r="F78" s="12">
        <v>0</v>
      </c>
      <c r="G78" s="21">
        <v>11.019299999999999</v>
      </c>
      <c r="H78" s="15">
        <v>0</v>
      </c>
      <c r="I78" s="18">
        <v>0</v>
      </c>
      <c r="J78" s="18">
        <v>0.30943523841731485</v>
      </c>
      <c r="K78" s="43"/>
      <c r="L78" s="22">
        <v>0</v>
      </c>
      <c r="M78">
        <v>11.827999999999999</v>
      </c>
      <c r="N78" s="27">
        <v>10.02</v>
      </c>
      <c r="O78">
        <v>0</v>
      </c>
      <c r="P78">
        <v>-3.66</v>
      </c>
      <c r="Q78">
        <v>96.168000000000006</v>
      </c>
      <c r="R78">
        <v>2.66</v>
      </c>
    </row>
    <row r="79" spans="1:20">
      <c r="A79" s="12" t="s">
        <v>179</v>
      </c>
      <c r="B79" t="s">
        <v>174</v>
      </c>
      <c r="C79" t="s">
        <v>53</v>
      </c>
      <c r="D79" s="8">
        <v>41701</v>
      </c>
      <c r="E79" s="12">
        <v>5.2227499999999996</v>
      </c>
      <c r="F79" s="12">
        <v>0</v>
      </c>
      <c r="G79" s="21">
        <v>-59.600299999999997</v>
      </c>
      <c r="H79" s="15">
        <v>3.0210900000000001</v>
      </c>
      <c r="I79" s="18">
        <v>0.71440399999999993</v>
      </c>
      <c r="J79" s="18" t="s">
        <v>71</v>
      </c>
      <c r="K79" s="20"/>
      <c r="L79" s="22">
        <v>0</v>
      </c>
      <c r="M79">
        <v>-107.66</v>
      </c>
      <c r="N79" s="27">
        <v>12.61</v>
      </c>
      <c r="O79">
        <v>0</v>
      </c>
      <c r="P79">
        <v>-81.819000000000003</v>
      </c>
      <c r="Q79">
        <v>505.00900000000001</v>
      </c>
      <c r="R79">
        <v>2.6</v>
      </c>
    </row>
    <row r="80" spans="1:20">
      <c r="A80" s="12" t="s">
        <v>180</v>
      </c>
      <c r="B80" t="s">
        <v>173</v>
      </c>
      <c r="C80" t="s">
        <v>53</v>
      </c>
      <c r="D80" s="8">
        <v>41725</v>
      </c>
      <c r="E80" s="12">
        <v>26.60305</v>
      </c>
      <c r="F80" s="12">
        <v>0</v>
      </c>
      <c r="G80" s="21">
        <v>7.4318</v>
      </c>
      <c r="H80" s="15">
        <v>0</v>
      </c>
      <c r="I80" s="18">
        <v>0</v>
      </c>
      <c r="J80" s="18">
        <v>7.3601253571757758E-2</v>
      </c>
      <c r="K80" s="20"/>
      <c r="L80" s="22">
        <v>0</v>
      </c>
      <c r="M80">
        <v>21.698</v>
      </c>
      <c r="N80" s="27">
        <v>20.07</v>
      </c>
      <c r="O80">
        <v>0</v>
      </c>
      <c r="P80">
        <v>-1.597</v>
      </c>
      <c r="Q80">
        <v>70.849999999999994</v>
      </c>
      <c r="R80">
        <v>2.69</v>
      </c>
    </row>
    <row r="81" spans="1:18">
      <c r="A81" s="12" t="s">
        <v>181</v>
      </c>
      <c r="B81" t="s">
        <v>172</v>
      </c>
      <c r="C81" t="s">
        <v>53</v>
      </c>
      <c r="D81" s="8">
        <v>41698</v>
      </c>
      <c r="E81" s="12">
        <v>13.212630000000001</v>
      </c>
      <c r="F81" s="12">
        <v>0</v>
      </c>
      <c r="G81" s="21">
        <v>8.6387999999999998</v>
      </c>
      <c r="H81" s="15">
        <v>0</v>
      </c>
      <c r="I81" s="18">
        <v>0</v>
      </c>
      <c r="J81" s="18">
        <v>0.3917261055634807</v>
      </c>
      <c r="K81" s="43"/>
      <c r="L81" s="22">
        <v>0</v>
      </c>
      <c r="M81">
        <v>10.515000000000001</v>
      </c>
      <c r="N81" s="27">
        <v>10.02</v>
      </c>
      <c r="O81">
        <v>0</v>
      </c>
      <c r="P81">
        <v>-4.1189999999999998</v>
      </c>
      <c r="Q81">
        <v>111.509</v>
      </c>
      <c r="R81">
        <v>2.66</v>
      </c>
    </row>
    <row r="82" spans="1:18">
      <c r="A82" s="12" t="s">
        <v>196</v>
      </c>
      <c r="B82" t="s">
        <v>175</v>
      </c>
      <c r="C82" t="s">
        <v>132</v>
      </c>
      <c r="D82" s="8">
        <v>41724</v>
      </c>
      <c r="E82" s="12">
        <v>0</v>
      </c>
      <c r="F82" s="12">
        <v>0</v>
      </c>
      <c r="G82" s="21">
        <v>8.3757000000000001</v>
      </c>
      <c r="H82" s="15">
        <v>2.3011400000000002</v>
      </c>
      <c r="I82" s="18">
        <v>0.30133900000000002</v>
      </c>
      <c r="J82" s="18">
        <v>1.4246575342465753</v>
      </c>
      <c r="K82" s="43"/>
      <c r="L82" s="22">
        <v>0</v>
      </c>
      <c r="M82">
        <v>73</v>
      </c>
      <c r="N82" s="27">
        <v>0</v>
      </c>
      <c r="O82">
        <v>0</v>
      </c>
      <c r="P82">
        <v>-104</v>
      </c>
      <c r="Q82">
        <v>3338</v>
      </c>
      <c r="R82">
        <v>2.71</v>
      </c>
    </row>
    <row r="83" spans="1:18">
      <c r="D83" s="12" t="s">
        <v>24</v>
      </c>
      <c r="E83" s="16">
        <v>1</v>
      </c>
      <c r="F83" s="16">
        <v>0.15</v>
      </c>
      <c r="G83" s="16">
        <v>0.3</v>
      </c>
      <c r="H83" s="16">
        <v>-0.35</v>
      </c>
      <c r="I83" s="16">
        <v>-0.65</v>
      </c>
      <c r="J83" s="16">
        <v>-0.4</v>
      </c>
      <c r="K83" s="20"/>
      <c r="L83" s="20"/>
      <c r="M83" s="20"/>
    </row>
    <row r="85" spans="1:18">
      <c r="A85" s="38"/>
    </row>
    <row r="92" spans="1:18">
      <c r="A92" s="46" t="s">
        <v>72</v>
      </c>
    </row>
    <row r="93" spans="1:18">
      <c r="A93" t="s">
        <v>73</v>
      </c>
    </row>
    <row r="94" spans="1:18">
      <c r="A94" t="s">
        <v>74</v>
      </c>
    </row>
    <row r="95" spans="1:18">
      <c r="A95" t="s">
        <v>75</v>
      </c>
    </row>
    <row r="96" spans="1:18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U111"/>
  <sheetViews>
    <sheetView topLeftCell="A46" zoomScaleNormal="100" workbookViewId="0">
      <selection activeCell="D61" sqref="D61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8" width="9.710937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">
        <v>57</v>
      </c>
      <c r="E6" s="12" t="s">
        <v>58</v>
      </c>
      <c r="F6" s="14" t="s">
        <v>59</v>
      </c>
      <c r="G6" s="14" t="s">
        <v>60</v>
      </c>
      <c r="H6" s="14" t="s">
        <v>61</v>
      </c>
      <c r="I6" s="14" t="s">
        <v>62</v>
      </c>
      <c r="J6" s="14" t="s">
        <v>63</v>
      </c>
      <c r="K6" s="25" t="s">
        <v>27</v>
      </c>
      <c r="L6" s="19" t="s">
        <v>64</v>
      </c>
      <c r="M6" s="2" t="s">
        <v>65</v>
      </c>
      <c r="N6" s="28" t="s">
        <v>66</v>
      </c>
      <c r="O6" s="2" t="s">
        <v>67</v>
      </c>
      <c r="P6" s="2" t="s">
        <v>68</v>
      </c>
      <c r="Q6" s="2" t="s">
        <v>69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v>41680</v>
      </c>
      <c r="E8" s="12">
        <v>4.9174699999999998</v>
      </c>
      <c r="F8" s="12">
        <v>5.4939999999999998E-3</v>
      </c>
      <c r="G8" s="12">
        <v>0</v>
      </c>
      <c r="H8" s="15">
        <v>1.7057500000000001</v>
      </c>
      <c r="I8" s="18">
        <v>0.497861</v>
      </c>
      <c r="J8" s="21">
        <v>34.586399999999998</v>
      </c>
      <c r="K8" s="26">
        <v>0</v>
      </c>
      <c r="L8" s="22">
        <v>0</v>
      </c>
      <c r="M8">
        <v>48048</v>
      </c>
      <c r="N8" s="27">
        <v>364</v>
      </c>
      <c r="O8">
        <v>2</v>
      </c>
      <c r="P8">
        <v>0</v>
      </c>
      <c r="Q8">
        <v>635360.6</v>
      </c>
      <c r="U8" s="7"/>
    </row>
    <row r="9" spans="1:21">
      <c r="C9">
        <v>499</v>
      </c>
      <c r="D9" s="8">
        <v>41586</v>
      </c>
      <c r="E9" s="12">
        <v>5.9828599999999996</v>
      </c>
      <c r="F9" s="12">
        <v>5.1939999999999998E-3</v>
      </c>
      <c r="G9" s="12">
        <v>0</v>
      </c>
      <c r="H9" s="15">
        <v>1.9999400000000001</v>
      </c>
      <c r="I9" s="18">
        <v>0.497861</v>
      </c>
      <c r="J9" s="21">
        <v>30.338799999999999</v>
      </c>
      <c r="K9" s="26">
        <v>0</v>
      </c>
      <c r="L9" s="22">
        <v>0</v>
      </c>
      <c r="M9">
        <v>35418.6</v>
      </c>
      <c r="N9" s="27">
        <v>385</v>
      </c>
      <c r="O9">
        <v>2</v>
      </c>
      <c r="P9">
        <v>0</v>
      </c>
      <c r="Q9">
        <v>557012.19999999995</v>
      </c>
      <c r="U9" s="7"/>
    </row>
    <row r="10" spans="1:21">
      <c r="C10">
        <v>498</v>
      </c>
      <c r="D10" s="8">
        <v>41493</v>
      </c>
      <c r="E10" s="12">
        <v>5.2137900000000004</v>
      </c>
      <c r="F10" s="12">
        <v>7.1719999999999996E-3</v>
      </c>
      <c r="G10" s="12">
        <v>0</v>
      </c>
      <c r="H10" s="15">
        <v>2.8311000000000002</v>
      </c>
      <c r="I10" s="18">
        <v>0.59175500000000003</v>
      </c>
      <c r="J10" s="21">
        <v>18.3736</v>
      </c>
      <c r="K10" s="26">
        <v>0</v>
      </c>
      <c r="L10" s="22">
        <v>0</v>
      </c>
      <c r="M10">
        <v>17260.7</v>
      </c>
      <c r="N10" s="27">
        <v>278.85000000000002</v>
      </c>
      <c r="O10">
        <v>2</v>
      </c>
      <c r="P10">
        <v>0</v>
      </c>
      <c r="Q10">
        <v>467512.6</v>
      </c>
      <c r="U10" s="7"/>
    </row>
    <row r="11" spans="1:21">
      <c r="C11">
        <v>497</v>
      </c>
      <c r="D11" s="8">
        <v>41449</v>
      </c>
      <c r="E11" s="12">
        <v>5.25014</v>
      </c>
      <c r="F11" s="12">
        <v>7.0499999999999998E-3</v>
      </c>
      <c r="G11" s="12">
        <v>0</v>
      </c>
      <c r="H11" s="15">
        <v>2.1334399999999998</v>
      </c>
      <c r="I11" s="18">
        <v>0.59175500000000003</v>
      </c>
      <c r="J11" s="21">
        <v>40.281999999999996</v>
      </c>
      <c r="K11" s="26">
        <v>0</v>
      </c>
      <c r="L11" s="22">
        <v>0</v>
      </c>
      <c r="M11">
        <v>39454.699999999997</v>
      </c>
      <c r="N11" s="27">
        <v>283.64999999999998</v>
      </c>
      <c r="O11">
        <v>2</v>
      </c>
      <c r="P11">
        <v>0</v>
      </c>
      <c r="Q11">
        <v>570062.9</v>
      </c>
      <c r="U11" s="7"/>
    </row>
    <row r="12" spans="1:21">
      <c r="C12">
        <v>496</v>
      </c>
      <c r="D12" s="8">
        <v>41319</v>
      </c>
      <c r="E12" s="12">
        <v>5.3992199999999997</v>
      </c>
      <c r="F12" s="12">
        <v>1.3481E-2</v>
      </c>
      <c r="G12" s="12">
        <v>0</v>
      </c>
      <c r="H12" s="15">
        <v>2.35806</v>
      </c>
      <c r="I12" s="18">
        <v>0.50619700000000001</v>
      </c>
      <c r="J12" s="21">
        <v>16.1432</v>
      </c>
      <c r="K12" s="26">
        <v>0</v>
      </c>
      <c r="L12" s="22">
        <v>0</v>
      </c>
      <c r="M12">
        <v>16275</v>
      </c>
      <c r="N12" s="27">
        <v>296.7</v>
      </c>
      <c r="O12">
        <v>4</v>
      </c>
      <c r="P12">
        <v>0</v>
      </c>
      <c r="Q12">
        <v>458213.1</v>
      </c>
      <c r="U12" s="7"/>
    </row>
    <row r="13" spans="1:21">
      <c r="C13">
        <v>495</v>
      </c>
      <c r="D13" s="8">
        <v>41220</v>
      </c>
      <c r="E13" s="12">
        <v>4.6510899999999999</v>
      </c>
      <c r="F13" s="12">
        <v>1.4856000000000001E-2</v>
      </c>
      <c r="G13" s="12">
        <v>0</v>
      </c>
      <c r="H13" s="15">
        <v>2.2797700000000001</v>
      </c>
      <c r="I13" s="18">
        <v>0.50619700000000001</v>
      </c>
      <c r="J13" s="21">
        <v>22.6296</v>
      </c>
      <c r="K13" s="26">
        <v>0</v>
      </c>
      <c r="L13" s="22">
        <v>0</v>
      </c>
      <c r="M13">
        <v>20747.3</v>
      </c>
      <c r="N13" s="27">
        <v>269.25</v>
      </c>
      <c r="O13">
        <v>4</v>
      </c>
      <c r="P13">
        <v>0</v>
      </c>
      <c r="Q13">
        <v>428189</v>
      </c>
      <c r="U13" s="7"/>
    </row>
    <row r="14" spans="1:21">
      <c r="C14">
        <v>494</v>
      </c>
      <c r="D14" s="8">
        <v>41130</v>
      </c>
      <c r="E14" s="12">
        <v>4.5370600000000003</v>
      </c>
      <c r="F14" s="12">
        <v>1.6711E-2</v>
      </c>
      <c r="G14" s="12">
        <v>0</v>
      </c>
      <c r="H14" s="15">
        <v>2.40794</v>
      </c>
      <c r="I14" s="18">
        <v>0.59128599999999998</v>
      </c>
      <c r="J14" s="21">
        <v>27.1692</v>
      </c>
      <c r="K14" s="26">
        <v>0</v>
      </c>
      <c r="L14" s="22">
        <v>0</v>
      </c>
      <c r="M14">
        <v>22449.1</v>
      </c>
      <c r="N14" s="27">
        <v>239.35</v>
      </c>
      <c r="O14">
        <v>4</v>
      </c>
      <c r="P14">
        <v>0</v>
      </c>
      <c r="Q14">
        <v>431711.3</v>
      </c>
      <c r="U14" s="7"/>
    </row>
    <row r="15" spans="1:21">
      <c r="C15">
        <v>493</v>
      </c>
      <c r="D15" s="8">
        <v>41449</v>
      </c>
      <c r="E15" s="12">
        <v>5.25014</v>
      </c>
      <c r="F15" s="12">
        <v>7.0499999999999998E-3</v>
      </c>
      <c r="G15" s="12">
        <v>0</v>
      </c>
      <c r="H15" s="15">
        <v>2.00163</v>
      </c>
      <c r="I15" s="18">
        <v>0.59456500000000001</v>
      </c>
      <c r="J15" s="21">
        <v>88.641999999999996</v>
      </c>
      <c r="K15" s="26">
        <v>0</v>
      </c>
      <c r="L15" s="22">
        <v>0</v>
      </c>
      <c r="M15">
        <v>62340</v>
      </c>
      <c r="N15" s="27">
        <v>283.64999999999998</v>
      </c>
      <c r="O15">
        <v>2</v>
      </c>
      <c r="P15">
        <v>0</v>
      </c>
      <c r="Q15">
        <v>514086.1</v>
      </c>
      <c r="U15" s="7"/>
    </row>
    <row r="16" spans="1:21">
      <c r="C16">
        <v>492</v>
      </c>
      <c r="D16" s="8">
        <v>40953</v>
      </c>
      <c r="E16" s="12">
        <v>5.6076499999999996</v>
      </c>
      <c r="F16" s="12">
        <v>1.4930000000000001E-2</v>
      </c>
      <c r="G16" s="12">
        <v>0</v>
      </c>
      <c r="H16" s="15">
        <v>1.83128</v>
      </c>
      <c r="I16" s="18">
        <v>0.65197900000000009</v>
      </c>
      <c r="J16" s="21">
        <v>58.391599999999997</v>
      </c>
      <c r="K16" s="26">
        <v>0</v>
      </c>
      <c r="L16" s="22">
        <v>0</v>
      </c>
      <c r="M16">
        <v>34055.5</v>
      </c>
      <c r="N16" s="27">
        <v>267.89999999999998</v>
      </c>
      <c r="O16">
        <v>4</v>
      </c>
      <c r="P16">
        <v>0</v>
      </c>
      <c r="Q16">
        <v>451992.9</v>
      </c>
      <c r="U16" s="7"/>
    </row>
    <row r="17" spans="3:21">
      <c r="C17">
        <v>491</v>
      </c>
      <c r="D17" s="8">
        <v>40861</v>
      </c>
      <c r="E17" s="12">
        <v>4.7240700000000002</v>
      </c>
      <c r="F17" s="12">
        <v>2.2484000000000001E-2</v>
      </c>
      <c r="G17" s="12">
        <v>0</v>
      </c>
      <c r="H17" s="15">
        <v>2.7724799999999998</v>
      </c>
      <c r="I17" s="18">
        <v>0.65197900000000009</v>
      </c>
      <c r="J17" s="21">
        <v>35.641199999999998</v>
      </c>
      <c r="K17" s="26">
        <v>0</v>
      </c>
      <c r="L17" s="22">
        <v>0</v>
      </c>
      <c r="M17">
        <v>18773.3</v>
      </c>
      <c r="N17" s="27">
        <v>177.9</v>
      </c>
      <c r="O17">
        <v>4</v>
      </c>
      <c r="P17">
        <v>0</v>
      </c>
      <c r="Q17">
        <v>359384.7</v>
      </c>
      <c r="U17" s="7"/>
    </row>
    <row r="18" spans="3:21">
      <c r="C18">
        <v>490</v>
      </c>
      <c r="D18" s="8">
        <v>40766</v>
      </c>
      <c r="E18" s="12">
        <v>4.25678</v>
      </c>
      <c r="F18" s="12">
        <v>2.3650999999999998E-2</v>
      </c>
      <c r="G18" s="12">
        <v>0</v>
      </c>
      <c r="H18" s="15">
        <v>2.1107399999999998</v>
      </c>
      <c r="I18" s="18">
        <v>0.62812000000000001</v>
      </c>
      <c r="J18" s="21">
        <v>41.2712</v>
      </c>
      <c r="K18" s="26">
        <v>0</v>
      </c>
      <c r="L18" s="22">
        <v>0</v>
      </c>
      <c r="M18">
        <v>19996.2</v>
      </c>
      <c r="N18" s="27">
        <v>169.12</v>
      </c>
      <c r="O18">
        <v>4</v>
      </c>
      <c r="P18">
        <v>0</v>
      </c>
      <c r="Q18">
        <v>333917.8</v>
      </c>
      <c r="U18" s="7"/>
    </row>
    <row r="19" spans="3:21">
      <c r="C19">
        <v>489</v>
      </c>
      <c r="D19" s="8">
        <v>41081</v>
      </c>
      <c r="E19" s="12">
        <v>4.9344900000000003</v>
      </c>
      <c r="F19" s="12">
        <v>1.6122000000000001E-2</v>
      </c>
      <c r="G19" s="12">
        <v>0</v>
      </c>
      <c r="H19" s="15">
        <v>2.1725400000000001</v>
      </c>
      <c r="I19" s="18">
        <v>0.63428600000000002</v>
      </c>
      <c r="J19" s="21">
        <v>66.196799999999996</v>
      </c>
      <c r="K19" s="26">
        <v>0</v>
      </c>
      <c r="L19" s="22">
        <v>0</v>
      </c>
      <c r="M19">
        <v>26375.200000000001</v>
      </c>
      <c r="N19" s="27">
        <v>248.1</v>
      </c>
      <c r="O19">
        <v>4</v>
      </c>
      <c r="P19">
        <v>0</v>
      </c>
      <c r="Q19">
        <v>351728</v>
      </c>
      <c r="U19" s="7"/>
    </row>
    <row r="20" spans="3:21">
      <c r="C20">
        <v>488</v>
      </c>
      <c r="D20" s="8">
        <v>40585</v>
      </c>
      <c r="E20" s="12">
        <v>5.7114799999999999</v>
      </c>
      <c r="F20" s="12">
        <v>1.3103999999999999E-2</v>
      </c>
      <c r="G20" s="12">
        <v>0</v>
      </c>
      <c r="H20" s="15">
        <v>2.1659000000000002</v>
      </c>
      <c r="I20" s="18">
        <v>0.74220399999999997</v>
      </c>
      <c r="J20" s="21">
        <v>76.697199999999995</v>
      </c>
      <c r="K20" s="26">
        <v>0</v>
      </c>
      <c r="L20" s="22">
        <v>0</v>
      </c>
      <c r="M20">
        <v>24243.8</v>
      </c>
      <c r="N20" s="27">
        <v>228.93</v>
      </c>
      <c r="O20">
        <v>3</v>
      </c>
      <c r="P20">
        <v>0</v>
      </c>
      <c r="Q20">
        <v>315063.3</v>
      </c>
      <c r="U20" s="7"/>
    </row>
    <row r="21" spans="3:21">
      <c r="C21">
        <v>487</v>
      </c>
      <c r="D21" s="8">
        <v>40491</v>
      </c>
      <c r="E21" s="12">
        <v>6.83453</v>
      </c>
      <c r="F21" s="12">
        <v>1.1805000000000001E-2</v>
      </c>
      <c r="G21" s="12">
        <v>0</v>
      </c>
      <c r="H21" s="15">
        <v>2.3575400000000002</v>
      </c>
      <c r="I21" s="18">
        <v>0.74220399999999997</v>
      </c>
      <c r="J21" s="21">
        <v>84.63</v>
      </c>
      <c r="K21" s="26">
        <v>0</v>
      </c>
      <c r="L21" s="22">
        <v>0</v>
      </c>
      <c r="M21">
        <v>22229.9</v>
      </c>
      <c r="N21" s="27">
        <v>254.11</v>
      </c>
      <c r="O21">
        <v>3</v>
      </c>
      <c r="P21">
        <v>0</v>
      </c>
      <c r="Q21">
        <v>285727.09999999998</v>
      </c>
      <c r="U21" s="7"/>
    </row>
    <row r="22" spans="3:21">
      <c r="C22">
        <v>486</v>
      </c>
      <c r="D22" s="8">
        <v>40400</v>
      </c>
      <c r="E22" s="12">
        <v>6.4754899999999997</v>
      </c>
      <c r="F22" s="12">
        <v>1.5668999999999999E-2</v>
      </c>
      <c r="G22" s="12">
        <v>0</v>
      </c>
      <c r="H22" s="15">
        <v>2.3064800000000001</v>
      </c>
      <c r="I22" s="18">
        <v>0.80693499999999996</v>
      </c>
      <c r="J22" s="21">
        <v>94.7744</v>
      </c>
      <c r="K22" s="26">
        <v>0</v>
      </c>
      <c r="L22" s="22">
        <v>0</v>
      </c>
      <c r="M22">
        <v>19887.3</v>
      </c>
      <c r="N22" s="27">
        <v>191.46</v>
      </c>
      <c r="O22">
        <v>3</v>
      </c>
      <c r="P22">
        <v>0</v>
      </c>
      <c r="Q22">
        <v>268760.8</v>
      </c>
      <c r="U22" s="7"/>
    </row>
    <row r="23" spans="3:21">
      <c r="C23">
        <v>485</v>
      </c>
      <c r="D23" s="8">
        <v>40730</v>
      </c>
      <c r="E23" s="12">
        <v>4.9801700000000002</v>
      </c>
      <c r="F23" s="12">
        <v>1.9368E-2</v>
      </c>
      <c r="G23" s="12">
        <v>0</v>
      </c>
      <c r="H23" s="15">
        <v>3.8119000000000001</v>
      </c>
      <c r="I23" s="18">
        <v>0.80664800000000003</v>
      </c>
      <c r="J23" s="21">
        <v>0</v>
      </c>
      <c r="K23" s="26">
        <v>0</v>
      </c>
      <c r="L23" s="22">
        <v>0</v>
      </c>
      <c r="M23">
        <v>22278</v>
      </c>
      <c r="N23" s="27">
        <v>206.52</v>
      </c>
      <c r="O23">
        <v>4</v>
      </c>
      <c r="P23">
        <v>0</v>
      </c>
      <c r="Q23">
        <v>293606</v>
      </c>
      <c r="U23" s="7"/>
    </row>
    <row r="24" spans="3:21">
      <c r="C24">
        <v>484</v>
      </c>
      <c r="D24" s="8">
        <v>40235</v>
      </c>
      <c r="E24" s="12">
        <v>21.24174</v>
      </c>
      <c r="F24" s="12">
        <v>8.4379999999999993E-3</v>
      </c>
      <c r="G24" s="12">
        <v>0</v>
      </c>
      <c r="H24" s="15">
        <v>0</v>
      </c>
      <c r="I24" s="18">
        <v>0</v>
      </c>
      <c r="J24" s="21">
        <v>0</v>
      </c>
      <c r="K24" s="26">
        <v>0</v>
      </c>
      <c r="L24" s="22">
        <v>0</v>
      </c>
      <c r="M24">
        <v>6502.6</v>
      </c>
      <c r="N24" s="27">
        <v>142.21</v>
      </c>
      <c r="O24">
        <v>1.2</v>
      </c>
      <c r="P24">
        <v>0</v>
      </c>
      <c r="Q24">
        <v>259796.1</v>
      </c>
      <c r="U24" s="7"/>
    </row>
    <row r="25" spans="3:21">
      <c r="C25">
        <v>483</v>
      </c>
      <c r="D25" s="8">
        <v>40144</v>
      </c>
      <c r="E25" s="12" t="s">
        <v>70</v>
      </c>
      <c r="F25" s="12">
        <v>9.5309999999999995E-3</v>
      </c>
      <c r="G25" s="12">
        <v>0</v>
      </c>
      <c r="H25" s="15">
        <v>0</v>
      </c>
      <c r="I25" s="18">
        <v>0</v>
      </c>
      <c r="J25" s="21">
        <v>0</v>
      </c>
      <c r="K25" s="26">
        <v>0</v>
      </c>
      <c r="L25" s="22">
        <v>0</v>
      </c>
      <c r="M25">
        <v>217.8</v>
      </c>
      <c r="N25" s="27">
        <v>125.9</v>
      </c>
      <c r="O25">
        <v>1.2</v>
      </c>
      <c r="P25">
        <v>0</v>
      </c>
      <c r="Q25">
        <v>208894.4</v>
      </c>
      <c r="U25" s="7"/>
    </row>
    <row r="26" spans="3:21">
      <c r="C26">
        <v>482</v>
      </c>
      <c r="D26" s="8">
        <v>40056</v>
      </c>
      <c r="E26" s="12" t="s">
        <v>70</v>
      </c>
      <c r="F26" s="12">
        <v>1.2260999999999999E-2</v>
      </c>
      <c r="G26" s="12">
        <v>0</v>
      </c>
      <c r="H26" s="15">
        <v>41.341709999999999</v>
      </c>
      <c r="I26" s="18">
        <v>0.84646500000000002</v>
      </c>
      <c r="J26" s="21">
        <v>0</v>
      </c>
      <c r="K26" s="26">
        <v>0</v>
      </c>
      <c r="L26" s="22">
        <v>0</v>
      </c>
      <c r="M26">
        <v>-3287.8</v>
      </c>
      <c r="N26" s="27">
        <v>97.87</v>
      </c>
      <c r="O26">
        <v>1.2</v>
      </c>
      <c r="P26">
        <v>0</v>
      </c>
      <c r="Q26">
        <v>162896</v>
      </c>
      <c r="U26" s="7"/>
    </row>
    <row r="27" spans="3:21">
      <c r="C27">
        <v>481</v>
      </c>
      <c r="D27" s="8">
        <v>40375</v>
      </c>
      <c r="E27" s="12">
        <v>8.2777499999999993</v>
      </c>
      <c r="F27" s="12">
        <v>1.8037000000000001E-2</v>
      </c>
      <c r="G27" s="12">
        <v>0</v>
      </c>
      <c r="H27" s="15" t="s">
        <v>70</v>
      </c>
      <c r="I27" s="18">
        <v>0.84646500000000002</v>
      </c>
      <c r="J27" s="21">
        <v>0</v>
      </c>
      <c r="K27" s="26">
        <v>0</v>
      </c>
      <c r="L27" s="22">
        <v>0</v>
      </c>
      <c r="M27">
        <v>3156.4</v>
      </c>
      <c r="N27" s="27">
        <v>166.32</v>
      </c>
      <c r="O27">
        <v>3</v>
      </c>
      <c r="P27">
        <v>0</v>
      </c>
      <c r="Q27">
        <v>159689.20000000001</v>
      </c>
      <c r="U27" s="7"/>
    </row>
    <row r="28" spans="3:21">
      <c r="C28">
        <v>480</v>
      </c>
      <c r="D28" s="8">
        <v>40235</v>
      </c>
      <c r="E28" s="12">
        <v>21.24174</v>
      </c>
      <c r="F28" s="12">
        <v>8.4379999999999993E-3</v>
      </c>
      <c r="G28" s="12">
        <v>0</v>
      </c>
      <c r="H28" s="15">
        <v>0</v>
      </c>
      <c r="I28" s="18">
        <v>0</v>
      </c>
      <c r="J28" s="21">
        <v>0</v>
      </c>
      <c r="K28" s="26">
        <v>0</v>
      </c>
      <c r="L28" s="22">
        <v>0</v>
      </c>
      <c r="M28">
        <v>-25988.3</v>
      </c>
      <c r="N28" s="27">
        <v>142.21</v>
      </c>
      <c r="O28">
        <v>1.2</v>
      </c>
      <c r="P28">
        <v>0</v>
      </c>
      <c r="Q28">
        <v>175353.60000000001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v>-0.35964912280701755</v>
      </c>
      <c r="F30" s="16">
        <v>-0.83245614035087723</v>
      </c>
      <c r="G30" s="16">
        <v>-0.39834881320949433</v>
      </c>
      <c r="H30" s="16">
        <v>3.3333333333333333E-2</v>
      </c>
      <c r="I30" s="16">
        <v>-1.7543859649122807E-3</v>
      </c>
      <c r="J30" s="16">
        <v>-0.83245614035087723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3" spans="1:17" ht="30">
      <c r="A33" t="s">
        <v>143</v>
      </c>
      <c r="B33" s="9"/>
      <c r="C33" s="2"/>
      <c r="D33" t="s">
        <v>57</v>
      </c>
      <c r="E33" s="12" t="s">
        <v>58</v>
      </c>
      <c r="F33" s="14" t="s">
        <v>59</v>
      </c>
      <c r="G33" s="14" t="s">
        <v>60</v>
      </c>
      <c r="H33" s="14" t="s">
        <v>61</v>
      </c>
      <c r="I33" s="14" t="s">
        <v>62</v>
      </c>
      <c r="J33" s="14" t="s">
        <v>63</v>
      </c>
      <c r="K33" s="25" t="s">
        <v>27</v>
      </c>
      <c r="L33" s="19" t="s">
        <v>64</v>
      </c>
      <c r="M33" s="2" t="s">
        <v>65</v>
      </c>
      <c r="N33" s="28" t="s">
        <v>66</v>
      </c>
      <c r="O33" s="2" t="s">
        <v>67</v>
      </c>
      <c r="P33" s="2" t="s">
        <v>68</v>
      </c>
      <c r="Q33" s="2" t="s">
        <v>69</v>
      </c>
    </row>
    <row r="34" spans="1:17" ht="30">
      <c r="A34" t="s">
        <v>139</v>
      </c>
      <c r="C34" s="2" t="s">
        <v>166</v>
      </c>
      <c r="D34" t="s">
        <v>167</v>
      </c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7">
      <c r="A35" s="12" t="s">
        <v>144</v>
      </c>
      <c r="B35" t="s">
        <v>0</v>
      </c>
      <c r="C35" t="s">
        <v>53</v>
      </c>
      <c r="D35" s="8">
        <v>41684</v>
      </c>
      <c r="E35" s="12">
        <v>9.8698200000000007</v>
      </c>
      <c r="F35" s="12">
        <v>3.2660000000000002E-2</v>
      </c>
      <c r="G35" s="12">
        <v>1.8430999999999999E-2</v>
      </c>
      <c r="H35" s="15">
        <v>1.1516299999999999</v>
      </c>
      <c r="I35" s="18">
        <v>0.55573600000000001</v>
      </c>
      <c r="J35" s="21">
        <v>119.0236</v>
      </c>
      <c r="K35" s="26">
        <v>0.59107681985910765</v>
      </c>
      <c r="L35" s="22">
        <v>-1762</v>
      </c>
      <c r="M35">
        <v>2981</v>
      </c>
      <c r="N35" s="27">
        <v>164.03</v>
      </c>
      <c r="O35">
        <v>5.32</v>
      </c>
      <c r="P35">
        <v>-836</v>
      </c>
      <c r="Q35">
        <v>45358</v>
      </c>
    </row>
    <row r="36" spans="1:17">
      <c r="A36" s="12" t="s">
        <v>145</v>
      </c>
      <c r="B36" t="s">
        <v>35</v>
      </c>
      <c r="C36" t="s">
        <v>53</v>
      </c>
      <c r="D36" s="8">
        <v>41684</v>
      </c>
      <c r="E36" s="12">
        <v>11.17309</v>
      </c>
      <c r="F36" s="12">
        <v>2.2433000000000002E-2</v>
      </c>
      <c r="G36" s="12">
        <v>2.4219000000000001E-2</v>
      </c>
      <c r="H36" s="15">
        <v>1.17903</v>
      </c>
      <c r="I36" s="18">
        <v>0.39115699999999998</v>
      </c>
      <c r="J36" s="21">
        <v>43.751100000000001</v>
      </c>
      <c r="K36" s="26">
        <v>0.61090512540894215</v>
      </c>
      <c r="L36" s="22">
        <v>-2801</v>
      </c>
      <c r="M36">
        <v>4585</v>
      </c>
      <c r="N36" s="27">
        <v>124.6401</v>
      </c>
      <c r="O36">
        <v>2.92</v>
      </c>
      <c r="P36">
        <v>-2098</v>
      </c>
      <c r="Q36">
        <v>86623</v>
      </c>
    </row>
    <row r="37" spans="1:17">
      <c r="A37" s="12" t="s">
        <v>146</v>
      </c>
      <c r="B37" t="s">
        <v>36</v>
      </c>
      <c r="C37" t="s">
        <v>53</v>
      </c>
      <c r="D37" s="8">
        <v>41681</v>
      </c>
      <c r="E37" s="12">
        <v>9.0744000000000007</v>
      </c>
      <c r="F37" s="12">
        <v>2.3332000000000002E-2</v>
      </c>
      <c r="G37" s="12">
        <v>1.1811E-2</v>
      </c>
      <c r="H37" s="15">
        <v>1.4199200000000001</v>
      </c>
      <c r="I37" s="18">
        <v>0.29715599999999998</v>
      </c>
      <c r="J37" s="21">
        <v>20.106200000000001</v>
      </c>
      <c r="K37" s="26">
        <v>0.53857715430861719</v>
      </c>
      <c r="L37" s="22">
        <v>-1075</v>
      </c>
      <c r="M37">
        <v>1996</v>
      </c>
      <c r="N37" s="27">
        <v>100.9</v>
      </c>
      <c r="O37">
        <v>2.2000000000000002</v>
      </c>
      <c r="P37">
        <v>-280</v>
      </c>
      <c r="Q37">
        <v>23706</v>
      </c>
    </row>
    <row r="38" spans="1:17">
      <c r="A38" s="12" t="s">
        <v>147</v>
      </c>
      <c r="B38" t="s">
        <v>37</v>
      </c>
      <c r="C38" t="s">
        <v>53</v>
      </c>
      <c r="D38" s="8">
        <v>41449</v>
      </c>
      <c r="E38" s="12">
        <v>5.25014</v>
      </c>
      <c r="F38" s="12">
        <v>2.9287999999999998E-2</v>
      </c>
      <c r="G38" s="12">
        <v>1.4094000000000001E-2</v>
      </c>
      <c r="H38" s="15">
        <v>0.92147999999999997</v>
      </c>
      <c r="I38" s="18">
        <v>0.212287</v>
      </c>
      <c r="J38" s="21">
        <v>19.203499999999998</v>
      </c>
      <c r="K38" s="26">
        <v>0.31395842172252864</v>
      </c>
      <c r="L38" s="22">
        <v>-740</v>
      </c>
      <c r="M38">
        <v>2357</v>
      </c>
      <c r="N38" s="27">
        <v>109.21</v>
      </c>
      <c r="O38">
        <v>2.48</v>
      </c>
      <c r="P38">
        <v>-440</v>
      </c>
      <c r="Q38">
        <v>31218</v>
      </c>
    </row>
    <row r="39" spans="1:17">
      <c r="A39" s="12"/>
      <c r="D39" s="8"/>
      <c r="E39" s="33"/>
      <c r="F39" s="33"/>
      <c r="G39" s="33"/>
      <c r="H39" s="34"/>
      <c r="I39" s="35"/>
      <c r="J39" s="20"/>
      <c r="K39" s="20"/>
      <c r="L39" s="20"/>
      <c r="M39" s="20"/>
    </row>
    <row r="40" spans="1:17">
      <c r="A40" s="12"/>
      <c r="D40" s="36"/>
      <c r="E40" s="27"/>
      <c r="F40" s="27"/>
      <c r="G40" s="27"/>
      <c r="H40" s="32"/>
      <c r="I40" s="20"/>
      <c r="J40" s="20"/>
      <c r="K40" s="20"/>
      <c r="L40" s="20"/>
      <c r="M40" s="20"/>
    </row>
    <row r="41" spans="1:17">
      <c r="A41" s="12"/>
      <c r="D41" s="12" t="s">
        <v>24</v>
      </c>
      <c r="E41" s="16">
        <v>-0.4</v>
      </c>
      <c r="F41" s="16">
        <v>0.8</v>
      </c>
      <c r="G41" s="16">
        <v>0.4</v>
      </c>
      <c r="H41" s="16">
        <v>0.8</v>
      </c>
      <c r="I41" s="16">
        <v>0.8</v>
      </c>
      <c r="J41" s="37">
        <v>1</v>
      </c>
      <c r="K41" s="20"/>
      <c r="L41" s="20"/>
      <c r="M41" s="20"/>
    </row>
    <row r="42" spans="1:17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7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7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7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7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7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7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</row>
    <row r="53" spans="1:21" ht="30">
      <c r="A53" t="s">
        <v>143</v>
      </c>
      <c r="B53" s="9"/>
      <c r="C53" s="2"/>
      <c r="D53" t="s">
        <v>57</v>
      </c>
      <c r="E53" s="12" t="s">
        <v>58</v>
      </c>
      <c r="F53" s="14" t="s">
        <v>59</v>
      </c>
      <c r="G53" s="14" t="s">
        <v>63</v>
      </c>
      <c r="H53" s="14" t="s">
        <v>61</v>
      </c>
      <c r="I53" s="14" t="s">
        <v>62</v>
      </c>
      <c r="J53" s="12"/>
      <c r="K53" s="42"/>
      <c r="L53" s="19" t="s">
        <v>64</v>
      </c>
      <c r="M53" s="2" t="s">
        <v>65</v>
      </c>
      <c r="N53" s="28" t="s">
        <v>66</v>
      </c>
      <c r="O53" s="2" t="s">
        <v>67</v>
      </c>
      <c r="P53" s="2" t="s">
        <v>68</v>
      </c>
      <c r="Q53" s="2" t="s">
        <v>69</v>
      </c>
    </row>
    <row r="54" spans="1:21" ht="19.5" customHeight="1">
      <c r="A54" t="s">
        <v>139</v>
      </c>
      <c r="C54" s="2" t="s">
        <v>140</v>
      </c>
      <c r="D54" t="s">
        <v>141</v>
      </c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J54" s="44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12" t="s">
        <v>148</v>
      </c>
      <c r="B55">
        <v>500049</v>
      </c>
      <c r="C55" t="s">
        <v>53</v>
      </c>
      <c r="D55" s="8">
        <v>41505</v>
      </c>
      <c r="E55" s="12">
        <v>6.1894299999999998</v>
      </c>
      <c r="F55" s="12">
        <v>1.4175</v>
      </c>
      <c r="G55" s="21">
        <v>14.8409</v>
      </c>
      <c r="H55" s="15">
        <v>8.5999999999999998E-4</v>
      </c>
      <c r="I55" s="18">
        <v>8.8999999999999995E-5</v>
      </c>
      <c r="J55" s="18">
        <v>0.42652895140834574</v>
      </c>
      <c r="K55" s="43"/>
      <c r="L55" s="22">
        <v>0</v>
      </c>
      <c r="M55">
        <v>9107.7780000000002</v>
      </c>
      <c r="N55" s="27">
        <v>1024.45</v>
      </c>
      <c r="O55">
        <v>22.3</v>
      </c>
      <c r="P55">
        <v>-3884.7310000000002</v>
      </c>
      <c r="Q55">
        <v>62213.195</v>
      </c>
    </row>
    <row r="56" spans="1:21">
      <c r="A56" s="12" t="s">
        <v>149</v>
      </c>
      <c r="B56">
        <v>500520</v>
      </c>
      <c r="C56" t="s">
        <v>53</v>
      </c>
      <c r="D56" s="8">
        <v>41435</v>
      </c>
      <c r="E56" s="12">
        <v>9.01187</v>
      </c>
      <c r="F56" s="12">
        <v>1.2794000000000001</v>
      </c>
      <c r="G56" s="21">
        <v>17.764800000000001</v>
      </c>
      <c r="H56" s="15">
        <v>3.2042600000000001</v>
      </c>
      <c r="I56" s="18">
        <v>0.53199399999999997</v>
      </c>
      <c r="J56" s="18">
        <v>0.80293471896955504</v>
      </c>
      <c r="K56" s="43"/>
      <c r="L56" s="22">
        <v>0</v>
      </c>
      <c r="M56">
        <v>40992</v>
      </c>
      <c r="N56" s="27">
        <v>1010.25</v>
      </c>
      <c r="O56">
        <v>12.5</v>
      </c>
      <c r="P56">
        <v>-32913.9</v>
      </c>
      <c r="Q56">
        <v>675133.5</v>
      </c>
      <c r="S56" s="27"/>
      <c r="T56" s="27"/>
    </row>
    <row r="57" spans="1:21">
      <c r="A57" s="12" t="s">
        <v>150</v>
      </c>
      <c r="B57">
        <v>500164</v>
      </c>
      <c r="C57" t="s">
        <v>53</v>
      </c>
      <c r="D57" s="8">
        <v>41466</v>
      </c>
      <c r="E57" s="12">
        <v>21.243259999999999</v>
      </c>
      <c r="F57" s="12">
        <v>1.1625000000000001</v>
      </c>
      <c r="G57" s="21">
        <v>13.643000000000001</v>
      </c>
      <c r="H57" s="15">
        <v>6.5389299999999997</v>
      </c>
      <c r="I57" s="18">
        <v>0.42273899999999998</v>
      </c>
      <c r="J57" s="18">
        <v>1.7700547062733269</v>
      </c>
      <c r="K57" s="43"/>
      <c r="L57" s="22">
        <v>0</v>
      </c>
      <c r="M57">
        <v>3911.8</v>
      </c>
      <c r="N57" s="27">
        <v>292.2</v>
      </c>
      <c r="O57">
        <v>3.5</v>
      </c>
      <c r="P57">
        <v>-6924.1</v>
      </c>
      <c r="Q57">
        <v>70171.399999999994</v>
      </c>
      <c r="S57" s="27"/>
      <c r="T57" s="27"/>
    </row>
    <row r="58" spans="1:21">
      <c r="A58" s="12" t="s">
        <v>151</v>
      </c>
      <c r="B58">
        <v>500570</v>
      </c>
      <c r="C58" t="s">
        <v>53</v>
      </c>
      <c r="D58" s="8">
        <v>41449</v>
      </c>
      <c r="E58" s="12">
        <v>5.25014</v>
      </c>
      <c r="F58" s="12">
        <v>0.70499999999999996</v>
      </c>
      <c r="G58" s="21">
        <v>28.096800000000002</v>
      </c>
      <c r="H58" s="15">
        <v>2.6295199999999999</v>
      </c>
      <c r="I58" s="18">
        <v>0.59175500000000003</v>
      </c>
      <c r="J58" s="18">
        <v>1.8960648403201983</v>
      </c>
      <c r="K58" s="43"/>
      <c r="L58" s="22">
        <v>0</v>
      </c>
      <c r="M58">
        <v>98926.1</v>
      </c>
      <c r="N58" s="27">
        <v>381.4</v>
      </c>
      <c r="O58">
        <v>2</v>
      </c>
      <c r="P58">
        <v>-187570.3</v>
      </c>
      <c r="Q58">
        <v>1888176.3</v>
      </c>
      <c r="S58" s="23"/>
      <c r="T58" s="23"/>
    </row>
    <row r="59" spans="1:21">
      <c r="A59" s="12" t="s">
        <v>152</v>
      </c>
      <c r="B59">
        <v>500366</v>
      </c>
      <c r="C59" t="s">
        <v>53</v>
      </c>
      <c r="D59" s="8">
        <v>41577</v>
      </c>
      <c r="E59" s="12">
        <v>4.4769399999999999</v>
      </c>
      <c r="F59" s="12">
        <v>4.8426</v>
      </c>
      <c r="G59" s="21">
        <v>-43.496200000000002</v>
      </c>
      <c r="H59" s="15">
        <v>4.06616</v>
      </c>
      <c r="I59" s="18">
        <v>0.65312399999999993</v>
      </c>
      <c r="J59" s="18">
        <v>-1.7894040682086298</v>
      </c>
      <c r="K59" s="20"/>
      <c r="L59" s="22">
        <v>0</v>
      </c>
      <c r="M59">
        <v>-8391.9</v>
      </c>
      <c r="N59" s="27">
        <v>71.5</v>
      </c>
      <c r="O59">
        <v>3</v>
      </c>
      <c r="P59">
        <v>-15016.5</v>
      </c>
      <c r="Q59">
        <v>21890</v>
      </c>
      <c r="S59" s="27"/>
      <c r="T59" s="27"/>
    </row>
    <row r="60" spans="1:21">
      <c r="A60" s="12" t="s">
        <v>153</v>
      </c>
      <c r="B60">
        <v>500477</v>
      </c>
      <c r="C60" t="s">
        <v>53</v>
      </c>
      <c r="D60" s="8">
        <v>41404</v>
      </c>
      <c r="E60" s="12">
        <v>12.016730000000001</v>
      </c>
      <c r="F60" s="12">
        <v>2.6785000000000001</v>
      </c>
      <c r="G60" s="21">
        <v>10.0077</v>
      </c>
      <c r="H60" s="15">
        <v>5.0806699999999996</v>
      </c>
      <c r="I60" s="18">
        <v>0.49434299999999998</v>
      </c>
      <c r="J60" s="18">
        <v>1.4967767387499433</v>
      </c>
      <c r="K60" s="20"/>
      <c r="L60" s="22">
        <v>0</v>
      </c>
      <c r="M60">
        <v>4337.067</v>
      </c>
      <c r="N60" s="27">
        <v>17.5</v>
      </c>
      <c r="O60">
        <v>0.6</v>
      </c>
      <c r="P60">
        <v>-6491.6210000000001</v>
      </c>
      <c r="Q60">
        <v>124812</v>
      </c>
      <c r="S60" s="27"/>
      <c r="T60" s="27"/>
    </row>
    <row r="61" spans="1:21">
      <c r="A61" s="12" t="s">
        <v>154</v>
      </c>
      <c r="B61" s="47">
        <v>532493</v>
      </c>
      <c r="C61" t="s">
        <v>53</v>
      </c>
      <c r="D61" s="8">
        <v>41393</v>
      </c>
      <c r="E61" s="12">
        <v>3.7385899999999999</v>
      </c>
      <c r="F61" s="12">
        <v>1.889</v>
      </c>
      <c r="G61" s="21">
        <v>19.982099999999999</v>
      </c>
      <c r="H61" s="15">
        <v>0.67579</v>
      </c>
      <c r="I61" s="18">
        <v>0.18739999999999998</v>
      </c>
      <c r="J61" s="18">
        <v>0.72859556201757247</v>
      </c>
      <c r="K61" s="20"/>
      <c r="L61" s="22">
        <v>0</v>
      </c>
      <c r="M61">
        <v>371.85500999999999</v>
      </c>
      <c r="N61" s="27">
        <v>47.45</v>
      </c>
      <c r="O61">
        <v>0.8</v>
      </c>
      <c r="P61">
        <v>-270.93191000000002</v>
      </c>
      <c r="Q61">
        <v>2278.7793700000002</v>
      </c>
      <c r="S61" s="27"/>
      <c r="T61" s="27"/>
    </row>
    <row r="62" spans="1:21">
      <c r="A62" s="12" t="s">
        <v>155</v>
      </c>
      <c r="B62" s="47">
        <v>533339</v>
      </c>
      <c r="C62" t="s">
        <v>53</v>
      </c>
      <c r="D62" s="8">
        <v>41489</v>
      </c>
      <c r="E62" s="12">
        <v>5.4350699999999996</v>
      </c>
      <c r="F62" s="12">
        <v>9.4751999999999992</v>
      </c>
      <c r="G62" s="21">
        <v>4.4428999999999998</v>
      </c>
      <c r="H62" s="15">
        <v>2.6157699999999999</v>
      </c>
      <c r="I62" s="18">
        <v>0.11042500000000001</v>
      </c>
      <c r="J62" s="18">
        <v>1.075469438492622</v>
      </c>
      <c r="K62" s="20"/>
      <c r="L62" s="22">
        <v>0</v>
      </c>
      <c r="M62">
        <v>46.843730000000001</v>
      </c>
      <c r="N62" s="27">
        <v>71.45</v>
      </c>
      <c r="O62">
        <v>1</v>
      </c>
      <c r="P62">
        <v>-50.378999999999998</v>
      </c>
      <c r="Q62">
        <v>371.37229000000002</v>
      </c>
      <c r="S62" s="27"/>
      <c r="T62" s="27"/>
    </row>
    <row r="63" spans="1:21">
      <c r="A63" s="12" t="s">
        <v>156</v>
      </c>
      <c r="B63">
        <v>523606</v>
      </c>
      <c r="C63" t="s">
        <v>53</v>
      </c>
      <c r="D63" s="8">
        <v>41498</v>
      </c>
      <c r="E63" s="12">
        <v>6.83725</v>
      </c>
      <c r="F63" s="12">
        <v>2.5916999999999999</v>
      </c>
      <c r="G63" s="21">
        <v>1.9035</v>
      </c>
      <c r="H63" s="15">
        <v>1.89086</v>
      </c>
      <c r="I63" s="18">
        <v>6.1635000000000002E-2</v>
      </c>
      <c r="J63" s="18">
        <v>0.78000098032996745</v>
      </c>
      <c r="K63" s="20"/>
      <c r="L63" s="22">
        <v>0</v>
      </c>
      <c r="M63">
        <v>6.9364400000000002</v>
      </c>
      <c r="N63" s="27">
        <v>38.4</v>
      </c>
      <c r="O63">
        <v>0.6</v>
      </c>
      <c r="P63">
        <v>-5.4104299999999999</v>
      </c>
      <c r="Q63">
        <v>74.021730000000005</v>
      </c>
      <c r="S63" s="27"/>
      <c r="T63" s="27"/>
    </row>
    <row r="64" spans="1:21">
      <c r="A64" s="12" t="s">
        <v>157</v>
      </c>
      <c r="B64" s="48">
        <v>522229</v>
      </c>
      <c r="C64" s="48" t="s">
        <v>53</v>
      </c>
      <c r="D64" s="49">
        <v>41491</v>
      </c>
      <c r="E64" s="50">
        <v>8.6838999999999995</v>
      </c>
      <c r="F64" s="50">
        <v>0</v>
      </c>
      <c r="G64" s="51">
        <v>-0.21890000000000001</v>
      </c>
      <c r="H64" s="52">
        <v>5.3308</v>
      </c>
      <c r="I64" s="53">
        <v>0.26802799999999999</v>
      </c>
      <c r="J64" s="53">
        <v>-21.921576939381094</v>
      </c>
      <c r="K64" s="20"/>
      <c r="L64" s="22">
        <v>0</v>
      </c>
      <c r="M64">
        <v>-2.359</v>
      </c>
      <c r="N64" s="27">
        <v>29.4</v>
      </c>
      <c r="O64">
        <v>0</v>
      </c>
      <c r="P64">
        <v>-51.713000000000001</v>
      </c>
      <c r="Q64">
        <v>536.66399999999999</v>
      </c>
      <c r="S64" s="27"/>
      <c r="T64" s="27"/>
    </row>
    <row r="65" spans="1:20">
      <c r="D65" s="12" t="s">
        <v>165</v>
      </c>
      <c r="E65" s="16">
        <v>-0.23333333333333334</v>
      </c>
      <c r="F65" s="16">
        <v>-0.13333333333333333</v>
      </c>
      <c r="G65" s="16">
        <v>0.53333333333333333</v>
      </c>
      <c r="H65" s="16">
        <v>-0.13333333333333333</v>
      </c>
      <c r="I65" s="16">
        <v>0.46666666666666667</v>
      </c>
      <c r="J65" s="16"/>
      <c r="K65" s="20"/>
      <c r="L65" s="20"/>
      <c r="M65" s="20"/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</row>
    <row r="74" spans="1:20" ht="30">
      <c r="A74" t="s">
        <v>143</v>
      </c>
      <c r="B74" s="9"/>
      <c r="C74" s="2"/>
      <c r="D74" t="s">
        <v>57</v>
      </c>
      <c r="E74" s="12" t="s">
        <v>58</v>
      </c>
      <c r="F74" s="14" t="s">
        <v>59</v>
      </c>
      <c r="G74" s="14" t="s">
        <v>63</v>
      </c>
      <c r="H74" s="14" t="s">
        <v>61</v>
      </c>
      <c r="I74" s="14" t="s">
        <v>62</v>
      </c>
      <c r="J74" s="12"/>
      <c r="K74" s="42"/>
      <c r="L74" s="19" t="s">
        <v>64</v>
      </c>
      <c r="M74" s="2" t="s">
        <v>65</v>
      </c>
      <c r="N74" s="28" t="s">
        <v>66</v>
      </c>
      <c r="O74" s="2" t="s">
        <v>67</v>
      </c>
      <c r="P74" s="2" t="s">
        <v>68</v>
      </c>
      <c r="Q74" s="2" t="s">
        <v>69</v>
      </c>
      <c r="R74" s="2" t="s">
        <v>168</v>
      </c>
    </row>
    <row r="75" spans="1:20">
      <c r="A75" s="2" t="s">
        <v>139</v>
      </c>
      <c r="C75" s="2" t="s">
        <v>140</v>
      </c>
      <c r="D75" s="2" t="s">
        <v>141</v>
      </c>
      <c r="E75" s="12" t="s">
        <v>34</v>
      </c>
      <c r="F75" s="14" t="s">
        <v>33</v>
      </c>
      <c r="G75" s="14" t="s">
        <v>28</v>
      </c>
      <c r="H75" s="14" t="s">
        <v>31</v>
      </c>
      <c r="I75" s="14" t="s">
        <v>30</v>
      </c>
      <c r="J75" s="44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12" t="s">
        <v>158</v>
      </c>
      <c r="B76" t="s">
        <v>130</v>
      </c>
      <c r="C76" t="s">
        <v>132</v>
      </c>
      <c r="D76" s="8">
        <v>41346</v>
      </c>
      <c r="E76" s="12">
        <v>5.8387700000000002</v>
      </c>
      <c r="F76" s="12">
        <v>3.0733999999999999</v>
      </c>
      <c r="G76" s="21">
        <v>17.297499999999999</v>
      </c>
      <c r="H76" s="15">
        <v>1.96753</v>
      </c>
      <c r="I76" s="18">
        <v>0.39031100000000002</v>
      </c>
      <c r="J76" s="18">
        <v>0.4862847646221386</v>
      </c>
      <c r="K76" s="43"/>
      <c r="L76" s="22">
        <v>-26.006</v>
      </c>
      <c r="M76">
        <v>167.87899999999999</v>
      </c>
      <c r="N76" s="27">
        <v>211.4</v>
      </c>
      <c r="O76">
        <v>4.1503199999999998</v>
      </c>
      <c r="P76">
        <v>-81.637</v>
      </c>
      <c r="Q76">
        <v>2888.607</v>
      </c>
      <c r="R76">
        <v>2888.607</v>
      </c>
    </row>
    <row r="77" spans="1:20">
      <c r="A77" s="12" t="s">
        <v>159</v>
      </c>
      <c r="B77" t="s">
        <v>131</v>
      </c>
      <c r="C77" t="s">
        <v>132</v>
      </c>
      <c r="D77" s="8">
        <v>41366</v>
      </c>
      <c r="E77" s="12">
        <v>5.0549499999999998</v>
      </c>
      <c r="F77" s="12">
        <v>0</v>
      </c>
      <c r="G77" s="21">
        <v>20.095500000000001</v>
      </c>
      <c r="H77" s="15">
        <v>0</v>
      </c>
      <c r="I77" s="18">
        <v>0</v>
      </c>
      <c r="J77" s="18">
        <v>0</v>
      </c>
      <c r="K77" s="43"/>
      <c r="L77" s="22">
        <v>0</v>
      </c>
      <c r="M77">
        <v>36.347999999999999</v>
      </c>
      <c r="N77" s="27">
        <v>7.8490000000000002</v>
      </c>
      <c r="O77">
        <v>0</v>
      </c>
      <c r="P77">
        <v>0</v>
      </c>
      <c r="Q77">
        <v>303.39400000000001</v>
      </c>
    </row>
    <row r="78" spans="1:20">
      <c r="A78" s="12" t="s">
        <v>160</v>
      </c>
      <c r="B78" t="s">
        <v>133</v>
      </c>
      <c r="C78" t="s">
        <v>132</v>
      </c>
      <c r="D78" s="8">
        <v>41354</v>
      </c>
      <c r="E78" s="12">
        <v>8.3144899999999993</v>
      </c>
      <c r="F78" s="12">
        <v>0</v>
      </c>
      <c r="G78" s="21">
        <v>3.2170000000000001</v>
      </c>
      <c r="H78" s="15">
        <v>1.20059</v>
      </c>
      <c r="I78" s="18">
        <v>7.4664999999999995E-2</v>
      </c>
      <c r="J78" s="18">
        <v>1.8968749999999999</v>
      </c>
      <c r="K78" s="43"/>
      <c r="L78" s="22">
        <v>-3.7999999999999999E-2</v>
      </c>
      <c r="M78">
        <v>0.32</v>
      </c>
      <c r="N78" s="27">
        <v>1.95</v>
      </c>
      <c r="O78">
        <v>0</v>
      </c>
      <c r="P78">
        <v>-0.60699999999999998</v>
      </c>
      <c r="Q78">
        <v>19.367999999999999</v>
      </c>
    </row>
    <row r="79" spans="1:20">
      <c r="A79" s="12" t="s">
        <v>161</v>
      </c>
      <c r="B79" t="s">
        <v>135</v>
      </c>
      <c r="C79" t="s">
        <v>132</v>
      </c>
      <c r="D79" s="8">
        <v>41354</v>
      </c>
      <c r="E79" s="12">
        <v>5.2729999999999997</v>
      </c>
      <c r="F79" s="12">
        <v>54.098100000000002</v>
      </c>
      <c r="G79" s="21">
        <v>12.5861</v>
      </c>
      <c r="H79" s="15">
        <v>0.20946999999999999</v>
      </c>
      <c r="I79" s="18">
        <v>8.2593E-2</v>
      </c>
      <c r="J79" s="18">
        <v>0.12657397691500524</v>
      </c>
      <c r="K79" s="20"/>
      <c r="L79" s="22">
        <v>0</v>
      </c>
      <c r="M79">
        <v>7.6239999999999997</v>
      </c>
      <c r="N79" s="27">
        <v>39.14</v>
      </c>
      <c r="O79">
        <v>26.216190000000001</v>
      </c>
      <c r="P79">
        <v>-0.96499999999999997</v>
      </c>
      <c r="Q79">
        <v>59.454000000000001</v>
      </c>
    </row>
    <row r="80" spans="1:20">
      <c r="A80" s="12" t="s">
        <v>162</v>
      </c>
      <c r="B80" t="s">
        <v>136</v>
      </c>
      <c r="C80" t="s">
        <v>132</v>
      </c>
      <c r="D80" s="8">
        <v>41348</v>
      </c>
      <c r="E80" s="12">
        <v>6.2588999999999997</v>
      </c>
      <c r="F80" s="12">
        <v>0.94689999999999996</v>
      </c>
      <c r="G80" s="21">
        <v>15.227499999999999</v>
      </c>
      <c r="H80" s="15">
        <v>1.69333</v>
      </c>
      <c r="I80" s="18">
        <v>0.277341</v>
      </c>
      <c r="J80" s="18">
        <v>0.45864374403056346</v>
      </c>
      <c r="K80" s="20"/>
      <c r="L80" s="22">
        <v>0</v>
      </c>
      <c r="M80">
        <v>5.2350000000000003</v>
      </c>
      <c r="N80" s="27">
        <v>20.9</v>
      </c>
      <c r="O80">
        <v>0</v>
      </c>
      <c r="P80">
        <v>-2.4009999999999998</v>
      </c>
      <c r="Q80">
        <v>72.706000000000003</v>
      </c>
    </row>
    <row r="81" spans="1:17">
      <c r="A81" s="12" t="s">
        <v>163</v>
      </c>
      <c r="B81" t="s">
        <v>134</v>
      </c>
      <c r="C81" t="s">
        <v>142</v>
      </c>
      <c r="D81" s="8">
        <v>40268</v>
      </c>
      <c r="E81" s="12">
        <v>0.3629</v>
      </c>
      <c r="F81" s="12">
        <v>0</v>
      </c>
      <c r="G81" s="21">
        <v>6.5109000000000004</v>
      </c>
      <c r="H81" s="15">
        <v>1.16733</v>
      </c>
      <c r="I81" s="18">
        <v>0.107141</v>
      </c>
      <c r="J81" s="18">
        <v>5.5820528983315784E-2</v>
      </c>
      <c r="K81" s="43"/>
      <c r="L81" s="22">
        <v>0</v>
      </c>
      <c r="M81">
        <v>5.48902</v>
      </c>
      <c r="N81" s="27">
        <v>2.9499999999999998E-2</v>
      </c>
      <c r="O81">
        <v>0</v>
      </c>
      <c r="P81">
        <v>-0.30640000000000001</v>
      </c>
      <c r="Q81">
        <v>18.17051</v>
      </c>
    </row>
    <row r="82" spans="1:17">
      <c r="A82" s="12" t="s">
        <v>164</v>
      </c>
      <c r="B82" t="s">
        <v>137</v>
      </c>
      <c r="C82" t="s">
        <v>142</v>
      </c>
      <c r="D82" s="8">
        <v>40615</v>
      </c>
      <c r="E82" s="12" t="s">
        <v>70</v>
      </c>
      <c r="F82" s="12">
        <v>0</v>
      </c>
      <c r="G82" s="21">
        <v>-108.2851</v>
      </c>
      <c r="H82" s="15" t="s">
        <v>70</v>
      </c>
      <c r="I82" s="18">
        <v>0.87640399999999996</v>
      </c>
      <c r="J82" s="18">
        <v>-0.12895426153536169</v>
      </c>
      <c r="K82" s="43"/>
      <c r="L82" s="22">
        <v>0</v>
      </c>
      <c r="M82">
        <v>-4.9630000000000001</v>
      </c>
      <c r="N82" s="27">
        <v>0</v>
      </c>
      <c r="O82">
        <v>0</v>
      </c>
      <c r="P82">
        <v>-0.64</v>
      </c>
      <c r="Q82">
        <v>32.033000000000001</v>
      </c>
    </row>
    <row r="83" spans="1:17">
      <c r="D83" s="12" t="s">
        <v>24</v>
      </c>
      <c r="E83" s="16">
        <v>-0.05</v>
      </c>
      <c r="F83" s="16">
        <v>-0.25714285714285712</v>
      </c>
      <c r="G83" s="16">
        <v>0.6</v>
      </c>
      <c r="H83" s="16">
        <v>0.14285714285714285</v>
      </c>
      <c r="I83" s="16">
        <v>0.88571428571428568</v>
      </c>
      <c r="J83" s="16"/>
      <c r="K83" s="20"/>
      <c r="L83" s="20"/>
      <c r="M83" s="20"/>
    </row>
    <row r="85" spans="1:17">
      <c r="A85" s="38"/>
    </row>
    <row r="92" spans="1:17">
      <c r="A92" s="46" t="s">
        <v>72</v>
      </c>
    </row>
    <row r="93" spans="1:17">
      <c r="A93" t="s">
        <v>73</v>
      </c>
    </row>
    <row r="94" spans="1:17">
      <c r="A94" t="s">
        <v>74</v>
      </c>
    </row>
    <row r="95" spans="1:17">
      <c r="A95" t="s">
        <v>75</v>
      </c>
    </row>
    <row r="96" spans="1:17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U111"/>
  <sheetViews>
    <sheetView topLeftCell="L64" zoomScaleNormal="100" workbookViewId="0">
      <selection activeCell="L65" sqref="A1:XFD1048576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4" width="15.5703125" customWidth="1"/>
    <col min="5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7" width="9.7109375" customWidth="1"/>
    <col min="18" max="18" width="17.4257812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tr">
        <f>"IQ_FILINGDATE_BS"</f>
        <v>IQ_FILINGDATE_BS</v>
      </c>
      <c r="E6" s="12" t="str">
        <f>"IQ_TEV_EBITDA"</f>
        <v>IQ_TEV_EBITDA</v>
      </c>
      <c r="F6" s="14" t="str">
        <f>"IQ_DIVIDEND_YIELD"</f>
        <v>IQ_DIVIDEND_YIELD</v>
      </c>
      <c r="G6" s="14" t="str">
        <f>"IQ_CAPEX_PCT_REV"</f>
        <v>IQ_CAPEX_PCT_REV</v>
      </c>
      <c r="H6" s="14" t="str">
        <f>"IQ_TOTAL_DEBT_EBITDA"</f>
        <v>IQ_TOTAL_DEBT_EBITDA</v>
      </c>
      <c r="I6" s="14" t="str">
        <f>"IQ_TOTAL_DEBT_CAPITAL"</f>
        <v>IQ_TOTAL_DEBT_CAPITAL</v>
      </c>
      <c r="J6" s="14" t="str">
        <f>"IQ_RETURN_EQUITY"</f>
        <v>IQ_RETURN_EQUITY</v>
      </c>
      <c r="K6" s="25" t="str">
        <f>K7</f>
        <v>Repurchase payout ratio</v>
      </c>
      <c r="L6" s="19" t="str">
        <f>"IQ_COMMON_REP"</f>
        <v>IQ_COMMON_REP</v>
      </c>
      <c r="M6" s="2" t="str">
        <f>"IQ_NI"</f>
        <v>IQ_NI</v>
      </c>
      <c r="N6" s="28" t="str">
        <f>"IQ_LASTSALEPRICE"</f>
        <v>IQ_LASTSALEPRICE</v>
      </c>
      <c r="O6" s="2" t="str">
        <f>"IQ_ANNUALIZED_DIVIDEND"</f>
        <v>IQ_ANNUALIZED_DIVIDEND</v>
      </c>
      <c r="P6" s="2" t="str">
        <f>"IQ_CAPEX"</f>
        <v>IQ_CAPEX</v>
      </c>
      <c r="Q6" s="2" t="str">
        <f>"IQ_TOTAL_REV"</f>
        <v>IQ_TOTAL_REV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f>_xll.ciqfunctions.udf.CIQ($F$4, D$6,C8)</f>
        <v>41957</v>
      </c>
      <c r="E8" s="12">
        <f>_xll.ciqfunctions.udf.CIQ($F$4,$E$6, , D8)</f>
        <v>5.1093799999999998</v>
      </c>
      <c r="F8" s="12">
        <f>_xll.ciqfunctions.udf.CIQ($F$4, F$6, D8)/100</f>
        <v>3.8179999999999998E-3</v>
      </c>
      <c r="G8" s="12">
        <f>_xll.ciqfunctions.udf.CIQ($F$4, G$6, C8)/100</f>
        <v>0</v>
      </c>
      <c r="H8" s="15">
        <f>_xll.ciqfunctions.udf.CIQ($F$4, H$6, C8)</f>
        <v>1.9659899999999999</v>
      </c>
      <c r="I8" s="18">
        <f>_xll.ciqfunctions.udf.CIQ($F$4, I$6,  C8)/100</f>
        <v>0.47100799999999998</v>
      </c>
      <c r="J8" s="21">
        <f>_xll.ciqfunctions.udf.CIQ($F$4, J$6,  C8)</f>
        <v>19.721599999999999</v>
      </c>
      <c r="K8" s="26">
        <f t="shared" ref="K8:K28" si="0">-L8/M8</f>
        <v>0</v>
      </c>
      <c r="L8" s="22">
        <f>_xll.ciqfunctions.udf.CIQ($F$4, L$6,  C8)</f>
        <v>0</v>
      </c>
      <c r="M8">
        <f>_xll.ciqfunctions.udf.CIQ($F$4, M$6, C8)</f>
        <v>32908.6</v>
      </c>
      <c r="N8" s="27">
        <f>_xll.ciqfunctions.udf.CIQ($F$4, N$6,D8)</f>
        <v>523.79999999999995</v>
      </c>
      <c r="O8">
        <f>_xll.ciqfunctions.udf.CIQ($F$4, O$6,D8)</f>
        <v>2</v>
      </c>
      <c r="P8">
        <f>_xll.ciqfunctions.udf.CIQ($F$4, P$6, C8)</f>
        <v>0</v>
      </c>
      <c r="Q8">
        <f>_xll.ciqfunctions.udf.CIQ($F$4, Q$6, C8)</f>
        <v>601639.9</v>
      </c>
      <c r="U8" s="7"/>
    </row>
    <row r="9" spans="1:21">
      <c r="C9">
        <v>499</v>
      </c>
      <c r="D9" s="8">
        <f>_xll.ciqfunctions.udf.CIQ($F$4, D$6,C9)</f>
        <v>41935</v>
      </c>
      <c r="E9" s="12">
        <f>_xll.ciqfunctions.udf.CIQ($F$4,$E$6, , D9)</f>
        <v>5.33005</v>
      </c>
      <c r="F9" s="12">
        <f>_xll.ciqfunctions.udf.CIQ($F$4, F$6, D9)/100</f>
        <v>3.8679999999999999E-3</v>
      </c>
      <c r="G9" s="12">
        <f>_xll.ciqfunctions.udf.CIQ($F$4, G$6, C9)/100</f>
        <v>0</v>
      </c>
      <c r="H9" s="15">
        <f>_xll.ciqfunctions.udf.CIQ($F$4, H$6, C9)</f>
        <v>1.6374299999999999</v>
      </c>
      <c r="I9" s="18">
        <f>_xll.ciqfunctions.udf.CIQ($F$4, I$6,  C9)/100</f>
        <v>0.48616999999999999</v>
      </c>
      <c r="J9" s="21">
        <f>_xll.ciqfunctions.udf.CIQ($F$4, J$6,  C9)</f>
        <v>32.825600000000001</v>
      </c>
      <c r="K9" s="26">
        <f t="shared" si="0"/>
        <v>0</v>
      </c>
      <c r="L9" s="22">
        <f>_xll.ciqfunctions.udf.CIQ($F$4, L$6,  C9)</f>
        <v>0</v>
      </c>
      <c r="M9">
        <f>_xll.ciqfunctions.udf.CIQ($F$4, M$6, C9)</f>
        <v>53982.1</v>
      </c>
      <c r="N9" s="27">
        <f>_xll.ciqfunctions.udf.CIQ($F$4, N$6,D9)</f>
        <v>516.95000000000005</v>
      </c>
      <c r="O9">
        <f>_xll.ciqfunctions.udf.CIQ($F$4, O$6,D9)</f>
        <v>2</v>
      </c>
      <c r="P9">
        <f>_xll.ciqfunctions.udf.CIQ($F$4, P$6, C9)</f>
        <v>0</v>
      </c>
      <c r="Q9">
        <f>_xll.ciqfunctions.udf.CIQ($F$4, Q$6, C9)</f>
        <v>641507.4</v>
      </c>
      <c r="U9" s="7"/>
    </row>
    <row r="10" spans="1:21">
      <c r="C10">
        <v>498</v>
      </c>
      <c r="D10" s="8">
        <f>_xll.ciqfunctions.udf.CIQ($F$4, D$6,C10)</f>
        <v>41935</v>
      </c>
      <c r="E10" s="12">
        <f>_xll.ciqfunctions.udf.CIQ($F$4,$E$6, , D10)</f>
        <v>5.33005</v>
      </c>
      <c r="F10" s="12">
        <f>_xll.ciqfunctions.udf.CIQ($F$4, F$6, D10)/100</f>
        <v>3.8679999999999999E-3</v>
      </c>
      <c r="G10" s="12">
        <f>_xll.ciqfunctions.udf.CIQ($F$4, G$6, C10)/100</f>
        <v>0</v>
      </c>
      <c r="H10" s="15">
        <f>_xll.ciqfunctions.udf.CIQ($F$4, H$6, C10)</f>
        <v>1.8904399999999999</v>
      </c>
      <c r="I10" s="18">
        <f>_xll.ciqfunctions.udf.CIQ($F$4, I$6,  C10)/100</f>
        <v>0.48616999999999999</v>
      </c>
      <c r="J10" s="21">
        <f>_xll.ciqfunctions.udf.CIQ($F$4, J$6,  C10)</f>
        <v>25.893599999999999</v>
      </c>
      <c r="K10" s="26">
        <f t="shared" si="0"/>
        <v>0</v>
      </c>
      <c r="L10" s="22">
        <f>_xll.ciqfunctions.udf.CIQ($F$4, L$6,  C10)</f>
        <v>0</v>
      </c>
      <c r="M10">
        <f>_xll.ciqfunctions.udf.CIQ($F$4, M$6, C10)</f>
        <v>39182.9</v>
      </c>
      <c r="N10" s="27">
        <f>_xll.ciqfunctions.udf.CIQ($F$4, N$6,D10)</f>
        <v>516.95000000000005</v>
      </c>
      <c r="O10">
        <f>_xll.ciqfunctions.udf.CIQ($F$4, O$6,D10)</f>
        <v>2</v>
      </c>
      <c r="P10">
        <f>_xll.ciqfunctions.udf.CIQ($F$4, P$6, C10)</f>
        <v>0</v>
      </c>
      <c r="Q10">
        <f>_xll.ciqfunctions.udf.CIQ($F$4, Q$6, C10)</f>
        <v>668451.19999999995</v>
      </c>
      <c r="U10" s="7"/>
    </row>
    <row r="11" spans="1:21">
      <c r="C11">
        <v>497</v>
      </c>
      <c r="D11" s="8">
        <f>_xll.ciqfunctions.udf.CIQ($F$4, D$6,C11)</f>
        <v>41680</v>
      </c>
      <c r="E11" s="12">
        <f>_xll.ciqfunctions.udf.CIQ($F$4,$E$6, , D11)</f>
        <v>4.9174699999999998</v>
      </c>
      <c r="F11" s="12">
        <f>_xll.ciqfunctions.udf.CIQ($F$4, F$6, D11)/100</f>
        <v>5.4939999999999998E-3</v>
      </c>
      <c r="G11" s="12">
        <f>_xll.ciqfunctions.udf.CIQ($F$4, G$6, C11)/100</f>
        <v>0</v>
      </c>
      <c r="H11" s="15">
        <f>_xll.ciqfunctions.udf.CIQ($F$4, H$6, C11)</f>
        <v>1.7057500000000001</v>
      </c>
      <c r="I11" s="18">
        <f>_xll.ciqfunctions.udf.CIQ($F$4, I$6,  C11)/100</f>
        <v>0.497861</v>
      </c>
      <c r="J11" s="21">
        <f>_xll.ciqfunctions.udf.CIQ($F$4, J$6,  C11)</f>
        <v>34.586399999999998</v>
      </c>
      <c r="K11" s="26">
        <f t="shared" si="0"/>
        <v>0</v>
      </c>
      <c r="L11" s="22">
        <f>_xll.ciqfunctions.udf.CIQ($F$4, L$6,  C11)</f>
        <v>0</v>
      </c>
      <c r="M11">
        <f>_xll.ciqfunctions.udf.CIQ($F$4, M$6, C11)</f>
        <v>48048</v>
      </c>
      <c r="N11" s="27">
        <f>_xll.ciqfunctions.udf.CIQ($F$4, N$6,D11)</f>
        <v>364</v>
      </c>
      <c r="O11">
        <f>_xll.ciqfunctions.udf.CIQ($F$4, O$6,D11)</f>
        <v>2</v>
      </c>
      <c r="P11">
        <f>_xll.ciqfunctions.udf.CIQ($F$4, P$6, C11)</f>
        <v>0</v>
      </c>
      <c r="Q11">
        <f>_xll.ciqfunctions.udf.CIQ($F$4, Q$6, C11)</f>
        <v>635360.6</v>
      </c>
      <c r="U11" s="7"/>
    </row>
    <row r="12" spans="1:21">
      <c r="C12">
        <v>496</v>
      </c>
      <c r="D12" s="8">
        <f>_xll.ciqfunctions.udf.CIQ($F$4, D$6,C12)</f>
        <v>41586</v>
      </c>
      <c r="E12" s="12">
        <f>_xll.ciqfunctions.udf.CIQ($F$4,$E$6, , D12)</f>
        <v>5.9828599999999996</v>
      </c>
      <c r="F12" s="12">
        <f>_xll.ciqfunctions.udf.CIQ($F$4, F$6, D12)/100</f>
        <v>5.1939999999999998E-3</v>
      </c>
      <c r="G12" s="12">
        <f>_xll.ciqfunctions.udf.CIQ($F$4, G$6, C12)/100</f>
        <v>0</v>
      </c>
      <c r="H12" s="15">
        <f>_xll.ciqfunctions.udf.CIQ($F$4, H$6, C12)</f>
        <v>1.9999400000000001</v>
      </c>
      <c r="I12" s="18">
        <f>_xll.ciqfunctions.udf.CIQ($F$4, I$6,  C12)/100</f>
        <v>0.497861</v>
      </c>
      <c r="J12" s="21">
        <f>_xll.ciqfunctions.udf.CIQ($F$4, J$6,  C12)</f>
        <v>30.338799999999999</v>
      </c>
      <c r="K12" s="26">
        <f t="shared" si="0"/>
        <v>0</v>
      </c>
      <c r="L12" s="22">
        <f>_xll.ciqfunctions.udf.CIQ($F$4, L$6,  C12)</f>
        <v>0</v>
      </c>
      <c r="M12">
        <f>_xll.ciqfunctions.udf.CIQ($F$4, M$6, C12)</f>
        <v>35418.6</v>
      </c>
      <c r="N12" s="27">
        <f>_xll.ciqfunctions.udf.CIQ($F$4, N$6,D12)</f>
        <v>385</v>
      </c>
      <c r="O12">
        <f>_xll.ciqfunctions.udf.CIQ($F$4, O$6,D12)</f>
        <v>2</v>
      </c>
      <c r="P12">
        <f>_xll.ciqfunctions.udf.CIQ($F$4, P$6, C12)</f>
        <v>0</v>
      </c>
      <c r="Q12">
        <f>_xll.ciqfunctions.udf.CIQ($F$4, Q$6, C12)</f>
        <v>557012.19999999995</v>
      </c>
      <c r="U12" s="7"/>
    </row>
    <row r="13" spans="1:21">
      <c r="C13">
        <v>495</v>
      </c>
      <c r="D13" s="8">
        <f>_xll.ciqfunctions.udf.CIQ($F$4, D$6,C13)</f>
        <v>41935</v>
      </c>
      <c r="E13" s="12">
        <f>_xll.ciqfunctions.udf.CIQ($F$4,$E$6, , D13)</f>
        <v>5.33005</v>
      </c>
      <c r="F13" s="12">
        <f>_xll.ciqfunctions.udf.CIQ($F$4, F$6, D13)/100</f>
        <v>3.8679999999999999E-3</v>
      </c>
      <c r="G13" s="12">
        <f>_xll.ciqfunctions.udf.CIQ($F$4, G$6, C13)/100</f>
        <v>0</v>
      </c>
      <c r="H13" s="15">
        <f>_xll.ciqfunctions.udf.CIQ($F$4, H$6, C13)</f>
        <v>2.8290899999999999</v>
      </c>
      <c r="I13" s="18">
        <f>_xll.ciqfunctions.udf.CIQ($F$4, I$6,  C13)/100</f>
        <v>0.59229900000000002</v>
      </c>
      <c r="J13" s="21">
        <f>_xll.ciqfunctions.udf.CIQ($F$4, J$6,  C13)</f>
        <v>18.3736</v>
      </c>
      <c r="K13" s="26">
        <f t="shared" si="0"/>
        <v>0</v>
      </c>
      <c r="L13" s="22">
        <f>_xll.ciqfunctions.udf.CIQ($F$4, L$6,  C13)</f>
        <v>0</v>
      </c>
      <c r="M13">
        <f>_xll.ciqfunctions.udf.CIQ($F$4, M$6, C13)</f>
        <v>17260.7</v>
      </c>
      <c r="N13" s="27">
        <f>_xll.ciqfunctions.udf.CIQ($F$4, N$6,D13)</f>
        <v>516.95000000000005</v>
      </c>
      <c r="O13">
        <f>_xll.ciqfunctions.udf.CIQ($F$4, O$6,D13)</f>
        <v>2</v>
      </c>
      <c r="P13">
        <f>_xll.ciqfunctions.udf.CIQ($F$4, P$6, C13)</f>
        <v>0</v>
      </c>
      <c r="Q13">
        <f>_xll.ciqfunctions.udf.CIQ($F$4, Q$6, C13)</f>
        <v>467619.1</v>
      </c>
      <c r="U13" s="7"/>
    </row>
    <row r="14" spans="1:21">
      <c r="C14">
        <v>494</v>
      </c>
      <c r="D14" s="8">
        <f>_xll.ciqfunctions.udf.CIQ($F$4, D$6,C14)</f>
        <v>41935</v>
      </c>
      <c r="E14" s="12">
        <f>_xll.ciqfunctions.udf.CIQ($F$4,$E$6, , D14)</f>
        <v>5.33005</v>
      </c>
      <c r="F14" s="12">
        <f>_xll.ciqfunctions.udf.CIQ($F$4, F$6, D14)/100</f>
        <v>3.8679999999999999E-3</v>
      </c>
      <c r="G14" s="12">
        <f>_xll.ciqfunctions.udf.CIQ($F$4, G$6, C14)/100</f>
        <v>0</v>
      </c>
      <c r="H14" s="15">
        <f>_xll.ciqfunctions.udf.CIQ($F$4, H$6, C14)</f>
        <v>2.1301299999999999</v>
      </c>
      <c r="I14" s="18">
        <f>_xll.ciqfunctions.udf.CIQ($F$4, I$6,  C14)/100</f>
        <v>0.59229900000000002</v>
      </c>
      <c r="J14" s="21">
        <f>_xll.ciqfunctions.udf.CIQ($F$4, J$6,  C14)</f>
        <v>40.281999999999996</v>
      </c>
      <c r="K14" s="26">
        <f t="shared" si="0"/>
        <v>0</v>
      </c>
      <c r="L14" s="22">
        <f>_xll.ciqfunctions.udf.CIQ($F$4, L$6,  C14)</f>
        <v>0</v>
      </c>
      <c r="M14">
        <f>_xll.ciqfunctions.udf.CIQ($F$4, M$6, C14)</f>
        <v>39454.699999999997</v>
      </c>
      <c r="N14" s="27">
        <f>_xll.ciqfunctions.udf.CIQ($F$4, N$6,D14)</f>
        <v>516.95000000000005</v>
      </c>
      <c r="O14">
        <f>_xll.ciqfunctions.udf.CIQ($F$4, O$6,D14)</f>
        <v>2</v>
      </c>
      <c r="P14">
        <f>_xll.ciqfunctions.udf.CIQ($F$4, P$6, C14)</f>
        <v>0</v>
      </c>
      <c r="Q14">
        <f>_xll.ciqfunctions.udf.CIQ($F$4, Q$6, C14)</f>
        <v>569813.5</v>
      </c>
      <c r="U14" s="7"/>
    </row>
    <row r="15" spans="1:21">
      <c r="C15">
        <v>493</v>
      </c>
      <c r="D15" s="8">
        <f>_xll.ciqfunctions.udf.CIQ($F$4, D$6,C15)</f>
        <v>41319</v>
      </c>
      <c r="E15" s="12">
        <f>_xll.ciqfunctions.udf.CIQ($F$4,$E$6, , D15)</f>
        <v>5.3992199999999997</v>
      </c>
      <c r="F15" s="12">
        <f>_xll.ciqfunctions.udf.CIQ($F$4, F$6, D15)/100</f>
        <v>1.3481E-2</v>
      </c>
      <c r="G15" s="12">
        <f>_xll.ciqfunctions.udf.CIQ($F$4, G$6, C15)/100</f>
        <v>0</v>
      </c>
      <c r="H15" s="15">
        <f>_xll.ciqfunctions.udf.CIQ($F$4, H$6, C15)</f>
        <v>2.35806</v>
      </c>
      <c r="I15" s="18">
        <f>_xll.ciqfunctions.udf.CIQ($F$4, I$6,  C15)/100</f>
        <v>0.50619700000000001</v>
      </c>
      <c r="J15" s="21">
        <f>_xll.ciqfunctions.udf.CIQ($F$4, J$6,  C15)</f>
        <v>16.1432</v>
      </c>
      <c r="K15" s="26">
        <f t="shared" si="0"/>
        <v>0</v>
      </c>
      <c r="L15" s="22">
        <f>_xll.ciqfunctions.udf.CIQ($F$4, L$6,  C15)</f>
        <v>0</v>
      </c>
      <c r="M15">
        <f>_xll.ciqfunctions.udf.CIQ($F$4, M$6, C15)</f>
        <v>16275</v>
      </c>
      <c r="N15" s="27">
        <f>_xll.ciqfunctions.udf.CIQ($F$4, N$6,D15)</f>
        <v>296.7</v>
      </c>
      <c r="O15">
        <f>_xll.ciqfunctions.udf.CIQ($F$4, O$6,D15)</f>
        <v>4</v>
      </c>
      <c r="P15">
        <f>_xll.ciqfunctions.udf.CIQ($F$4, P$6, C15)</f>
        <v>0</v>
      </c>
      <c r="Q15">
        <f>_xll.ciqfunctions.udf.CIQ($F$4, Q$6, C15)</f>
        <v>458213.1</v>
      </c>
      <c r="U15" s="7"/>
    </row>
    <row r="16" spans="1:21">
      <c r="C16">
        <v>492</v>
      </c>
      <c r="D16" s="8">
        <f>_xll.ciqfunctions.udf.CIQ($F$4, D$6,C16)</f>
        <v>41220</v>
      </c>
      <c r="E16" s="12">
        <f>_xll.ciqfunctions.udf.CIQ($F$4,$E$6, , D16)</f>
        <v>4.6510899999999999</v>
      </c>
      <c r="F16" s="12">
        <f>_xll.ciqfunctions.udf.CIQ($F$4, F$6, D16)/100</f>
        <v>1.4856000000000001E-2</v>
      </c>
      <c r="G16" s="12">
        <f>_xll.ciqfunctions.udf.CIQ($F$4, G$6, C16)/100</f>
        <v>0</v>
      </c>
      <c r="H16" s="15">
        <f>_xll.ciqfunctions.udf.CIQ($F$4, H$6, C16)</f>
        <v>2.2797700000000001</v>
      </c>
      <c r="I16" s="18">
        <f>_xll.ciqfunctions.udf.CIQ($F$4, I$6,  C16)/100</f>
        <v>0.50619700000000001</v>
      </c>
      <c r="J16" s="21">
        <f>_xll.ciqfunctions.udf.CIQ($F$4, J$6,  C16)</f>
        <v>22.6296</v>
      </c>
      <c r="K16" s="26">
        <f t="shared" si="0"/>
        <v>0</v>
      </c>
      <c r="L16" s="22">
        <f>_xll.ciqfunctions.udf.CIQ($F$4, L$6,  C16)</f>
        <v>0</v>
      </c>
      <c r="M16">
        <f>_xll.ciqfunctions.udf.CIQ($F$4, M$6, C16)</f>
        <v>20747.3</v>
      </c>
      <c r="N16" s="27">
        <f>_xll.ciqfunctions.udf.CIQ($F$4, N$6,D16)</f>
        <v>269.25</v>
      </c>
      <c r="O16">
        <f>_xll.ciqfunctions.udf.CIQ($F$4, O$6,D16)</f>
        <v>4</v>
      </c>
      <c r="P16">
        <f>_xll.ciqfunctions.udf.CIQ($F$4, P$6, C16)</f>
        <v>0</v>
      </c>
      <c r="Q16">
        <f>_xll.ciqfunctions.udf.CIQ($F$4, Q$6, C16)</f>
        <v>428189</v>
      </c>
      <c r="U16" s="7"/>
    </row>
    <row r="17" spans="3:21">
      <c r="C17">
        <v>491</v>
      </c>
      <c r="D17" s="8">
        <f>_xll.ciqfunctions.udf.CIQ($F$4, D$6,C17)</f>
        <v>41130</v>
      </c>
      <c r="E17" s="12">
        <f>_xll.ciqfunctions.udf.CIQ($F$4,$E$6, , D17)</f>
        <v>4.5370600000000003</v>
      </c>
      <c r="F17" s="12">
        <f>_xll.ciqfunctions.udf.CIQ($F$4, F$6, D17)/100</f>
        <v>1.6711E-2</v>
      </c>
      <c r="G17" s="12">
        <f>_xll.ciqfunctions.udf.CIQ($F$4, G$6, C17)/100</f>
        <v>0</v>
      </c>
      <c r="H17" s="15">
        <f>_xll.ciqfunctions.udf.CIQ($F$4, H$6, C17)</f>
        <v>2.40794</v>
      </c>
      <c r="I17" s="18">
        <f>_xll.ciqfunctions.udf.CIQ($F$4, I$6,  C17)/100</f>
        <v>0.59128599999999998</v>
      </c>
      <c r="J17" s="21">
        <f>_xll.ciqfunctions.udf.CIQ($F$4, J$6,  C17)</f>
        <v>27.1692</v>
      </c>
      <c r="K17" s="26">
        <f t="shared" si="0"/>
        <v>0</v>
      </c>
      <c r="L17" s="22">
        <f>_xll.ciqfunctions.udf.CIQ($F$4, L$6,  C17)</f>
        <v>0</v>
      </c>
      <c r="M17">
        <f>_xll.ciqfunctions.udf.CIQ($F$4, M$6, C17)</f>
        <v>22449.1</v>
      </c>
      <c r="N17" s="27">
        <f>_xll.ciqfunctions.udf.CIQ($F$4, N$6,D17)</f>
        <v>239.35</v>
      </c>
      <c r="O17">
        <f>_xll.ciqfunctions.udf.CIQ($F$4, O$6,D17)</f>
        <v>4</v>
      </c>
      <c r="P17">
        <f>_xll.ciqfunctions.udf.CIQ($F$4, P$6, C17)</f>
        <v>0</v>
      </c>
      <c r="Q17">
        <f>_xll.ciqfunctions.udf.CIQ($F$4, Q$6, C17)</f>
        <v>431711.3</v>
      </c>
      <c r="U17" s="7"/>
    </row>
    <row r="18" spans="3:21">
      <c r="C18">
        <v>490</v>
      </c>
      <c r="D18" s="8">
        <f>_xll.ciqfunctions.udf.CIQ($F$4, D$6,C18)</f>
        <v>41449</v>
      </c>
      <c r="E18" s="12">
        <f>_xll.ciqfunctions.udf.CIQ($F$4,$E$6, , D18)</f>
        <v>5.25014</v>
      </c>
      <c r="F18" s="12">
        <f>_xll.ciqfunctions.udf.CIQ($F$4, F$6, D18)/100</f>
        <v>7.0499999999999998E-3</v>
      </c>
      <c r="G18" s="12">
        <f>_xll.ciqfunctions.udf.CIQ($F$4, G$6, C18)/100</f>
        <v>0</v>
      </c>
      <c r="H18" s="15">
        <f>_xll.ciqfunctions.udf.CIQ($F$4, H$6, C18)</f>
        <v>2.00163</v>
      </c>
      <c r="I18" s="18">
        <f>_xll.ciqfunctions.udf.CIQ($F$4, I$6,  C18)/100</f>
        <v>0.59456500000000001</v>
      </c>
      <c r="J18" s="21">
        <f>_xll.ciqfunctions.udf.CIQ($F$4, J$6,  C18)</f>
        <v>88.641999999999996</v>
      </c>
      <c r="K18" s="26">
        <f t="shared" si="0"/>
        <v>0</v>
      </c>
      <c r="L18" s="22">
        <f>_xll.ciqfunctions.udf.CIQ($F$4, L$6,  C18)</f>
        <v>0</v>
      </c>
      <c r="M18">
        <f>_xll.ciqfunctions.udf.CIQ($F$4, M$6, C18)</f>
        <v>62340</v>
      </c>
      <c r="N18" s="27">
        <f>_xll.ciqfunctions.udf.CIQ($F$4, N$6,D18)</f>
        <v>283.64999999999998</v>
      </c>
      <c r="O18">
        <f>_xll.ciqfunctions.udf.CIQ($F$4, O$6,D18)</f>
        <v>2</v>
      </c>
      <c r="P18">
        <f>_xll.ciqfunctions.udf.CIQ($F$4, P$6, C18)</f>
        <v>0</v>
      </c>
      <c r="Q18">
        <f>_xll.ciqfunctions.udf.CIQ($F$4, Q$6, C18)</f>
        <v>514086.1</v>
      </c>
      <c r="U18" s="7"/>
    </row>
    <row r="19" spans="3:21">
      <c r="C19">
        <v>489</v>
      </c>
      <c r="D19" s="8">
        <f>_xll.ciqfunctions.udf.CIQ($F$4, D$6,C19)</f>
        <v>40953</v>
      </c>
      <c r="E19" s="12">
        <f>_xll.ciqfunctions.udf.CIQ($F$4,$E$6, , D19)</f>
        <v>5.6076499999999996</v>
      </c>
      <c r="F19" s="12">
        <f>_xll.ciqfunctions.udf.CIQ($F$4, F$6, D19)/100</f>
        <v>1.4930000000000001E-2</v>
      </c>
      <c r="G19" s="12">
        <f>_xll.ciqfunctions.udf.CIQ($F$4, G$6, C19)/100</f>
        <v>0</v>
      </c>
      <c r="H19" s="15">
        <f>_xll.ciqfunctions.udf.CIQ($F$4, H$6, C19)</f>
        <v>1.83128</v>
      </c>
      <c r="I19" s="18">
        <f>_xll.ciqfunctions.udf.CIQ($F$4, I$6,  C19)/100</f>
        <v>0.65197900000000009</v>
      </c>
      <c r="J19" s="21">
        <f>_xll.ciqfunctions.udf.CIQ($F$4, J$6,  C19)</f>
        <v>58.391599999999997</v>
      </c>
      <c r="K19" s="26">
        <f t="shared" si="0"/>
        <v>0</v>
      </c>
      <c r="L19" s="22">
        <f>_xll.ciqfunctions.udf.CIQ($F$4, L$6,  C19)</f>
        <v>0</v>
      </c>
      <c r="M19">
        <f>_xll.ciqfunctions.udf.CIQ($F$4, M$6, C19)</f>
        <v>34055.5</v>
      </c>
      <c r="N19" s="27">
        <f>_xll.ciqfunctions.udf.CIQ($F$4, N$6,D19)</f>
        <v>267.89999999999998</v>
      </c>
      <c r="O19">
        <f>_xll.ciqfunctions.udf.CIQ($F$4, O$6,D19)</f>
        <v>4</v>
      </c>
      <c r="P19">
        <f>_xll.ciqfunctions.udf.CIQ($F$4, P$6, C19)</f>
        <v>0</v>
      </c>
      <c r="Q19">
        <f>_xll.ciqfunctions.udf.CIQ($F$4, Q$6, C19)</f>
        <v>451992.9</v>
      </c>
      <c r="U19" s="7"/>
    </row>
    <row r="20" spans="3:21">
      <c r="C20">
        <v>488</v>
      </c>
      <c r="D20" s="8">
        <f>_xll.ciqfunctions.udf.CIQ($F$4, D$6,C20)</f>
        <v>40861</v>
      </c>
      <c r="E20" s="12">
        <f>_xll.ciqfunctions.udf.CIQ($F$4,$E$6, , D20)</f>
        <v>4.7240700000000002</v>
      </c>
      <c r="F20" s="12">
        <f>_xll.ciqfunctions.udf.CIQ($F$4, F$6, D20)/100</f>
        <v>2.2484000000000001E-2</v>
      </c>
      <c r="G20" s="12">
        <f>_xll.ciqfunctions.udf.CIQ($F$4, G$6, C20)/100</f>
        <v>0</v>
      </c>
      <c r="H20" s="15">
        <f>_xll.ciqfunctions.udf.CIQ($F$4, H$6, C20)</f>
        <v>2.7724799999999998</v>
      </c>
      <c r="I20" s="18">
        <f>_xll.ciqfunctions.udf.CIQ($F$4, I$6,  C20)/100</f>
        <v>0.65197900000000009</v>
      </c>
      <c r="J20" s="21">
        <f>_xll.ciqfunctions.udf.CIQ($F$4, J$6,  C20)</f>
        <v>35.641199999999998</v>
      </c>
      <c r="K20" s="26">
        <f t="shared" si="0"/>
        <v>0</v>
      </c>
      <c r="L20" s="22">
        <f>_xll.ciqfunctions.udf.CIQ($F$4, L$6,  C20)</f>
        <v>0</v>
      </c>
      <c r="M20">
        <f>_xll.ciqfunctions.udf.CIQ($F$4, M$6, C20)</f>
        <v>18773.3</v>
      </c>
      <c r="N20" s="27">
        <f>_xll.ciqfunctions.udf.CIQ($F$4, N$6,D20)</f>
        <v>177.9</v>
      </c>
      <c r="O20">
        <f>_xll.ciqfunctions.udf.CIQ($F$4, O$6,D20)</f>
        <v>4</v>
      </c>
      <c r="P20">
        <f>_xll.ciqfunctions.udf.CIQ($F$4, P$6, C20)</f>
        <v>0</v>
      </c>
      <c r="Q20">
        <f>_xll.ciqfunctions.udf.CIQ($F$4, Q$6, C20)</f>
        <v>359384.7</v>
      </c>
      <c r="U20" s="7"/>
    </row>
    <row r="21" spans="3:21">
      <c r="C21">
        <v>487</v>
      </c>
      <c r="D21" s="8">
        <f>_xll.ciqfunctions.udf.CIQ($F$4, D$6,C21)</f>
        <v>40766</v>
      </c>
      <c r="E21" s="12">
        <f>_xll.ciqfunctions.udf.CIQ($F$4,$E$6, , D21)</f>
        <v>4.25678</v>
      </c>
      <c r="F21" s="12">
        <f>_xll.ciqfunctions.udf.CIQ($F$4, F$6, D21)/100</f>
        <v>2.3650999999999998E-2</v>
      </c>
      <c r="G21" s="12">
        <f>_xll.ciqfunctions.udf.CIQ($F$4, G$6, C21)/100</f>
        <v>0</v>
      </c>
      <c r="H21" s="15">
        <f>_xll.ciqfunctions.udf.CIQ($F$4, H$6, C21)</f>
        <v>2.1107399999999998</v>
      </c>
      <c r="I21" s="18">
        <f>_xll.ciqfunctions.udf.CIQ($F$4, I$6,  C21)/100</f>
        <v>0.62812000000000001</v>
      </c>
      <c r="J21" s="21">
        <f>_xll.ciqfunctions.udf.CIQ($F$4, J$6,  C21)</f>
        <v>41.2712</v>
      </c>
      <c r="K21" s="26">
        <f t="shared" si="0"/>
        <v>0</v>
      </c>
      <c r="L21" s="22">
        <f>_xll.ciqfunctions.udf.CIQ($F$4, L$6,  C21)</f>
        <v>0</v>
      </c>
      <c r="M21">
        <f>_xll.ciqfunctions.udf.CIQ($F$4, M$6, C21)</f>
        <v>19996.2</v>
      </c>
      <c r="N21" s="27">
        <f>_xll.ciqfunctions.udf.CIQ($F$4, N$6,D21)</f>
        <v>169.12</v>
      </c>
      <c r="O21">
        <f>_xll.ciqfunctions.udf.CIQ($F$4, O$6,D21)</f>
        <v>4</v>
      </c>
      <c r="P21">
        <f>_xll.ciqfunctions.udf.CIQ($F$4, P$6, C21)</f>
        <v>0</v>
      </c>
      <c r="Q21">
        <f>_xll.ciqfunctions.udf.CIQ($F$4, Q$6, C21)</f>
        <v>333917.8</v>
      </c>
      <c r="U21" s="7"/>
    </row>
    <row r="22" spans="3:21">
      <c r="C22">
        <v>486</v>
      </c>
      <c r="D22" s="8">
        <f>_xll.ciqfunctions.udf.CIQ($F$4, D$6,C22)</f>
        <v>41081</v>
      </c>
      <c r="E22" s="12">
        <f>_xll.ciqfunctions.udf.CIQ($F$4,$E$6, , D22)</f>
        <v>4.9344900000000003</v>
      </c>
      <c r="F22" s="12">
        <f>_xll.ciqfunctions.udf.CIQ($F$4, F$6, D22)/100</f>
        <v>1.6122000000000001E-2</v>
      </c>
      <c r="G22" s="12">
        <f>_xll.ciqfunctions.udf.CIQ($F$4, G$6, C22)/100</f>
        <v>0</v>
      </c>
      <c r="H22" s="15">
        <f>_xll.ciqfunctions.udf.CIQ($F$4, H$6, C22)</f>
        <v>2.1725400000000001</v>
      </c>
      <c r="I22" s="18">
        <f>_xll.ciqfunctions.udf.CIQ($F$4, I$6,  C22)/100</f>
        <v>0.63428600000000002</v>
      </c>
      <c r="J22" s="21">
        <f>_xll.ciqfunctions.udf.CIQ($F$4, J$6,  C22)</f>
        <v>66.196799999999996</v>
      </c>
      <c r="K22" s="26">
        <f t="shared" si="0"/>
        <v>0</v>
      </c>
      <c r="L22" s="22">
        <f>_xll.ciqfunctions.udf.CIQ($F$4, L$6,  C22)</f>
        <v>0</v>
      </c>
      <c r="M22">
        <f>_xll.ciqfunctions.udf.CIQ($F$4, M$6, C22)</f>
        <v>26375.200000000001</v>
      </c>
      <c r="N22" s="27">
        <f>_xll.ciqfunctions.udf.CIQ($F$4, N$6,D22)</f>
        <v>248.1</v>
      </c>
      <c r="O22">
        <f>_xll.ciqfunctions.udf.CIQ($F$4, O$6,D22)</f>
        <v>4</v>
      </c>
      <c r="P22">
        <f>_xll.ciqfunctions.udf.CIQ($F$4, P$6, C22)</f>
        <v>0</v>
      </c>
      <c r="Q22">
        <f>_xll.ciqfunctions.udf.CIQ($F$4, Q$6, C22)</f>
        <v>351728</v>
      </c>
      <c r="U22" s="7"/>
    </row>
    <row r="23" spans="3:21">
      <c r="C23">
        <v>485</v>
      </c>
      <c r="D23" s="8">
        <f>_xll.ciqfunctions.udf.CIQ($F$4, D$6,C23)</f>
        <v>40585</v>
      </c>
      <c r="E23" s="12">
        <f>_xll.ciqfunctions.udf.CIQ($F$4,$E$6, , D23)</f>
        <v>5.7114799999999999</v>
      </c>
      <c r="F23" s="12">
        <f>_xll.ciqfunctions.udf.CIQ($F$4, F$6, D23)/100</f>
        <v>1.3103999999999999E-2</v>
      </c>
      <c r="G23" s="12">
        <f>_xll.ciqfunctions.udf.CIQ($F$4, G$6, C23)/100</f>
        <v>0</v>
      </c>
      <c r="H23" s="15">
        <f>_xll.ciqfunctions.udf.CIQ($F$4, H$6, C23)</f>
        <v>2.1659000000000002</v>
      </c>
      <c r="I23" s="18">
        <f>_xll.ciqfunctions.udf.CIQ($F$4, I$6,  C23)/100</f>
        <v>0.74220399999999997</v>
      </c>
      <c r="J23" s="21">
        <f>_xll.ciqfunctions.udf.CIQ($F$4, J$6,  C23)</f>
        <v>76.697199999999995</v>
      </c>
      <c r="K23" s="26">
        <f t="shared" si="0"/>
        <v>0</v>
      </c>
      <c r="L23" s="22">
        <f>_xll.ciqfunctions.udf.CIQ($F$4, L$6,  C23)</f>
        <v>0</v>
      </c>
      <c r="M23">
        <f>_xll.ciqfunctions.udf.CIQ($F$4, M$6, C23)</f>
        <v>24243.8</v>
      </c>
      <c r="N23" s="27">
        <f>_xll.ciqfunctions.udf.CIQ($F$4, N$6,D23)</f>
        <v>228.93</v>
      </c>
      <c r="O23">
        <f>_xll.ciqfunctions.udf.CIQ($F$4, O$6,D23)</f>
        <v>3</v>
      </c>
      <c r="P23">
        <f>_xll.ciqfunctions.udf.CIQ($F$4, P$6, C23)</f>
        <v>0</v>
      </c>
      <c r="Q23">
        <f>_xll.ciqfunctions.udf.CIQ($F$4, Q$6, C23)</f>
        <v>315063.3</v>
      </c>
      <c r="U23" s="7"/>
    </row>
    <row r="24" spans="3:21">
      <c r="C24">
        <v>484</v>
      </c>
      <c r="D24" s="8">
        <f>_xll.ciqfunctions.udf.CIQ($F$4, D$6,C24)</f>
        <v>40491</v>
      </c>
      <c r="E24" s="12">
        <f>_xll.ciqfunctions.udf.CIQ($F$4,$E$6, , D24)</f>
        <v>6.83453</v>
      </c>
      <c r="F24" s="12">
        <f>_xll.ciqfunctions.udf.CIQ($F$4, F$6, D24)/100</f>
        <v>1.1805000000000001E-2</v>
      </c>
      <c r="G24" s="12">
        <f>_xll.ciqfunctions.udf.CIQ($F$4, G$6, C24)/100</f>
        <v>0</v>
      </c>
      <c r="H24" s="15">
        <f>_xll.ciqfunctions.udf.CIQ($F$4, H$6, C24)</f>
        <v>2.3575400000000002</v>
      </c>
      <c r="I24" s="18">
        <f>_xll.ciqfunctions.udf.CIQ($F$4, I$6,  C24)/100</f>
        <v>0.74220399999999997</v>
      </c>
      <c r="J24" s="21">
        <f>_xll.ciqfunctions.udf.CIQ($F$4, J$6,  C24)</f>
        <v>84.63</v>
      </c>
      <c r="K24" s="26">
        <f t="shared" si="0"/>
        <v>0</v>
      </c>
      <c r="L24" s="22">
        <f>_xll.ciqfunctions.udf.CIQ($F$4, L$6,  C24)</f>
        <v>0</v>
      </c>
      <c r="M24">
        <f>_xll.ciqfunctions.udf.CIQ($F$4, M$6, C24)</f>
        <v>22229.9</v>
      </c>
      <c r="N24" s="27">
        <f>_xll.ciqfunctions.udf.CIQ($F$4, N$6,D24)</f>
        <v>254.11</v>
      </c>
      <c r="O24">
        <f>_xll.ciqfunctions.udf.CIQ($F$4, O$6,D24)</f>
        <v>3</v>
      </c>
      <c r="P24">
        <f>_xll.ciqfunctions.udf.CIQ($F$4, P$6, C24)</f>
        <v>0</v>
      </c>
      <c r="Q24">
        <f>_xll.ciqfunctions.udf.CIQ($F$4, Q$6, C24)</f>
        <v>285727.09999999998</v>
      </c>
      <c r="U24" s="7"/>
    </row>
    <row r="25" spans="3:21">
      <c r="C25">
        <v>483</v>
      </c>
      <c r="D25" s="8">
        <f>_xll.ciqfunctions.udf.CIQ($F$4, D$6,C25)</f>
        <v>40400</v>
      </c>
      <c r="E25" s="12">
        <f>_xll.ciqfunctions.udf.CIQ($F$4,$E$6, , D25)</f>
        <v>6.4754899999999997</v>
      </c>
      <c r="F25" s="12">
        <f>_xll.ciqfunctions.udf.CIQ($F$4, F$6, D25)/100</f>
        <v>1.5668999999999999E-2</v>
      </c>
      <c r="G25" s="12">
        <f>_xll.ciqfunctions.udf.CIQ($F$4, G$6, C25)/100</f>
        <v>0</v>
      </c>
      <c r="H25" s="15">
        <f>_xll.ciqfunctions.udf.CIQ($F$4, H$6, C25)</f>
        <v>2.3064800000000001</v>
      </c>
      <c r="I25" s="18">
        <f>_xll.ciqfunctions.udf.CIQ($F$4, I$6,  C25)/100</f>
        <v>0.80693499999999996</v>
      </c>
      <c r="J25" s="21">
        <f>_xll.ciqfunctions.udf.CIQ($F$4, J$6,  C25)</f>
        <v>94.7744</v>
      </c>
      <c r="K25" s="26">
        <f t="shared" si="0"/>
        <v>0</v>
      </c>
      <c r="L25" s="22">
        <f>_xll.ciqfunctions.udf.CIQ($F$4, L$6,  C25)</f>
        <v>0</v>
      </c>
      <c r="M25">
        <f>_xll.ciqfunctions.udf.CIQ($F$4, M$6, C25)</f>
        <v>19887.3</v>
      </c>
      <c r="N25" s="27">
        <f>_xll.ciqfunctions.udf.CIQ($F$4, N$6,D25)</f>
        <v>191.46</v>
      </c>
      <c r="O25">
        <f>_xll.ciqfunctions.udf.CIQ($F$4, O$6,D25)</f>
        <v>3</v>
      </c>
      <c r="P25">
        <f>_xll.ciqfunctions.udf.CIQ($F$4, P$6, C25)</f>
        <v>0</v>
      </c>
      <c r="Q25">
        <f>_xll.ciqfunctions.udf.CIQ($F$4, Q$6, C25)</f>
        <v>268760.8</v>
      </c>
      <c r="U25" s="7"/>
    </row>
    <row r="26" spans="3:21">
      <c r="C26">
        <v>482</v>
      </c>
      <c r="D26" s="8">
        <f>_xll.ciqfunctions.udf.CIQ($F$4, D$6,C26)</f>
        <v>40730</v>
      </c>
      <c r="E26" s="12">
        <f>_xll.ciqfunctions.udf.CIQ($F$4,$E$6, , D26)</f>
        <v>4.9801700000000002</v>
      </c>
      <c r="F26" s="12">
        <f>_xll.ciqfunctions.udf.CIQ($F$4, F$6, D26)/100</f>
        <v>1.9368E-2</v>
      </c>
      <c r="G26" s="12">
        <f>_xll.ciqfunctions.udf.CIQ($F$4, G$6, C26)/100</f>
        <v>0</v>
      </c>
      <c r="H26" s="15">
        <f>_xll.ciqfunctions.udf.CIQ($F$4, H$6, C26)</f>
        <v>3.8119000000000001</v>
      </c>
      <c r="I26" s="18">
        <f>_xll.ciqfunctions.udf.CIQ($F$4, I$6,  C26)/100</f>
        <v>0.80664800000000003</v>
      </c>
      <c r="J26" s="21">
        <f>_xll.ciqfunctions.udf.CIQ($F$4, J$6,  C26)</f>
        <v>0</v>
      </c>
      <c r="K26" s="26">
        <f t="shared" si="0"/>
        <v>0</v>
      </c>
      <c r="L26" s="22">
        <f>_xll.ciqfunctions.udf.CIQ($F$4, L$6,  C26)</f>
        <v>0</v>
      </c>
      <c r="M26">
        <f>_xll.ciqfunctions.udf.CIQ($F$4, M$6, C26)</f>
        <v>22278</v>
      </c>
      <c r="N26" s="27">
        <f>_xll.ciqfunctions.udf.CIQ($F$4, N$6,D26)</f>
        <v>206.52</v>
      </c>
      <c r="O26">
        <f>_xll.ciqfunctions.udf.CIQ($F$4, O$6,D26)</f>
        <v>4</v>
      </c>
      <c r="P26">
        <f>_xll.ciqfunctions.udf.CIQ($F$4, P$6, C26)</f>
        <v>0</v>
      </c>
      <c r="Q26">
        <f>_xll.ciqfunctions.udf.CIQ($F$4, Q$6, C26)</f>
        <v>293606</v>
      </c>
      <c r="U26" s="7"/>
    </row>
    <row r="27" spans="3:21">
      <c r="C27">
        <v>481</v>
      </c>
      <c r="D27" s="8">
        <f>_xll.ciqfunctions.udf.CIQ($F$4, D$6,C27)</f>
        <v>40235</v>
      </c>
      <c r="E27" s="12">
        <f>_xll.ciqfunctions.udf.CIQ($F$4,$E$6, , D27)</f>
        <v>21.24174</v>
      </c>
      <c r="F27" s="12">
        <f>_xll.ciqfunctions.udf.CIQ($F$4, F$6, D27)/100</f>
        <v>8.4379999999999993E-3</v>
      </c>
      <c r="G27" s="12">
        <f>_xll.ciqfunctions.udf.CIQ($F$4, G$6, C27)/100</f>
        <v>0</v>
      </c>
      <c r="H27" s="15">
        <f>_xll.ciqfunctions.udf.CIQ($F$4, H$6, C27)</f>
        <v>0</v>
      </c>
      <c r="I27" s="18">
        <f>_xll.ciqfunctions.udf.CIQ($F$4, I$6,  C27)/100</f>
        <v>0</v>
      </c>
      <c r="J27" s="21">
        <f>_xll.ciqfunctions.udf.CIQ($F$4, J$6,  C27)</f>
        <v>0</v>
      </c>
      <c r="K27" s="26">
        <f t="shared" si="0"/>
        <v>0</v>
      </c>
      <c r="L27" s="22">
        <f>_xll.ciqfunctions.udf.CIQ($F$4, L$6,  C27)</f>
        <v>0</v>
      </c>
      <c r="M27">
        <f>_xll.ciqfunctions.udf.CIQ($F$4, M$6, C27)</f>
        <v>6502.6</v>
      </c>
      <c r="N27" s="27">
        <f>_xll.ciqfunctions.udf.CIQ($F$4, N$6,D27)</f>
        <v>142.21</v>
      </c>
      <c r="O27">
        <f>_xll.ciqfunctions.udf.CIQ($F$4, O$6,D27)</f>
        <v>1.2</v>
      </c>
      <c r="P27">
        <f>_xll.ciqfunctions.udf.CIQ($F$4, P$6, C27)</f>
        <v>0</v>
      </c>
      <c r="Q27">
        <f>_xll.ciqfunctions.udf.CIQ($F$4, Q$6, C27)</f>
        <v>259796.1</v>
      </c>
      <c r="U27" s="7"/>
    </row>
    <row r="28" spans="3:21">
      <c r="C28">
        <v>480</v>
      </c>
      <c r="D28" s="8">
        <f>_xll.ciqfunctions.udf.CIQ($F$4, D$6,C28)</f>
        <v>40144</v>
      </c>
      <c r="E28" s="12" t="str">
        <f>_xll.ciqfunctions.udf.CIQ($F$4,$E$6, , D28)</f>
        <v>NM</v>
      </c>
      <c r="F28" s="12">
        <f>_xll.ciqfunctions.udf.CIQ($F$4, F$6, D28)/100</f>
        <v>9.5309999999999995E-3</v>
      </c>
      <c r="G28" s="12">
        <f>_xll.ciqfunctions.udf.CIQ($F$4, G$6, C28)/100</f>
        <v>0</v>
      </c>
      <c r="H28" s="15">
        <f>_xll.ciqfunctions.udf.CIQ($F$4, H$6, C28)</f>
        <v>0</v>
      </c>
      <c r="I28" s="18">
        <f>_xll.ciqfunctions.udf.CIQ($F$4, I$6,  C28)/100</f>
        <v>0</v>
      </c>
      <c r="J28" s="21">
        <f>_xll.ciqfunctions.udf.CIQ($F$4, J$6,  C28)</f>
        <v>0</v>
      </c>
      <c r="K28" s="26">
        <f t="shared" si="0"/>
        <v>0</v>
      </c>
      <c r="L28" s="22">
        <f>_xll.ciqfunctions.udf.CIQ($F$4, L$6,  C28)</f>
        <v>0</v>
      </c>
      <c r="M28">
        <f>_xll.ciqfunctions.udf.CIQ($F$4, M$6, C28)</f>
        <v>217.8</v>
      </c>
      <c r="N28" s="27">
        <f>_xll.ciqfunctions.udf.CIQ($F$4, N$6,D28)</f>
        <v>125.9</v>
      </c>
      <c r="O28">
        <f>_xll.ciqfunctions.udf.CIQ($F$4, O$6,D28)</f>
        <v>1.2</v>
      </c>
      <c r="P28">
        <f>_xll.ciqfunctions.udf.CIQ($F$4, P$6, C28)</f>
        <v>0</v>
      </c>
      <c r="Q28">
        <f>_xll.ciqfunctions.udf.CIQ($F$4, Q$6, C28)</f>
        <v>208894.4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f>Spearman($E$8:$E$28,F8:F28)</f>
        <v>-0.35639097744360904</v>
      </c>
      <c r="F30" s="16">
        <f t="shared" ref="F30:J30" si="1">Spearman($E$8:$E$28,G8:G28)</f>
        <v>-0.7834586466165413</v>
      </c>
      <c r="G30" s="16">
        <f t="shared" si="1"/>
        <v>-0.25714285714285712</v>
      </c>
      <c r="H30" s="16">
        <f t="shared" si="1"/>
        <v>1.2030075187969926E-2</v>
      </c>
      <c r="I30" s="16">
        <f>Spearman($E$8:$E$28,J8:J28)</f>
        <v>0.10601503759398496</v>
      </c>
      <c r="J30" s="16">
        <f t="shared" si="1"/>
        <v>-0.7834586466165413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2" spans="3:21">
      <c r="R32" s="54" t="s">
        <v>169</v>
      </c>
    </row>
    <row r="33" spans="1:18" ht="30">
      <c r="A33" t="str">
        <f>"IQ_COMPANY_NAME"</f>
        <v>IQ_COMPANY_NAME</v>
      </c>
      <c r="B33" s="9"/>
      <c r="C33" s="2"/>
      <c r="D33" t="str">
        <f>"IQ_FILINGDATE_BS"</f>
        <v>IQ_FILINGDATE_BS</v>
      </c>
      <c r="E33" s="12" t="str">
        <f>"IQ_TEV_EBITDA"</f>
        <v>IQ_TEV_EBITDA</v>
      </c>
      <c r="F33" s="14" t="str">
        <f>"IQ_DIVIDEND_YIELD"</f>
        <v>IQ_DIVIDEND_YIELD</v>
      </c>
      <c r="G33" s="14" t="str">
        <f>"IQ_CAPEX_PCT_REV"</f>
        <v>IQ_CAPEX_PCT_REV</v>
      </c>
      <c r="H33" s="14" t="str">
        <f>"IQ_TOTAL_DEBT_EBITDA"</f>
        <v>IQ_TOTAL_DEBT_EBITDA</v>
      </c>
      <c r="I33" s="14" t="str">
        <f>"IQ_TOTAL_DEBT_CAPITAL"</f>
        <v>IQ_TOTAL_DEBT_CAPITAL</v>
      </c>
      <c r="J33" s="14" t="str">
        <f>"IQ_RETURN_EQUITY"</f>
        <v>IQ_RETURN_EQUITY</v>
      </c>
      <c r="K33" s="25" t="str">
        <f>K34</f>
        <v>Repurchase payout ratio</v>
      </c>
      <c r="L33" s="19" t="str">
        <f>"IQ_COMMON_REP"</f>
        <v>IQ_COMMON_REP</v>
      </c>
      <c r="M33" s="2" t="str">
        <f>"IQ_NI"</f>
        <v>IQ_NI</v>
      </c>
      <c r="N33" s="28" t="str">
        <f>"IQ_LASTSALEPRICE"</f>
        <v>IQ_LASTSALEPRICE</v>
      </c>
      <c r="O33" s="2" t="str">
        <f>"IQ_ANNUALIZED_DIVIDEND"</f>
        <v>IQ_ANNUALIZED_DIVIDEND</v>
      </c>
      <c r="P33" s="2" t="str">
        <f>"IQ_CAPEX"</f>
        <v>IQ_CAPEX</v>
      </c>
      <c r="Q33" s="2" t="str">
        <f>"IQ_TOTAL_REV"</f>
        <v>IQ_TOTAL_REV</v>
      </c>
      <c r="R33" s="54" t="s">
        <v>168</v>
      </c>
    </row>
    <row r="34" spans="1:18" ht="30">
      <c r="A34" t="s">
        <v>139</v>
      </c>
      <c r="C34" s="2" t="s">
        <v>166</v>
      </c>
      <c r="D34" t="s">
        <v>167</v>
      </c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8">
      <c r="A35" s="12" t="str">
        <f>_xll.ciqfunctions.udf.CIQ(B35,$A$74)</f>
        <v>Tower Semiconductor Ltd.</v>
      </c>
      <c r="B35" t="s">
        <v>174</v>
      </c>
      <c r="C35" t="s">
        <v>53</v>
      </c>
      <c r="D35" s="8">
        <f>_xll.ciqfunctions.udf.CIQ($F1, D$6,C35)</f>
        <v>41684</v>
      </c>
      <c r="E35" s="12">
        <f>_xll.ciqfunctions.udf.CIQ($B35,$E$6, , D35)</f>
        <v>4.18872</v>
      </c>
      <c r="F35" s="12">
        <f>_xll.ciqfunctions.udf.CIQ($B35, F$6, D35)/100</f>
        <v>0</v>
      </c>
      <c r="G35" s="12">
        <f>_xll.ciqfunctions.udf.CIQ($B35, G$6, C35)/100</f>
        <v>0.16201399999999999</v>
      </c>
      <c r="H35" s="15">
        <f>_xll.ciqfunctions.udf.CIQ($B35, H$6, C35)</f>
        <v>3.0210900000000001</v>
      </c>
      <c r="I35" s="18">
        <f>_xll.ciqfunctions.udf.CIQ($B35, I$6,  C35)/100</f>
        <v>0.71440399999999993</v>
      </c>
      <c r="J35" s="21">
        <f>_xll.ciqfunctions.udf.CIQ($B35, J$6,  C35)</f>
        <v>-59.600299999999997</v>
      </c>
      <c r="K35" s="26">
        <f>-L35/M35</f>
        <v>0</v>
      </c>
      <c r="L35" s="22">
        <f>_xll.ciqfunctions.udf.CIQ($B35, L$6,  C35)</f>
        <v>0</v>
      </c>
      <c r="M35">
        <f>_xll.ciqfunctions.udf.CIQ($B35, M$6, C35)</f>
        <v>-107.66</v>
      </c>
      <c r="N35" s="27">
        <f>_xll.ciqfunctions.udf.CIQ($B35, N$6,#REF!)</f>
        <v>12.61</v>
      </c>
      <c r="O35">
        <f>_xll.ciqfunctions.udf.CIQ($B35, O$6,#REF!)</f>
        <v>0</v>
      </c>
      <c r="P35">
        <f>_xll.ciqfunctions.udf.CIQ($B35, P$6, C35)</f>
        <v>-81.819000000000003</v>
      </c>
      <c r="Q35">
        <f>_xll.ciqfunctions.udf.CIQ($B35, Q$6, C35)</f>
        <v>505.00900000000001</v>
      </c>
      <c r="R35">
        <f>_xll.ciqfunctions.udf.CIQ($R$32, $R$33, D35)</f>
        <v>2.75</v>
      </c>
    </row>
    <row r="36" spans="1:18">
      <c r="A36" s="12" t="str">
        <f>_xll.ciqfunctions.udf.CIQ(B36,$A$74)</f>
        <v>EZchip Semiconductor Ltd.</v>
      </c>
      <c r="B36" t="s">
        <v>173</v>
      </c>
      <c r="C36" t="s">
        <v>53</v>
      </c>
      <c r="D36" s="8">
        <f>_xll.ciqfunctions.udf.CIQ($F2, D$6,C36)</f>
        <v>41684</v>
      </c>
      <c r="E36" s="12">
        <f>_xll.ciqfunctions.udf.CIQ($F2,$E$6, , D36)</f>
        <v>11.17309</v>
      </c>
      <c r="F36" s="12">
        <f>_xll.ciqfunctions.udf.CIQ($B36, F$6, D36)/100</f>
        <v>0</v>
      </c>
      <c r="G36" s="12">
        <f>_xll.ciqfunctions.udf.CIQ($B36, G$6, C36)/100</f>
        <v>2.2540000000000001E-2</v>
      </c>
      <c r="H36" s="15">
        <f>_xll.ciqfunctions.udf.CIQ($B36, H$6, C36)</f>
        <v>0</v>
      </c>
      <c r="I36" s="18">
        <f>_xll.ciqfunctions.udf.CIQ($B36, I$6,  C36)/100</f>
        <v>0</v>
      </c>
      <c r="J36" s="21">
        <f>_xll.ciqfunctions.udf.CIQ($B36, J$6,  C36)</f>
        <v>7.4318</v>
      </c>
      <c r="K36" s="26">
        <f t="shared" ref="K36:K38" si="2">-L36/M36</f>
        <v>0</v>
      </c>
      <c r="L36" s="22">
        <f>_xll.ciqfunctions.udf.CIQ($B36, L$6,  C36)</f>
        <v>0</v>
      </c>
      <c r="M36">
        <f>_xll.ciqfunctions.udf.CIQ($B36, M$6, C36)</f>
        <v>21.698</v>
      </c>
      <c r="N36" s="27">
        <f>_xll.ciqfunctions.udf.CIQ($B36, N$6,#REF!)</f>
        <v>20.07</v>
      </c>
      <c r="O36">
        <f>_xll.ciqfunctions.udf.CIQ($B36, O$6,#REF!)</f>
        <v>0</v>
      </c>
      <c r="P36">
        <f>_xll.ciqfunctions.udf.CIQ($B36, P$6, C36)</f>
        <v>-1.597</v>
      </c>
      <c r="Q36">
        <f>_xll.ciqfunctions.udf.CIQ($B36, Q$6, C36)</f>
        <v>70.849999999999994</v>
      </c>
      <c r="R36">
        <f>_xll.ciqfunctions.udf.CIQ($R$32, $R$33, D36)</f>
        <v>2.75</v>
      </c>
    </row>
    <row r="37" spans="1:18">
      <c r="A37" s="12" t="str">
        <f>_xll.ciqfunctions.udf.CIQ(B37,$A$74)</f>
        <v>Nova Measuring Instruments Ltd.</v>
      </c>
      <c r="B37" t="s">
        <v>172</v>
      </c>
      <c r="C37" t="s">
        <v>53</v>
      </c>
      <c r="D37" s="8">
        <f>_xll.ciqfunctions.udf.CIQ($F3, D$6,C37)</f>
        <v>41681</v>
      </c>
      <c r="E37" s="12">
        <f>_xll.ciqfunctions.udf.CIQ($F3,$E$6, , D37)</f>
        <v>9.0744000000000007</v>
      </c>
      <c r="F37" s="12">
        <f>_xll.ciqfunctions.udf.CIQ($B37, F$6, D37)/100</f>
        <v>0</v>
      </c>
      <c r="G37" s="12">
        <f>_xll.ciqfunctions.udf.CIQ($B37, G$6, C37)/100</f>
        <v>3.6937999999999999E-2</v>
      </c>
      <c r="H37" s="15">
        <f>_xll.ciqfunctions.udf.CIQ($B37, H$6, C37)</f>
        <v>0</v>
      </c>
      <c r="I37" s="18">
        <f>_xll.ciqfunctions.udf.CIQ($B37, I$6,  C37)/100</f>
        <v>0</v>
      </c>
      <c r="J37" s="21">
        <f>_xll.ciqfunctions.udf.CIQ($B37, J$6,  C37)</f>
        <v>8.6387999999999998</v>
      </c>
      <c r="K37" s="26">
        <f t="shared" si="2"/>
        <v>0</v>
      </c>
      <c r="L37" s="22">
        <f>_xll.ciqfunctions.udf.CIQ($B37, L$6,  C37)</f>
        <v>0</v>
      </c>
      <c r="M37">
        <f>_xll.ciqfunctions.udf.CIQ($B37, M$6, C37)</f>
        <v>10.515000000000001</v>
      </c>
      <c r="N37" s="27">
        <f>_xll.ciqfunctions.udf.CIQ($B37, N$6,#REF!)</f>
        <v>10.02</v>
      </c>
      <c r="O37">
        <f>_xll.ciqfunctions.udf.CIQ($B37, O$6,#REF!)</f>
        <v>0</v>
      </c>
      <c r="P37">
        <f>_xll.ciqfunctions.udf.CIQ($B37, P$6, C37)</f>
        <v>-4.1189999999999998</v>
      </c>
      <c r="Q37">
        <f>_xll.ciqfunctions.udf.CIQ($B37, Q$6, C37)</f>
        <v>111.509</v>
      </c>
      <c r="R37">
        <f>_xll.ciqfunctions.udf.CIQ($R$32, $R$33, D37)</f>
        <v>2.75</v>
      </c>
    </row>
    <row r="38" spans="1:18">
      <c r="A38" s="12" t="str">
        <f>_xll.ciqfunctions.udf.CIQ(B38,$A$74)</f>
        <v>Altair Nanotechnologies, Inc.</v>
      </c>
      <c r="B38" t="s">
        <v>171</v>
      </c>
      <c r="C38" t="str">
        <f>C37</f>
        <v>FY2013</v>
      </c>
      <c r="D38" s="8">
        <f>_xll.ciqfunctions.udf.CIQ($F4, D$6,C38)</f>
        <v>41935</v>
      </c>
      <c r="E38" s="12">
        <f>_xll.ciqfunctions.udf.CIQ($F4,$E$6, , D38)</f>
        <v>5.33005</v>
      </c>
      <c r="F38" s="12">
        <f>_xll.ciqfunctions.udf.CIQ($B38, F$6, D38)/100</f>
        <v>0</v>
      </c>
      <c r="G38" s="12">
        <f>_xll.ciqfunctions.udf.CIQ($B38, G$6, C38)/100</f>
        <v>0</v>
      </c>
      <c r="H38" s="15">
        <f>_xll.ciqfunctions.udf.CIQ($B38, H$6, C38)</f>
        <v>0</v>
      </c>
      <c r="I38" s="18">
        <f>_xll.ciqfunctions.udf.CIQ($B38, I$6,  C38)/100</f>
        <v>0</v>
      </c>
      <c r="J38" s="21">
        <f>_xll.ciqfunctions.udf.CIQ($B38, J$6,  C38)</f>
        <v>0</v>
      </c>
      <c r="K38" s="26" t="e">
        <f t="shared" si="2"/>
        <v>#DIV/0!</v>
      </c>
      <c r="L38" s="22">
        <f>_xll.ciqfunctions.udf.CIQ($B38, L$6,  C38)</f>
        <v>0</v>
      </c>
      <c r="M38">
        <f>_xll.ciqfunctions.udf.CIQ($B38, M$6, C38)</f>
        <v>0</v>
      </c>
      <c r="N38" s="27">
        <f>_xll.ciqfunctions.udf.CIQ($B38, N$6,#REF!)</f>
        <v>1.35</v>
      </c>
      <c r="O38">
        <f>_xll.ciqfunctions.udf.CIQ($B38, O$6,#REF!)</f>
        <v>0</v>
      </c>
      <c r="P38">
        <f>_xll.ciqfunctions.udf.CIQ($B38, P$6, C38)</f>
        <v>0</v>
      </c>
      <c r="Q38">
        <f>_xll.ciqfunctions.udf.CIQ($B38, Q$6, C38)</f>
        <v>0</v>
      </c>
      <c r="R38">
        <f>_xll.ciqfunctions.udf.CIQ($R$32, $R$33, D38)</f>
        <v>2.29</v>
      </c>
    </row>
    <row r="39" spans="1:18">
      <c r="A39" s="12"/>
      <c r="B39" t="s">
        <v>177</v>
      </c>
      <c r="C39" t="str">
        <f t="shared" ref="C39:C40" si="3">C38</f>
        <v>FY2013</v>
      </c>
      <c r="D39" s="8" t="str">
        <f>_xll.ciqfunctions.udf.CIQ($F5, D$6,C39)</f>
        <v>(Invalid Identifier)</v>
      </c>
      <c r="E39" s="12" t="str">
        <f>_xll.ciqfunctions.udf.CIQ($F5,$E$6, , D39)</f>
        <v>(Invalid Identifier)</v>
      </c>
      <c r="F39" s="12" t="e">
        <f>_xll.ciqfunctions.udf.CIQ($B39, F$6, D39)/100</f>
        <v>#VALUE!</v>
      </c>
      <c r="G39" s="12">
        <f>_xll.ciqfunctions.udf.CIQ($B39, G$6, C39)/100</f>
        <v>1.6232E-2</v>
      </c>
      <c r="H39" s="15">
        <f>_xll.ciqfunctions.udf.CIQ($B39, H$6, C39)</f>
        <v>3.3996499999999998</v>
      </c>
      <c r="I39" s="18">
        <f>_xll.ciqfunctions.udf.CIQ($B39, I$6,  C39)/100</f>
        <v>0.27179300000000001</v>
      </c>
      <c r="J39" s="21">
        <f>_xll.ciqfunctions.udf.CIQ($B39, J$6,  C39)</f>
        <v>-7.0000000000000001E-3</v>
      </c>
      <c r="K39" s="26">
        <f t="shared" ref="K39:K40" si="4">-L39/M39</f>
        <v>0</v>
      </c>
      <c r="L39" s="22">
        <f>_xll.ciqfunctions.udf.CIQ($B39, L$6,  C39)</f>
        <v>0</v>
      </c>
      <c r="M39">
        <f>_xll.ciqfunctions.udf.CIQ($B39, M$6, C39)</f>
        <v>-2.6819999999999999</v>
      </c>
      <c r="N39" s="27">
        <f>_xll.ciqfunctions.udf.CIQ($B39, N$6,#REF!)</f>
        <v>19.489999999999998</v>
      </c>
      <c r="O39">
        <f>_xll.ciqfunctions.udf.CIQ($B39, O$6,#REF!)</f>
        <v>0</v>
      </c>
      <c r="P39">
        <f>_xll.ciqfunctions.udf.CIQ($B39, P$6, C39)</f>
        <v>-4.3380000000000001</v>
      </c>
      <c r="Q39">
        <f>_xll.ciqfunctions.udf.CIQ($B39, Q$6, C39)</f>
        <v>267.23899999999998</v>
      </c>
      <c r="R39" t="str">
        <f>_xll.ciqfunctions.udf.CIQ($R$32, $R$33, D39)</f>
        <v>(Invalid Date)</v>
      </c>
    </row>
    <row r="40" spans="1:18">
      <c r="A40" s="12"/>
      <c r="B40" t="s">
        <v>176</v>
      </c>
      <c r="C40" t="str">
        <f t="shared" si="3"/>
        <v>FY2013</v>
      </c>
      <c r="D40" s="8" t="str">
        <f>_xll.ciqfunctions.udf.CIQ($F6, D$6,C40)</f>
        <v>(Invalid Identifier)</v>
      </c>
      <c r="E40" s="12" t="str">
        <f>_xll.ciqfunctions.udf.CIQ($F6,$E$6, , D40)</f>
        <v>(Invalid As Of Time Period)</v>
      </c>
      <c r="F40" s="12" t="e">
        <f>_xll.ciqfunctions.udf.CIQ($B40, F$6, D40)/100</f>
        <v>#VALUE!</v>
      </c>
      <c r="G40" s="12">
        <f>_xll.ciqfunctions.udf.CIQ($B40, G$6, C40)/100</f>
        <v>0.131799</v>
      </c>
      <c r="H40" s="15">
        <f>_xll.ciqfunctions.udf.CIQ($B40, H$6, C40)</f>
        <v>1.3751899999999999</v>
      </c>
      <c r="I40" s="18">
        <f>_xll.ciqfunctions.udf.CIQ($B40, I$6,  C40)/100</f>
        <v>0.35641800000000001</v>
      </c>
      <c r="J40" s="21">
        <f>_xll.ciqfunctions.udf.CIQ($B40, J$6,  C40)</f>
        <v>23.211500000000001</v>
      </c>
      <c r="K40" s="26">
        <f t="shared" si="4"/>
        <v>0</v>
      </c>
      <c r="L40" s="22">
        <f>_xll.ciqfunctions.udf.CIQ($B40, L$6,  C40)</f>
        <v>0</v>
      </c>
      <c r="M40">
        <f>_xll.ciqfunctions.udf.CIQ($B40, M$6, C40)</f>
        <v>818.57299999999998</v>
      </c>
      <c r="N40" s="27">
        <f>_xll.ciqfunctions.udf.CIQ($B40, N$6,#REF!)</f>
        <v>28.63</v>
      </c>
      <c r="O40">
        <f>_xll.ciqfunctions.udf.CIQ($B40, O$6,#REF!)</f>
        <v>0.45</v>
      </c>
      <c r="P40">
        <f>_xll.ciqfunctions.udf.CIQ($B40, P$6, C40)</f>
        <v>-826.58799999999997</v>
      </c>
      <c r="Q40">
        <f>_xll.ciqfunctions.udf.CIQ($B40, Q$6, C40)</f>
        <v>6271.5420000000004</v>
      </c>
      <c r="R40" t="str">
        <f>_xll.ciqfunctions.udf.CIQ($R$32, $R$33, D40)</f>
        <v>(Invalid Date)</v>
      </c>
    </row>
    <row r="41" spans="1:18">
      <c r="A41" s="12"/>
      <c r="D41" s="12" t="s">
        <v>24</v>
      </c>
      <c r="E41" s="16">
        <f>Spearman($E$35:$E$38,E35:E38)</f>
        <v>1</v>
      </c>
      <c r="F41" s="16">
        <f t="shared" ref="F41:Q41" si="5">Spearman($E$35:$E$38,F35:F38)</f>
        <v>-0.4</v>
      </c>
      <c r="G41" s="16">
        <f t="shared" si="5"/>
        <v>-0.4</v>
      </c>
      <c r="H41" s="16">
        <f t="shared" si="5"/>
        <v>-0.1</v>
      </c>
      <c r="I41" s="16">
        <f t="shared" si="5"/>
        <v>-0.1</v>
      </c>
      <c r="J41" s="16">
        <f t="shared" si="5"/>
        <v>0.8</v>
      </c>
      <c r="K41" s="16">
        <f t="shared" si="5"/>
        <v>-0.25</v>
      </c>
      <c r="L41" s="16">
        <f t="shared" si="5"/>
        <v>-0.4</v>
      </c>
      <c r="M41" s="16">
        <f t="shared" si="5"/>
        <v>1</v>
      </c>
      <c r="N41" s="16">
        <f t="shared" si="5"/>
        <v>0.4</v>
      </c>
      <c r="O41" s="16">
        <f t="shared" si="5"/>
        <v>-0.4</v>
      </c>
      <c r="P41" s="16">
        <f t="shared" si="5"/>
        <v>0.4</v>
      </c>
      <c r="Q41" s="16">
        <f t="shared" si="5"/>
        <v>-0.4</v>
      </c>
    </row>
    <row r="42" spans="1:18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8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8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8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8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8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8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  <c r="R52" s="54" t="s">
        <v>169</v>
      </c>
    </row>
    <row r="53" spans="1:21" ht="30">
      <c r="A53" t="str">
        <f>"IQ_COMPANY_NAME"</f>
        <v>IQ_COMPANY_NAME</v>
      </c>
      <c r="B53" s="9"/>
      <c r="C53" s="2"/>
      <c r="D53" t="str">
        <f>"IQ_FILINGDATE_BS"</f>
        <v>IQ_FILINGDATE_BS</v>
      </c>
      <c r="E53" s="12" t="str">
        <f>"IQ_TEV_EBITDA"</f>
        <v>IQ_TEV_EBITDA</v>
      </c>
      <c r="F53" s="14" t="str">
        <f>"IQ_DIVIDEND_YIELD"</f>
        <v>IQ_DIVIDEND_YIELD</v>
      </c>
      <c r="G53" s="14" t="str">
        <f>"IQ_RETURN_EQUITY"</f>
        <v>IQ_RETURN_EQUITY</v>
      </c>
      <c r="H53" s="14" t="str">
        <f>"IQ_TOTAL_DEBT_EBITDA"</f>
        <v>IQ_TOTAL_DEBT_EBITDA</v>
      </c>
      <c r="I53" s="14" t="str">
        <f>"IQ_TOTAL_DEBT_CAPITAL"</f>
        <v>IQ_TOTAL_DEBT_CAPITAL</v>
      </c>
      <c r="J53" s="12"/>
      <c r="K53" s="42"/>
      <c r="L53" s="19" t="str">
        <f>"IQ_COMMON_REP"</f>
        <v>IQ_COMMON_REP</v>
      </c>
      <c r="M53" s="2" t="str">
        <f>"IQ_NI"</f>
        <v>IQ_NI</v>
      </c>
      <c r="N53" s="28" t="str">
        <f>"IQ_LASTSALEPRICE"</f>
        <v>IQ_LASTSALEPRICE</v>
      </c>
      <c r="O53" s="2" t="str">
        <f>"IQ_ANNUALIZED_DIVIDEND"</f>
        <v>IQ_ANNUALIZED_DIVIDEND</v>
      </c>
      <c r="P53" s="2" t="str">
        <f>"IQ_CAPEX"</f>
        <v>IQ_CAPEX</v>
      </c>
      <c r="Q53" s="2" t="str">
        <f>"IQ_TOTAL_REV"</f>
        <v>IQ_TOTAL_REV</v>
      </c>
      <c r="R53" s="54" t="s">
        <v>168</v>
      </c>
    </row>
    <row r="54" spans="1:21" ht="19.5" customHeight="1">
      <c r="A54" t="s">
        <v>139</v>
      </c>
      <c r="C54" s="2" t="s">
        <v>140</v>
      </c>
      <c r="D54" t="s">
        <v>141</v>
      </c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J54" s="44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12" t="str">
        <f>_xll.ciqfunctions.udf.CIQ(B55,$A$74)</f>
        <v>(Invalid Identifier)</v>
      </c>
      <c r="C55" t="s">
        <v>53</v>
      </c>
      <c r="D55" s="8" t="str">
        <f>_xll.ciqfunctions.udf.CIQ($B55, D$6,C55)</f>
        <v>(Invalid Identifier)</v>
      </c>
      <c r="E55" s="12" t="str">
        <f>_xll.ciqfunctions.udf.CIQ($B55,$E$6, , D55)</f>
        <v>(Invalid Identifier)</v>
      </c>
      <c r="F55" s="12" t="str">
        <f>_xll.ciqfunctions.udf.CIQ($B55, F$6, D55)</f>
        <v>(Invalid Identifier)</v>
      </c>
      <c r="G55" s="21" t="str">
        <f>_xll.ciqfunctions.udf.CIQ($B55, J$6,  C55)</f>
        <v>(Invalid Identifier)</v>
      </c>
      <c r="H55" s="15" t="str">
        <f>_xll.ciqfunctions.udf.CIQ($B55, H$6, C55)</f>
        <v>(Invalid Identifier)</v>
      </c>
      <c r="I55" s="18" t="e">
        <f>_xll.ciqfunctions.udf.CIQ($B55, I$6,  C55)/100</f>
        <v>#VALUE!</v>
      </c>
      <c r="J55" s="18" t="e">
        <f>P55/-M55</f>
        <v>#VALUE!</v>
      </c>
      <c r="K55" s="43"/>
      <c r="L55" s="22" t="str">
        <f>_xll.ciqfunctions.udf.CIQ($B55, L$6,  C55)</f>
        <v>(Invalid Identifier)</v>
      </c>
      <c r="M55" t="str">
        <f>_xll.ciqfunctions.udf.CIQ($B55, M$6, C55)</f>
        <v>(Invalid Identifier)</v>
      </c>
      <c r="N55" s="27" t="str">
        <f>_xll.ciqfunctions.udf.CIQ($B55, N$6,#REF!)</f>
        <v>(Invalid Identifier)</v>
      </c>
      <c r="O55" t="str">
        <f>_xll.ciqfunctions.udf.CIQ($B55, O$6,#REF!)</f>
        <v>(Invalid Identifier)</v>
      </c>
      <c r="P55" t="str">
        <f>_xll.ciqfunctions.udf.CIQ($B55, P$6, C55)</f>
        <v>(Invalid Identifier)</v>
      </c>
      <c r="Q55" t="str">
        <f>_xll.ciqfunctions.udf.CIQ($B55, Q$6, C55)</f>
        <v>(Invalid Identifier)</v>
      </c>
      <c r="R55" t="str">
        <f>_xll.ciqfunctions.udf.CIQ($R$52, $R$53, D55)</f>
        <v>(Invalid Date)</v>
      </c>
    </row>
    <row r="56" spans="1:21">
      <c r="A56" s="12" t="str">
        <f>_xll.ciqfunctions.udf.CIQ(B56,$A$74)</f>
        <v>(Invalid Identifier)</v>
      </c>
      <c r="C56" t="s">
        <v>53</v>
      </c>
      <c r="D56" s="8" t="str">
        <f>_xll.ciqfunctions.udf.CIQ($B56, D$6,C56)</f>
        <v>(Invalid Identifier)</v>
      </c>
      <c r="E56" s="12" t="str">
        <f>_xll.ciqfunctions.udf.CIQ($B56,$E$6, , D56)</f>
        <v>(Invalid Identifier)</v>
      </c>
      <c r="F56" s="12" t="str">
        <f>_xll.ciqfunctions.udf.CIQ($B56, F$6, D56)</f>
        <v>(Invalid Identifier)</v>
      </c>
      <c r="G56" s="21" t="str">
        <f>_xll.ciqfunctions.udf.CIQ($B56, J$6,  C56)</f>
        <v>(Invalid Identifier)</v>
      </c>
      <c r="H56" s="15" t="str">
        <f>_xll.ciqfunctions.udf.CIQ($B56, H$6, C56)</f>
        <v>(Invalid Identifier)</v>
      </c>
      <c r="I56" s="18" t="e">
        <f>_xll.ciqfunctions.udf.CIQ($B56, I$6,  C56)/100</f>
        <v>#VALUE!</v>
      </c>
      <c r="J56" s="18" t="e">
        <f t="shared" ref="J56:J60" si="6">P56/-M56</f>
        <v>#VALUE!</v>
      </c>
      <c r="K56" s="43"/>
      <c r="L56" s="22" t="str">
        <f>_xll.ciqfunctions.udf.CIQ($B56, L$6,  C56)</f>
        <v>(Invalid Identifier)</v>
      </c>
      <c r="M56" t="str">
        <f>_xll.ciqfunctions.udf.CIQ($B56, M$6, C56)</f>
        <v>(Invalid Identifier)</v>
      </c>
      <c r="N56" s="27" t="str">
        <f>_xll.ciqfunctions.udf.CIQ($B56, N$6,#REF!)</f>
        <v>(Invalid Identifier)</v>
      </c>
      <c r="O56" t="str">
        <f>_xll.ciqfunctions.udf.CIQ($B56, O$6,#REF!)</f>
        <v>(Invalid Identifier)</v>
      </c>
      <c r="P56" t="str">
        <f>_xll.ciqfunctions.udf.CIQ($B56, P$6, C56)</f>
        <v>(Invalid Identifier)</v>
      </c>
      <c r="Q56" t="str">
        <f>_xll.ciqfunctions.udf.CIQ($B56, Q$6, C56)</f>
        <v>(Invalid Identifier)</v>
      </c>
      <c r="R56" t="str">
        <f>_xll.ciqfunctions.udf.CIQ($R$52, $R$53, D56)</f>
        <v>(Invalid Date)</v>
      </c>
      <c r="S56" s="27"/>
      <c r="T56" s="27"/>
    </row>
    <row r="57" spans="1:21">
      <c r="A57" s="12" t="str">
        <f>_xll.ciqfunctions.udf.CIQ(B57,$A$74)</f>
        <v>(Invalid Identifier)</v>
      </c>
      <c r="C57" t="s">
        <v>53</v>
      </c>
      <c r="D57" s="8" t="str">
        <f>_xll.ciqfunctions.udf.CIQ($B57, D$6,C57)</f>
        <v>(Invalid Identifier)</v>
      </c>
      <c r="E57" s="12" t="str">
        <f>_xll.ciqfunctions.udf.CIQ($B57,$E$6, , D57)</f>
        <v>(Invalid Identifier)</v>
      </c>
      <c r="F57" s="12" t="str">
        <f>_xll.ciqfunctions.udf.CIQ($B57, F$6, D57)</f>
        <v>(Invalid Identifier)</v>
      </c>
      <c r="G57" s="21" t="str">
        <f>_xll.ciqfunctions.udf.CIQ($B57, J$6,  C57)</f>
        <v>(Invalid Identifier)</v>
      </c>
      <c r="H57" s="15" t="str">
        <f>_xll.ciqfunctions.udf.CIQ($B57, H$6, C57)</f>
        <v>(Invalid Identifier)</v>
      </c>
      <c r="I57" s="18" t="e">
        <f>_xll.ciqfunctions.udf.CIQ($B57, I$6,  C57)/100</f>
        <v>#VALUE!</v>
      </c>
      <c r="J57" s="18" t="e">
        <f t="shared" si="6"/>
        <v>#VALUE!</v>
      </c>
      <c r="K57" s="43"/>
      <c r="L57" s="22" t="str">
        <f>_xll.ciqfunctions.udf.CIQ($B57, L$6,  C57)</f>
        <v>(Invalid Identifier)</v>
      </c>
      <c r="M57" t="str">
        <f>_xll.ciqfunctions.udf.CIQ($B57, M$6, C57)</f>
        <v>(Invalid Identifier)</v>
      </c>
      <c r="N57" s="27" t="str">
        <f>_xll.ciqfunctions.udf.CIQ($B57, N$6,#REF!)</f>
        <v>(Invalid Identifier)</v>
      </c>
      <c r="O57" t="str">
        <f>_xll.ciqfunctions.udf.CIQ($B57, O$6,#REF!)</f>
        <v>(Invalid Identifier)</v>
      </c>
      <c r="P57" t="str">
        <f>_xll.ciqfunctions.udf.CIQ($B57, P$6, C57)</f>
        <v>(Invalid Identifier)</v>
      </c>
      <c r="Q57" t="str">
        <f>_xll.ciqfunctions.udf.CIQ($B57, Q$6, C57)</f>
        <v>(Invalid Identifier)</v>
      </c>
      <c r="R57" t="str">
        <f>_xll.ciqfunctions.udf.CIQ($R$52, $R$53, D57)</f>
        <v>(Invalid Date)</v>
      </c>
      <c r="S57" s="27"/>
      <c r="T57" s="27"/>
    </row>
    <row r="58" spans="1:21">
      <c r="A58" s="12" t="str">
        <f>_xll.ciqfunctions.udf.CIQ(B58,$A$74)</f>
        <v>(Invalid Identifier)</v>
      </c>
      <c r="C58" t="s">
        <v>53</v>
      </c>
      <c r="D58" s="8" t="str">
        <f>_xll.ciqfunctions.udf.CIQ($B58, D$6,C58)</f>
        <v>(Invalid Identifier)</v>
      </c>
      <c r="E58" s="12" t="str">
        <f>_xll.ciqfunctions.udf.CIQ($B58,$E$6, , D58)</f>
        <v>(Invalid Identifier)</v>
      </c>
      <c r="F58" s="12" t="str">
        <f>_xll.ciqfunctions.udf.CIQ($B58, F$6, D58)</f>
        <v>(Invalid Identifier)</v>
      </c>
      <c r="G58" s="21" t="str">
        <f>_xll.ciqfunctions.udf.CIQ($B58, J$6,  C58)</f>
        <v>(Invalid Identifier)</v>
      </c>
      <c r="H58" s="15" t="str">
        <f>_xll.ciqfunctions.udf.CIQ($B58, H$6, C58)</f>
        <v>(Invalid Identifier)</v>
      </c>
      <c r="I58" s="18" t="e">
        <f>_xll.ciqfunctions.udf.CIQ($B58, I$6,  C58)/100</f>
        <v>#VALUE!</v>
      </c>
      <c r="J58" s="18" t="e">
        <f t="shared" si="6"/>
        <v>#VALUE!</v>
      </c>
      <c r="K58" s="43"/>
      <c r="L58" s="22" t="str">
        <f>_xll.ciqfunctions.udf.CIQ($B58, L$6,  C58)</f>
        <v>(Invalid Identifier)</v>
      </c>
      <c r="M58" t="str">
        <f>_xll.ciqfunctions.udf.CIQ($B58, M$6, C58)</f>
        <v>(Invalid Identifier)</v>
      </c>
      <c r="N58" s="27" t="str">
        <f>_xll.ciqfunctions.udf.CIQ($B58, N$6,#REF!)</f>
        <v>(Invalid Identifier)</v>
      </c>
      <c r="O58" t="str">
        <f>_xll.ciqfunctions.udf.CIQ($B58, O$6,#REF!)</f>
        <v>(Invalid Identifier)</v>
      </c>
      <c r="P58" t="str">
        <f>_xll.ciqfunctions.udf.CIQ($B58, P$6, C58)</f>
        <v>(Invalid Identifier)</v>
      </c>
      <c r="Q58" t="str">
        <f>_xll.ciqfunctions.udf.CIQ($B58, Q$6, C58)</f>
        <v>(Invalid Identifier)</v>
      </c>
      <c r="R58" t="str">
        <f>_xll.ciqfunctions.udf.CIQ($R$52, $R$53, D58)</f>
        <v>(Invalid Date)</v>
      </c>
      <c r="S58" s="23"/>
      <c r="T58" s="23"/>
    </row>
    <row r="59" spans="1:21">
      <c r="A59" s="12" t="str">
        <f>_xll.ciqfunctions.udf.CIQ(B59,$A$74)</f>
        <v>(Invalid Identifier)</v>
      </c>
      <c r="C59" t="s">
        <v>53</v>
      </c>
      <c r="D59" s="8" t="str">
        <f>_xll.ciqfunctions.udf.CIQ($B59, D$6,C59)</f>
        <v>(Invalid Identifier)</v>
      </c>
      <c r="E59" s="12" t="str">
        <f>_xll.ciqfunctions.udf.CIQ($B59,$E$6, , D59)</f>
        <v>(Invalid Identifier)</v>
      </c>
      <c r="F59" s="12" t="str">
        <f>_xll.ciqfunctions.udf.CIQ($B59, F$6, D59)</f>
        <v>(Invalid Identifier)</v>
      </c>
      <c r="G59" s="21" t="str">
        <f>_xll.ciqfunctions.udf.CIQ($B59, J$6,  C59)</f>
        <v>(Invalid Identifier)</v>
      </c>
      <c r="H59" s="15" t="str">
        <f>_xll.ciqfunctions.udf.CIQ($B59, H$6, C59)</f>
        <v>(Invalid Identifier)</v>
      </c>
      <c r="I59" s="18" t="e">
        <f>_xll.ciqfunctions.udf.CIQ($B59, I$6,  C59)/100</f>
        <v>#VALUE!</v>
      </c>
      <c r="J59" s="18" t="e">
        <f t="shared" si="6"/>
        <v>#VALUE!</v>
      </c>
      <c r="K59" s="20"/>
      <c r="L59" s="22" t="str">
        <f>_xll.ciqfunctions.udf.CIQ($B59, L$6,  C59)</f>
        <v>(Invalid Identifier)</v>
      </c>
      <c r="M59" t="str">
        <f>_xll.ciqfunctions.udf.CIQ($B59, M$6, C59)</f>
        <v>(Invalid Identifier)</v>
      </c>
      <c r="N59" s="27" t="str">
        <f>_xll.ciqfunctions.udf.CIQ($B59, N$6,#REF!)</f>
        <v>(Invalid Identifier)</v>
      </c>
      <c r="O59" t="str">
        <f>_xll.ciqfunctions.udf.CIQ($B59, O$6,#REF!)</f>
        <v>(Invalid Identifier)</v>
      </c>
      <c r="P59" t="str">
        <f>_xll.ciqfunctions.udf.CIQ($B59, P$6, C59)</f>
        <v>(Invalid Identifier)</v>
      </c>
      <c r="Q59" t="str">
        <f>_xll.ciqfunctions.udf.CIQ($B59, Q$6, C59)</f>
        <v>(Invalid Identifier)</v>
      </c>
      <c r="R59" t="str">
        <f>_xll.ciqfunctions.udf.CIQ($R$52, $R$53, D59)</f>
        <v>(Invalid Date)</v>
      </c>
      <c r="S59" s="27"/>
      <c r="T59" s="27"/>
    </row>
    <row r="60" spans="1:21">
      <c r="A60" s="12" t="str">
        <f>_xll.ciqfunctions.udf.CIQ(B60,$A$74)</f>
        <v>(Invalid Identifier)</v>
      </c>
      <c r="C60" t="s">
        <v>53</v>
      </c>
      <c r="D60" s="8" t="str">
        <f>_xll.ciqfunctions.udf.CIQ($B60, D$6,C60)</f>
        <v>(Invalid Identifier)</v>
      </c>
      <c r="E60" s="12" t="str">
        <f>_xll.ciqfunctions.udf.CIQ($B60,$E$6, , D60)</f>
        <v>(Invalid Identifier)</v>
      </c>
      <c r="F60" s="12" t="str">
        <f>_xll.ciqfunctions.udf.CIQ($B60, F$6, D60)</f>
        <v>(Invalid Identifier)</v>
      </c>
      <c r="G60" s="21" t="str">
        <f>_xll.ciqfunctions.udf.CIQ($B60, J$6,  C60)</f>
        <v>(Invalid Identifier)</v>
      </c>
      <c r="H60" s="15" t="str">
        <f>_xll.ciqfunctions.udf.CIQ($B60, H$6, C60)</f>
        <v>(Invalid Identifier)</v>
      </c>
      <c r="I60" s="18" t="e">
        <f>_xll.ciqfunctions.udf.CIQ($B60, I$6,  C60)/100</f>
        <v>#VALUE!</v>
      </c>
      <c r="J60" s="18" t="e">
        <f t="shared" si="6"/>
        <v>#VALUE!</v>
      </c>
      <c r="K60" s="20"/>
      <c r="L60" s="22" t="str">
        <f>_xll.ciqfunctions.udf.CIQ($B60, L$6,  C60)</f>
        <v>(Invalid Identifier)</v>
      </c>
      <c r="M60" t="str">
        <f>_xll.ciqfunctions.udf.CIQ($B60, M$6, C60)</f>
        <v>(Invalid Identifier)</v>
      </c>
      <c r="N60" s="27" t="str">
        <f>_xll.ciqfunctions.udf.CIQ($B60, N$6,#REF!)</f>
        <v>(Invalid Identifier)</v>
      </c>
      <c r="O60" t="str">
        <f>_xll.ciqfunctions.udf.CIQ($B60, O$6,#REF!)</f>
        <v>(Invalid Identifier)</v>
      </c>
      <c r="P60" t="str">
        <f>_xll.ciqfunctions.udf.CIQ($B60, P$6, C60)</f>
        <v>(Invalid Identifier)</v>
      </c>
      <c r="Q60" t="str">
        <f>_xll.ciqfunctions.udf.CIQ($B60, Q$6, C60)</f>
        <v>(Invalid Identifier)</v>
      </c>
      <c r="R60" t="str">
        <f>_xll.ciqfunctions.udf.CIQ($R$52, $R$53, D60)</f>
        <v>(Invalid Date)</v>
      </c>
      <c r="S60" s="27"/>
      <c r="T60" s="27"/>
    </row>
    <row r="61" spans="1:21">
      <c r="A61" s="12" t="str">
        <f>_xll.ciqfunctions.udf.CIQ(B61,$A$74)</f>
        <v>Tata Chemicals Limited</v>
      </c>
      <c r="B61" s="47" t="s">
        <v>170</v>
      </c>
      <c r="C61" t="str">
        <f>C60</f>
        <v>FY2013</v>
      </c>
      <c r="D61" s="8">
        <f>_xll.ciqfunctions.udf.CIQ($B61, D$6,C61)</f>
        <v>41843</v>
      </c>
      <c r="E61" s="12">
        <f>_xll.ciqfunctions.udf.CIQ($B61,$E$6, , D61)</f>
        <v>0</v>
      </c>
      <c r="F61" s="12">
        <f>_xll.ciqfunctions.udf.CIQ($B61, F$6, D61)</f>
        <v>0</v>
      </c>
      <c r="G61" s="21">
        <f>_xll.ciqfunctions.udf.CIQ($B61, J$6,  C61)</f>
        <v>8.8454999999999995</v>
      </c>
      <c r="H61" s="15">
        <f>_xll.ciqfunctions.udf.CIQ($B61, H$6, C61)</f>
        <v>3.5704199999999999</v>
      </c>
      <c r="I61" s="18">
        <f>_xll.ciqfunctions.udf.CIQ($B61, I$6,  C61)/100</f>
        <v>0.54676900000000006</v>
      </c>
      <c r="J61" s="18">
        <f t="shared" ref="J61:J64" si="7">P61/-M61</f>
        <v>1.5627372627372627</v>
      </c>
      <c r="K61" s="20"/>
      <c r="L61" s="22">
        <f>_xll.ciqfunctions.udf.CIQ($B61, L$6,  C61)</f>
        <v>0</v>
      </c>
      <c r="M61">
        <f>_xll.ciqfunctions.udf.CIQ($B61, M$6, C61)</f>
        <v>4004</v>
      </c>
      <c r="N61" s="27">
        <f>_xll.ciqfunctions.udf.CIQ($B61, N$6,#REF!)</f>
        <v>425.65</v>
      </c>
      <c r="O61">
        <f>_xll.ciqfunctions.udf.CIQ($B61, O$6,#REF!)</f>
        <v>0</v>
      </c>
      <c r="P61">
        <f>_xll.ciqfunctions.udf.CIQ($B61, P$6, C61)</f>
        <v>-6257.2</v>
      </c>
      <c r="Q61">
        <f>_xll.ciqfunctions.udf.CIQ($B61, Q$6, C61)</f>
        <v>147110.20000000001</v>
      </c>
      <c r="R61">
        <f>_xll.ciqfunctions.udf.CIQ($R$52, $R$53, D61)</f>
        <v>2.48</v>
      </c>
      <c r="S61" s="27"/>
      <c r="T61" s="27"/>
    </row>
    <row r="62" spans="1:21">
      <c r="A62" s="12" t="str">
        <f>_xll.ciqfunctions.udf.CIQ(B62,$A$74)</f>
        <v>(Invalid Identifier)</v>
      </c>
      <c r="B62" s="55"/>
      <c r="C62" t="str">
        <f t="shared" ref="C62:C64" si="8">C61</f>
        <v>FY2013</v>
      </c>
      <c r="D62" s="8" t="str">
        <f>_xll.ciqfunctions.udf.CIQ($B62, D$6,C62)</f>
        <v>(Invalid Identifier)</v>
      </c>
      <c r="E62" s="12" t="str">
        <f>_xll.ciqfunctions.udf.CIQ($B62,$E$6, , D62)</f>
        <v>(Invalid Identifier)</v>
      </c>
      <c r="F62" s="12" t="str">
        <f>_xll.ciqfunctions.udf.CIQ($B62, F$6, D62)</f>
        <v>(Invalid Identifier)</v>
      </c>
      <c r="G62" s="21" t="str">
        <f>_xll.ciqfunctions.udf.CIQ($B62, J$6,  C62)</f>
        <v>(Invalid Identifier)</v>
      </c>
      <c r="H62" s="15" t="str">
        <f>_xll.ciqfunctions.udf.CIQ($B62, H$6, C62)</f>
        <v>(Invalid Identifier)</v>
      </c>
      <c r="I62" s="18" t="e">
        <f>_xll.ciqfunctions.udf.CIQ($B62, I$6,  C62)/100</f>
        <v>#VALUE!</v>
      </c>
      <c r="J62" s="18" t="e">
        <f t="shared" si="7"/>
        <v>#VALUE!</v>
      </c>
      <c r="K62" s="20"/>
      <c r="L62" s="22" t="str">
        <f>_xll.ciqfunctions.udf.CIQ($B62, L$6,  C62)</f>
        <v>(Invalid Identifier)</v>
      </c>
      <c r="M62" t="str">
        <f>_xll.ciqfunctions.udf.CIQ($B62, M$6, C62)</f>
        <v>(Invalid Identifier)</v>
      </c>
      <c r="N62" s="27" t="str">
        <f>_xll.ciqfunctions.udf.CIQ($B62, N$6,#REF!)</f>
        <v>(Invalid Identifier)</v>
      </c>
      <c r="O62" t="str">
        <f>_xll.ciqfunctions.udf.CIQ($B62, O$6,#REF!)</f>
        <v>(Invalid Identifier)</v>
      </c>
      <c r="P62" t="str">
        <f>_xll.ciqfunctions.udf.CIQ($B62, P$6, C62)</f>
        <v>(Invalid Identifier)</v>
      </c>
      <c r="Q62" t="str">
        <f>_xll.ciqfunctions.udf.CIQ($B62, Q$6, C62)</f>
        <v>(Invalid Identifier)</v>
      </c>
      <c r="R62" t="str">
        <f>_xll.ciqfunctions.udf.CIQ($R$52, $R$53, D62)</f>
        <v>(Invalid Date)</v>
      </c>
      <c r="S62" s="27"/>
      <c r="T62" s="27"/>
    </row>
    <row r="63" spans="1:21">
      <c r="A63" s="12" t="str">
        <f>_xll.ciqfunctions.udf.CIQ(B63,$A$74)</f>
        <v>MosChip Semiconductor Technology Limited</v>
      </c>
      <c r="B63">
        <v>532407</v>
      </c>
      <c r="C63" t="str">
        <f t="shared" si="8"/>
        <v>FY2013</v>
      </c>
      <c r="D63" s="8">
        <f>_xll.ciqfunctions.udf.CIQ($B63, D$6,C63)</f>
        <v>41872</v>
      </c>
      <c r="E63" s="12" t="str">
        <f>_xll.ciqfunctions.udf.CIQ($B63,$E$6, , D63)</f>
        <v>NM</v>
      </c>
      <c r="F63" s="12">
        <f>_xll.ciqfunctions.udf.CIQ($B63, F$6, D63)</f>
        <v>0</v>
      </c>
      <c r="G63" s="21">
        <f>_xll.ciqfunctions.udf.CIQ($B63, J$6,  C63)</f>
        <v>-233.04900000000001</v>
      </c>
      <c r="H63" s="15" t="str">
        <f>_xll.ciqfunctions.udf.CIQ($B63, H$6, C63)</f>
        <v>NM</v>
      </c>
      <c r="I63" s="18">
        <f>_xll.ciqfunctions.udf.CIQ($B63, I$6,  C63)/100</f>
        <v>0.80129900000000009</v>
      </c>
      <c r="J63" s="18">
        <f t="shared" si="7"/>
        <v>-1.7555340705884055E-2</v>
      </c>
      <c r="K63" s="20"/>
      <c r="L63" s="22">
        <f>_xll.ciqfunctions.udf.CIQ($B63, L$6,  C63)</f>
        <v>0</v>
      </c>
      <c r="M63">
        <f>_xll.ciqfunctions.udf.CIQ($B63, M$6, C63)</f>
        <v>-143.85252</v>
      </c>
      <c r="N63" s="27">
        <f>_xll.ciqfunctions.udf.CIQ($B63, N$6,#REF!)</f>
        <v>3.42</v>
      </c>
      <c r="O63">
        <f>_xll.ciqfunctions.udf.CIQ($B63, O$6,#REF!)</f>
        <v>0</v>
      </c>
      <c r="P63">
        <f>_xll.ciqfunctions.udf.CIQ($B63, P$6, C63)</f>
        <v>-2.5253800000000002</v>
      </c>
      <c r="Q63">
        <f>_xll.ciqfunctions.udf.CIQ($B63, Q$6, C63)</f>
        <v>97.922870000000003</v>
      </c>
      <c r="R63">
        <f>_xll.ciqfunctions.udf.CIQ($R$52, $R$53, D63)</f>
        <v>2.41</v>
      </c>
      <c r="S63" s="27"/>
      <c r="T63" s="27"/>
    </row>
    <row r="64" spans="1:21">
      <c r="A64" s="12" t="str">
        <f>_xll.ciqfunctions.udf.CIQ(B64,$A$74)</f>
        <v>SPEL Semiconductor Limited</v>
      </c>
      <c r="B64" s="48">
        <v>517166</v>
      </c>
      <c r="C64" s="48" t="str">
        <f t="shared" si="8"/>
        <v>FY2013</v>
      </c>
      <c r="D64" s="49">
        <f>_xll.ciqfunctions.udf.CIQ($B64, D$6,C64)</f>
        <v>41879</v>
      </c>
      <c r="E64" s="50">
        <f>_xll.ciqfunctions.udf.CIQ($B64,$E$6, , D64)</f>
        <v>5.2329100000000004</v>
      </c>
      <c r="F64" s="50">
        <f>_xll.ciqfunctions.udf.CIQ($B64, F$6, D64)</f>
        <v>0</v>
      </c>
      <c r="G64" s="51">
        <f>_xll.ciqfunctions.udf.CIQ($B64, J$6,  C64)</f>
        <v>-5.0511999999999997</v>
      </c>
      <c r="H64" s="52">
        <f>_xll.ciqfunctions.udf.CIQ($B64, H$6, C64)</f>
        <v>2.9104899999999998</v>
      </c>
      <c r="I64" s="53">
        <f>_xll.ciqfunctions.udf.CIQ($B64, I$6,  C64)/100</f>
        <v>0.27490999999999999</v>
      </c>
      <c r="J64" s="53">
        <f t="shared" si="7"/>
        <v>-0.81799571778513769</v>
      </c>
      <c r="K64" s="20"/>
      <c r="L64" s="22" t="s">
        <v>178</v>
      </c>
      <c r="M64">
        <f>_xll.ciqfunctions.udf.CIQ($B64, M$6, C64)</f>
        <v>-45.31767</v>
      </c>
      <c r="N64" s="27">
        <f>_xll.ciqfunctions.udf.CIQ($B64, N$6,#REF!)</f>
        <v>13.9</v>
      </c>
      <c r="O64">
        <f>_xll.ciqfunctions.udf.CIQ($B64, O$6,#REF!)</f>
        <v>0</v>
      </c>
      <c r="P64">
        <f>_xll.ciqfunctions.udf.CIQ($B64, P$6, C64)</f>
        <v>-37.069659999999999</v>
      </c>
      <c r="Q64">
        <f>_xll.ciqfunctions.udf.CIQ($B64, Q$6, C64)</f>
        <v>807.75771999999995</v>
      </c>
      <c r="R64">
        <f>_xll.ciqfunctions.udf.CIQ($R$52, $R$53, D64)</f>
        <v>2.34</v>
      </c>
      <c r="S64" s="27"/>
      <c r="T64" s="27"/>
    </row>
    <row r="65" spans="1:20">
      <c r="D65" s="12" t="s">
        <v>165</v>
      </c>
      <c r="E65" s="16" t="e">
        <f>Spearman($E$55:$E$63,F55:F63)</f>
        <v>#VALUE!</v>
      </c>
      <c r="F65" s="16" t="e">
        <f>Spearman($E$55:$E$63,G55:G63)</f>
        <v>#VALUE!</v>
      </c>
      <c r="G65" s="16" t="e">
        <f t="shared" ref="G65:I65" si="9">Spearman($E$55:$E$63,H55:H63)</f>
        <v>#VALUE!</v>
      </c>
      <c r="H65" s="16" t="e">
        <f t="shared" si="9"/>
        <v>#VALUE!</v>
      </c>
      <c r="I65" s="16" t="e">
        <f t="shared" si="9"/>
        <v>#VALUE!</v>
      </c>
      <c r="J65" s="16"/>
      <c r="K65" s="20"/>
      <c r="L65" s="20"/>
      <c r="M65" s="20"/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R73" s="54" t="s">
        <v>169</v>
      </c>
    </row>
    <row r="74" spans="1:20" ht="30">
      <c r="A74" t="str">
        <f>"IQ_COMPANY_NAME"</f>
        <v>IQ_COMPANY_NAME</v>
      </c>
      <c r="B74" s="9"/>
      <c r="C74" s="2"/>
      <c r="D74" t="str">
        <f>"IQ_FILINGDATE_BS"</f>
        <v>IQ_FILINGDATE_BS</v>
      </c>
      <c r="E74" s="12" t="str">
        <f>"IQ_TEV_EBITDA"</f>
        <v>IQ_TEV_EBITDA</v>
      </c>
      <c r="F74" s="14" t="str">
        <f>"IQ_DIVIDEND_YIELD"</f>
        <v>IQ_DIVIDEND_YIELD</v>
      </c>
      <c r="G74" s="14" t="str">
        <f>"IQ_RETURN_EQUITY"</f>
        <v>IQ_RETURN_EQUITY</v>
      </c>
      <c r="H74" s="14" t="str">
        <f>"IQ_TOTAL_DEBT_EBITDA"</f>
        <v>IQ_TOTAL_DEBT_EBITDA</v>
      </c>
      <c r="I74" s="14" t="str">
        <f>"IQ_TOTAL_DEBT_CAPITAL"</f>
        <v>IQ_TOTAL_DEBT_CAPITAL</v>
      </c>
      <c r="J74" s="12"/>
      <c r="K74" s="42"/>
      <c r="L74" s="19" t="str">
        <f>"IQ_COMMON_REP"</f>
        <v>IQ_COMMON_REP</v>
      </c>
      <c r="M74" s="2" t="str">
        <f>"IQ_NI"</f>
        <v>IQ_NI</v>
      </c>
      <c r="N74" s="28" t="str">
        <f>"IQ_LASTSALEPRICE"</f>
        <v>IQ_LASTSALEPRICE</v>
      </c>
      <c r="O74" s="2" t="str">
        <f>"IQ_ANNUALIZED_DIVIDEND"</f>
        <v>IQ_ANNUALIZED_DIVIDEND</v>
      </c>
      <c r="P74" s="2" t="str">
        <f>"IQ_CAPEX"</f>
        <v>IQ_CAPEX</v>
      </c>
      <c r="Q74" s="2" t="str">
        <f>"IQ_TOTAL_REV"</f>
        <v>IQ_TOTAL_REV</v>
      </c>
      <c r="R74" s="54" t="s">
        <v>168</v>
      </c>
    </row>
    <row r="75" spans="1:20">
      <c r="A75" s="2" t="str">
        <f>A54</f>
        <v>Company Name</v>
      </c>
      <c r="C75" s="2" t="str">
        <f>C54</f>
        <v>Finacial Yr</v>
      </c>
      <c r="D75" s="2" t="str">
        <f>D54</f>
        <v>Filing date</v>
      </c>
      <c r="E75" s="12" t="s">
        <v>34</v>
      </c>
      <c r="F75" s="14" t="s">
        <v>33</v>
      </c>
      <c r="G75" s="14" t="s">
        <v>28</v>
      </c>
      <c r="H75" s="14" t="s">
        <v>31</v>
      </c>
      <c r="I75" s="14" t="s">
        <v>30</v>
      </c>
      <c r="J75" s="44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12" t="str">
        <f>_xll.ciqfunctions.udf.CIQ(B76,$A$74)</f>
        <v>ORT Technologies Ltd.</v>
      </c>
      <c r="B76" t="s">
        <v>177</v>
      </c>
      <c r="C76" t="s">
        <v>53</v>
      </c>
      <c r="D76" s="8">
        <f>_xll.ciqfunctions.udf.CIQ($B76, D$6,C76)</f>
        <v>41719</v>
      </c>
      <c r="E76" s="12">
        <f>_xll.ciqfunctions.udf.CIQ($B76,$E$6, , D76)</f>
        <v>11.32371</v>
      </c>
      <c r="F76" s="12">
        <f>_xll.ciqfunctions.udf.CIQ($B76, F$6, D76)</f>
        <v>5.8540000000000001</v>
      </c>
      <c r="G76" s="21">
        <f>_xll.ciqfunctions.udf.CIQ($B76, J$6,  C76)</f>
        <v>-7.0000000000000001E-3</v>
      </c>
      <c r="H76" s="15">
        <f>_xll.ciqfunctions.udf.CIQ($B76, H$6, C76)</f>
        <v>3.3996499999999998</v>
      </c>
      <c r="I76" s="18">
        <f>_xll.ciqfunctions.udf.CIQ($B76, I$6,  C76)/100</f>
        <v>0.27179300000000001</v>
      </c>
      <c r="J76" s="18">
        <f t="shared" ref="J76" si="10">P76/-M76</f>
        <v>-1.6174496644295302</v>
      </c>
      <c r="K76" s="43"/>
      <c r="L76" s="22">
        <f>_xll.ciqfunctions.udf.CIQ($B76, L$6,  C76)</f>
        <v>0</v>
      </c>
      <c r="M76">
        <f>_xll.ciqfunctions.udf.CIQ($B76, M$6, C76)</f>
        <v>-2.6819999999999999</v>
      </c>
      <c r="N76" s="27">
        <f>_xll.ciqfunctions.udf.CIQ($B76, N$6,#REF!)</f>
        <v>19.489999999999998</v>
      </c>
      <c r="O76">
        <f>_xll.ciqfunctions.udf.CIQ($B76, O$6,#REF!)</f>
        <v>0</v>
      </c>
      <c r="P76">
        <f>_xll.ciqfunctions.udf.CIQ($B76, P$6, C76)</f>
        <v>-4.3380000000000001</v>
      </c>
      <c r="Q76">
        <f>_xll.ciqfunctions.udf.CIQ($B76, Q$6, C76)</f>
        <v>267.23899999999998</v>
      </c>
      <c r="R76">
        <f>_xll.ciqfunctions.udf.CIQ($R$73, $R$74, D76)</f>
        <v>2.75</v>
      </c>
    </row>
    <row r="77" spans="1:20">
      <c r="A77" s="12" t="str">
        <f>_xll.ciqfunctions.udf.CIQ(B77,$A$74)</f>
        <v>Israel Chemicals Ltd.</v>
      </c>
      <c r="B77" t="s">
        <v>176</v>
      </c>
      <c r="C77" t="s">
        <v>53</v>
      </c>
      <c r="D77" s="8">
        <f>_xll.ciqfunctions.udf.CIQ($B77, D$6,C77)</f>
        <v>41906</v>
      </c>
      <c r="E77" s="12">
        <f>_xll.ciqfunctions.udf.CIQ($B77,$E$6, , D77)</f>
        <v>10.535450000000001</v>
      </c>
      <c r="F77" s="12">
        <f>_xll.ciqfunctions.udf.CIQ($B77, F$6, D77)</f>
        <v>1.6192</v>
      </c>
      <c r="G77" s="21">
        <f>_xll.ciqfunctions.udf.CIQ($B77, J$6,  C77)</f>
        <v>23.211500000000001</v>
      </c>
      <c r="H77" s="15">
        <f>_xll.ciqfunctions.udf.CIQ($B77, H$6, C77)</f>
        <v>1.3751899999999999</v>
      </c>
      <c r="I77" s="18">
        <f>_xll.ciqfunctions.udf.CIQ($B77, I$6,  C77)/100</f>
        <v>0.35641800000000001</v>
      </c>
      <c r="J77" s="18">
        <f t="shared" ref="J77:J78" si="11">P77/-M77</f>
        <v>1.0097914297197683</v>
      </c>
      <c r="K77" s="43"/>
      <c r="L77" s="22">
        <f>_xll.ciqfunctions.udf.CIQ($B77, L$6,  C77)</f>
        <v>0</v>
      </c>
      <c r="M77">
        <f>_xll.ciqfunctions.udf.CIQ($B77, M$6, C77)</f>
        <v>818.57299999999998</v>
      </c>
      <c r="N77" s="27">
        <f>_xll.ciqfunctions.udf.CIQ($B77, N$6,#REF!)</f>
        <v>28.63</v>
      </c>
      <c r="O77">
        <f>_xll.ciqfunctions.udf.CIQ($B77, O$6,#REF!)</f>
        <v>0.45</v>
      </c>
      <c r="P77">
        <f>_xll.ciqfunctions.udf.CIQ($B77, P$6, C77)</f>
        <v>-826.58799999999997</v>
      </c>
      <c r="Q77">
        <f>_xll.ciqfunctions.udf.CIQ($B77, Q$6, C77)</f>
        <v>6271.5420000000004</v>
      </c>
      <c r="R77">
        <f>_xll.ciqfunctions.udf.CIQ($R$73, $R$74, D77)</f>
        <v>2.57</v>
      </c>
    </row>
    <row r="78" spans="1:20">
      <c r="A78" s="12" t="str">
        <f>_xll.ciqfunctions.udf.CIQ(B78,$A$74)</f>
        <v>Nova Measuring Instruments Ltd.</v>
      </c>
      <c r="B78" t="s">
        <v>172</v>
      </c>
      <c r="C78" t="s">
        <v>132</v>
      </c>
      <c r="D78" s="8">
        <f>_xll.ciqfunctions.udf.CIQ($B78, D$6,C78)</f>
        <v>41698</v>
      </c>
      <c r="E78" s="12">
        <f>_xll.ciqfunctions.udf.CIQ($B78,$E$6, , D78)</f>
        <v>13.212630000000001</v>
      </c>
      <c r="F78" s="12">
        <f>_xll.ciqfunctions.udf.CIQ($B78, F$6, D78)</f>
        <v>0</v>
      </c>
      <c r="G78" s="21">
        <f>_xll.ciqfunctions.udf.CIQ($B78, J$6,  C78)</f>
        <v>11.019299999999999</v>
      </c>
      <c r="H78" s="15">
        <f>_xll.ciqfunctions.udf.CIQ($B78, H$6, C78)</f>
        <v>0</v>
      </c>
      <c r="I78" s="18">
        <f>_xll.ciqfunctions.udf.CIQ($B78, I$6,  C78)/100</f>
        <v>0</v>
      </c>
      <c r="J78" s="18">
        <f t="shared" si="11"/>
        <v>0.30943523841731485</v>
      </c>
      <c r="K78" s="43"/>
      <c r="L78" s="22">
        <f>_xll.ciqfunctions.udf.CIQ($B78, L$6,  C78)</f>
        <v>0</v>
      </c>
      <c r="M78">
        <f>_xll.ciqfunctions.udf.CIQ($B78, M$6, C78)</f>
        <v>11.827999999999999</v>
      </c>
      <c r="N78" s="27">
        <f>_xll.ciqfunctions.udf.CIQ($B78, N$6,#REF!)</f>
        <v>10.02</v>
      </c>
      <c r="O78">
        <f>_xll.ciqfunctions.udf.CIQ($B78, O$6,#REF!)</f>
        <v>0</v>
      </c>
      <c r="P78">
        <f>_xll.ciqfunctions.udf.CIQ($B78, P$6, C78)</f>
        <v>-3.66</v>
      </c>
      <c r="Q78">
        <f>_xll.ciqfunctions.udf.CIQ($B78, Q$6, C78)</f>
        <v>96.168000000000006</v>
      </c>
      <c r="R78">
        <f>_xll.ciqfunctions.udf.CIQ($R$73, $R$74, D78)</f>
        <v>2.66</v>
      </c>
    </row>
    <row r="79" spans="1:20">
      <c r="A79" s="12" t="str">
        <f>_xll.ciqfunctions.udf.CIQ(B79,$A$74)</f>
        <v>Tower Semiconductor Ltd.</v>
      </c>
      <c r="B79" t="s">
        <v>174</v>
      </c>
      <c r="C79" t="s">
        <v>53</v>
      </c>
      <c r="D79" s="8">
        <f>_xll.ciqfunctions.udf.CIQ($B79, D$6,C79)</f>
        <v>41701</v>
      </c>
      <c r="E79" s="12">
        <f>_xll.ciqfunctions.udf.CIQ($B79,$E$6, , D79)</f>
        <v>5.2227499999999996</v>
      </c>
      <c r="F79" s="12">
        <f>_xll.ciqfunctions.udf.CIQ($B79, F$6, D79)</f>
        <v>0</v>
      </c>
      <c r="G79" s="21">
        <f>_xll.ciqfunctions.udf.CIQ($B79, J$6,  C79)</f>
        <v>-59.600299999999997</v>
      </c>
      <c r="H79" s="15">
        <f>_xll.ciqfunctions.udf.CIQ($B79, H$6, C79)</f>
        <v>3.0210900000000001</v>
      </c>
      <c r="I79" s="18">
        <f>_xll.ciqfunctions.udf.CIQ($B79, I$6,  C79)/100</f>
        <v>0.71440399999999993</v>
      </c>
      <c r="J79" s="18" t="str">
        <f>IF(P79/-M79&lt;0,"",P79/-M79)</f>
        <v/>
      </c>
      <c r="K79" s="20"/>
      <c r="L79" s="22">
        <f>_xll.ciqfunctions.udf.CIQ($B79, L$6,  C79)</f>
        <v>0</v>
      </c>
      <c r="M79">
        <f>_xll.ciqfunctions.udf.CIQ($B79, M$6, C79)</f>
        <v>-107.66</v>
      </c>
      <c r="N79" s="27">
        <f>_xll.ciqfunctions.udf.CIQ($B79, N$6,#REF!)</f>
        <v>12.61</v>
      </c>
      <c r="O79">
        <f>_xll.ciqfunctions.udf.CIQ($B79, O$6,#REF!)</f>
        <v>0</v>
      </c>
      <c r="P79">
        <f>_xll.ciqfunctions.udf.CIQ($B79, P$6, C79)</f>
        <v>-81.819000000000003</v>
      </c>
      <c r="Q79">
        <f>_xll.ciqfunctions.udf.CIQ($B79, Q$6, C79)</f>
        <v>505.00900000000001</v>
      </c>
      <c r="R79">
        <f>_xll.ciqfunctions.udf.CIQ($R$73, $R$74, D79)</f>
        <v>2.6</v>
      </c>
    </row>
    <row r="80" spans="1:20">
      <c r="A80" s="12" t="str">
        <f>_xll.ciqfunctions.udf.CIQ(B80,$A$74)</f>
        <v>EZchip Semiconductor Ltd.</v>
      </c>
      <c r="B80" t="s">
        <v>173</v>
      </c>
      <c r="C80" t="s">
        <v>53</v>
      </c>
      <c r="D80" s="8">
        <f>_xll.ciqfunctions.udf.CIQ($B80, D$6,C80)</f>
        <v>41725</v>
      </c>
      <c r="E80" s="12">
        <f>_xll.ciqfunctions.udf.CIQ($B80,$E$6, , D80)</f>
        <v>26.60305</v>
      </c>
      <c r="F80" s="12">
        <f>_xll.ciqfunctions.udf.CIQ($B80, F$6, D80)</f>
        <v>0</v>
      </c>
      <c r="G80" s="21">
        <f>_xll.ciqfunctions.udf.CIQ($B80, J$6,  C80)</f>
        <v>7.4318</v>
      </c>
      <c r="H80" s="15">
        <f>_xll.ciqfunctions.udf.CIQ($B80, H$6, C80)</f>
        <v>0</v>
      </c>
      <c r="I80" s="18">
        <f>_xll.ciqfunctions.udf.CIQ($B80, I$6,  C80)/100</f>
        <v>0</v>
      </c>
      <c r="J80" s="18">
        <f t="shared" ref="J80" si="12">P80/-M80</f>
        <v>7.3601253571757758E-2</v>
      </c>
      <c r="K80" s="20"/>
      <c r="L80" s="22">
        <f>_xll.ciqfunctions.udf.CIQ($B80, L$6,  C80)</f>
        <v>0</v>
      </c>
      <c r="M80">
        <f>_xll.ciqfunctions.udf.CIQ($B80, M$6, C80)</f>
        <v>21.698</v>
      </c>
      <c r="N80" s="27">
        <f>_xll.ciqfunctions.udf.CIQ($B80, N$6,#REF!)</f>
        <v>20.07</v>
      </c>
      <c r="O80">
        <f>_xll.ciqfunctions.udf.CIQ($B80, O$6,#REF!)</f>
        <v>0</v>
      </c>
      <c r="P80">
        <f>_xll.ciqfunctions.udf.CIQ($B80, P$6, C80)</f>
        <v>-1.597</v>
      </c>
      <c r="Q80">
        <f>_xll.ciqfunctions.udf.CIQ($B80, Q$6, C80)</f>
        <v>70.849999999999994</v>
      </c>
      <c r="R80">
        <f>_xll.ciqfunctions.udf.CIQ($R$73, $R$74, D80)</f>
        <v>2.69</v>
      </c>
    </row>
    <row r="81" spans="1:18">
      <c r="A81" s="12" t="str">
        <f>_xll.ciqfunctions.udf.CIQ(B81,$A$74)</f>
        <v>Nova Measuring Instruments Ltd.</v>
      </c>
      <c r="B81" t="s">
        <v>172</v>
      </c>
      <c r="C81" t="s">
        <v>53</v>
      </c>
      <c r="D81" s="8">
        <f>_xll.ciqfunctions.udf.CIQ($B81, D$6,C81)</f>
        <v>41698</v>
      </c>
      <c r="E81" s="12">
        <f>_xll.ciqfunctions.udf.CIQ($B81,$E$6, , D81)</f>
        <v>13.212630000000001</v>
      </c>
      <c r="F81" s="12">
        <f>_xll.ciqfunctions.udf.CIQ($B81, F$6, D81)</f>
        <v>0</v>
      </c>
      <c r="G81" s="21">
        <f>_xll.ciqfunctions.udf.CIQ($B81, J$6,  C81)</f>
        <v>8.6387999999999998</v>
      </c>
      <c r="H81" s="15">
        <f>_xll.ciqfunctions.udf.CIQ($B81, H$6, C81)</f>
        <v>0</v>
      </c>
      <c r="I81" s="18">
        <f>_xll.ciqfunctions.udf.CIQ($B81, I$6,  C81)/100</f>
        <v>0</v>
      </c>
      <c r="J81" s="18">
        <f t="shared" ref="J81" si="13">P81/-M81</f>
        <v>0.3917261055634807</v>
      </c>
      <c r="K81" s="43"/>
      <c r="L81" s="22">
        <f>_xll.ciqfunctions.udf.CIQ($B81, L$6,  C81)</f>
        <v>0</v>
      </c>
      <c r="M81">
        <f>_xll.ciqfunctions.udf.CIQ($B81, M$6, C81)</f>
        <v>10.515000000000001</v>
      </c>
      <c r="N81" s="27">
        <f>_xll.ciqfunctions.udf.CIQ($B81, N$6,#REF!)</f>
        <v>10.02</v>
      </c>
      <c r="O81">
        <f>_xll.ciqfunctions.udf.CIQ($B81, O$6,#REF!)</f>
        <v>0</v>
      </c>
      <c r="P81">
        <f>_xll.ciqfunctions.udf.CIQ($B81, P$6, C81)</f>
        <v>-4.1189999999999998</v>
      </c>
      <c r="Q81">
        <f>_xll.ciqfunctions.udf.CIQ($B81, Q$6, C81)</f>
        <v>111.509</v>
      </c>
      <c r="R81">
        <f>_xll.ciqfunctions.udf.CIQ($R$73, $R$74, D81)</f>
        <v>2.66</v>
      </c>
    </row>
    <row r="82" spans="1:18">
      <c r="A82" s="12" t="str">
        <f>_xll.ciqfunctions.udf.CIQ(B82,$A$74)</f>
        <v>Israel Aerospace Industries Ltd.</v>
      </c>
      <c r="B82" t="s">
        <v>175</v>
      </c>
      <c r="C82" t="s">
        <v>132</v>
      </c>
      <c r="D82" s="8">
        <f>_xll.ciqfunctions.udf.CIQ($B82, D$6,C82)</f>
        <v>41724</v>
      </c>
      <c r="E82" s="12">
        <f>_xll.ciqfunctions.udf.CIQ($B82,$E$6, , D82)</f>
        <v>0</v>
      </c>
      <c r="F82" s="12">
        <f>_xll.ciqfunctions.udf.CIQ($B82, F$6, D82)</f>
        <v>0</v>
      </c>
      <c r="G82" s="21">
        <f>_xll.ciqfunctions.udf.CIQ($B82, J$6,  C82)</f>
        <v>8.3757000000000001</v>
      </c>
      <c r="H82" s="15">
        <f>_xll.ciqfunctions.udf.CIQ($B82, H$6, C82)</f>
        <v>2.3011400000000002</v>
      </c>
      <c r="I82" s="18">
        <f>_xll.ciqfunctions.udf.CIQ($B82, I$6,  C82)/100</f>
        <v>0.30133900000000002</v>
      </c>
      <c r="J82" s="18">
        <f>P82/-M82</f>
        <v>1.4246575342465753</v>
      </c>
      <c r="K82" s="43"/>
      <c r="L82" s="22">
        <f>_xll.ciqfunctions.udf.CIQ($B82, L$6,  C82)</f>
        <v>0</v>
      </c>
      <c r="M82">
        <f>_xll.ciqfunctions.udf.CIQ($B82, M$6, C82)</f>
        <v>73</v>
      </c>
      <c r="N82" s="27">
        <f>_xll.ciqfunctions.udf.CIQ($B82, N$6,#REF!)</f>
        <v>0</v>
      </c>
      <c r="O82">
        <f>_xll.ciqfunctions.udf.CIQ($B82, O$6,#REF!)</f>
        <v>0</v>
      </c>
      <c r="P82">
        <f>_xll.ciqfunctions.udf.CIQ($B82, P$6, C82)</f>
        <v>-104</v>
      </c>
      <c r="Q82">
        <f>_xll.ciqfunctions.udf.CIQ($B82, Q$6, C82)</f>
        <v>3338</v>
      </c>
      <c r="R82">
        <f>_xll.ciqfunctions.udf.CIQ($R$73, $R$74, D82)</f>
        <v>2.71</v>
      </c>
    </row>
    <row r="83" spans="1:18">
      <c r="D83" s="12" t="s">
        <v>24</v>
      </c>
      <c r="E83" s="16">
        <f>Spearman($E$76:$E$80,E76:E80)</f>
        <v>1</v>
      </c>
      <c r="F83" s="16">
        <f t="shared" ref="F83:J83" si="14">Spearman($E$76:$E$80,F76:F80)</f>
        <v>0.15</v>
      </c>
      <c r="G83" s="16">
        <f t="shared" si="14"/>
        <v>0.3</v>
      </c>
      <c r="H83" s="16">
        <f t="shared" si="14"/>
        <v>-0.35</v>
      </c>
      <c r="I83" s="16">
        <f t="shared" si="14"/>
        <v>-0.65</v>
      </c>
      <c r="J83" s="16">
        <f t="shared" si="14"/>
        <v>-0.4</v>
      </c>
      <c r="K83" s="20"/>
      <c r="L83" s="20"/>
      <c r="M83" s="20"/>
    </row>
    <row r="85" spans="1:18">
      <c r="A85" s="38"/>
    </row>
    <row r="92" spans="1:18">
      <c r="A92" s="46" t="s">
        <v>72</v>
      </c>
    </row>
    <row r="93" spans="1:18">
      <c r="A93" t="s">
        <v>73</v>
      </c>
    </row>
    <row r="94" spans="1:18">
      <c r="A94" t="s">
        <v>74</v>
      </c>
    </row>
    <row r="95" spans="1:18">
      <c r="A95" t="s">
        <v>75</v>
      </c>
    </row>
    <row r="96" spans="1:18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U91"/>
  <sheetViews>
    <sheetView topLeftCell="A73" zoomScale="90" zoomScaleNormal="90" workbookViewId="0">
      <selection activeCell="A58" sqref="A58"/>
    </sheetView>
  </sheetViews>
  <sheetFormatPr defaultRowHeight="15"/>
  <cols>
    <col min="1" max="1" width="14.5703125" customWidth="1"/>
    <col min="2" max="2" width="10.5703125" customWidth="1"/>
    <col min="4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8" width="9.710937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">
        <v>57</v>
      </c>
      <c r="E6" s="12" t="s">
        <v>58</v>
      </c>
      <c r="F6" s="14" t="s">
        <v>59</v>
      </c>
      <c r="G6" s="14" t="s">
        <v>60</v>
      </c>
      <c r="H6" s="14" t="s">
        <v>61</v>
      </c>
      <c r="I6" s="14" t="s">
        <v>62</v>
      </c>
      <c r="J6" s="14" t="s">
        <v>63</v>
      </c>
      <c r="K6" s="25" t="s">
        <v>27</v>
      </c>
      <c r="L6" s="19" t="s">
        <v>64</v>
      </c>
      <c r="M6" s="2" t="s">
        <v>65</v>
      </c>
      <c r="N6" s="28" t="s">
        <v>66</v>
      </c>
      <c r="O6" s="2" t="s">
        <v>67</v>
      </c>
      <c r="P6" s="2" t="s">
        <v>68</v>
      </c>
      <c r="Q6" s="2" t="s">
        <v>69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v>41680</v>
      </c>
      <c r="E8" s="12">
        <v>4.9174699999999998</v>
      </c>
      <c r="F8" s="12">
        <v>5.4939999999999998E-3</v>
      </c>
      <c r="G8" s="12">
        <v>0</v>
      </c>
      <c r="H8" s="15">
        <v>1.7057500000000001</v>
      </c>
      <c r="I8" s="18">
        <v>0.497861</v>
      </c>
      <c r="J8" s="21">
        <v>34.586399999999998</v>
      </c>
      <c r="K8" s="26">
        <v>0</v>
      </c>
      <c r="L8" s="22">
        <v>0</v>
      </c>
      <c r="M8">
        <v>48048</v>
      </c>
      <c r="N8" s="27">
        <v>364</v>
      </c>
      <c r="O8">
        <v>2</v>
      </c>
      <c r="P8">
        <v>0</v>
      </c>
      <c r="Q8">
        <v>635360.6</v>
      </c>
      <c r="U8" s="7"/>
    </row>
    <row r="9" spans="1:21">
      <c r="C9">
        <v>499</v>
      </c>
      <c r="D9" s="8">
        <v>41586</v>
      </c>
      <c r="E9" s="12">
        <v>5.9828599999999996</v>
      </c>
      <c r="F9" s="12">
        <v>5.1939999999999998E-3</v>
      </c>
      <c r="G9" s="12">
        <v>0</v>
      </c>
      <c r="H9" s="15">
        <v>1.9999400000000001</v>
      </c>
      <c r="I9" s="18">
        <v>0.497861</v>
      </c>
      <c r="J9" s="21">
        <v>30.338799999999999</v>
      </c>
      <c r="K9" s="26">
        <v>0</v>
      </c>
      <c r="L9" s="22">
        <v>0</v>
      </c>
      <c r="M9">
        <v>35418.6</v>
      </c>
      <c r="N9" s="27">
        <v>385</v>
      </c>
      <c r="O9">
        <v>2</v>
      </c>
      <c r="P9">
        <v>0</v>
      </c>
      <c r="Q9">
        <v>557012.19999999995</v>
      </c>
      <c r="U9" s="7"/>
    </row>
    <row r="10" spans="1:21">
      <c r="C10">
        <v>498</v>
      </c>
      <c r="D10" s="8">
        <v>41493</v>
      </c>
      <c r="E10" s="12">
        <v>5.2137900000000004</v>
      </c>
      <c r="F10" s="12">
        <v>7.1719999999999996E-3</v>
      </c>
      <c r="G10" s="12">
        <v>0</v>
      </c>
      <c r="H10" s="15">
        <v>2.8311000000000002</v>
      </c>
      <c r="I10" s="18">
        <v>0.59175500000000003</v>
      </c>
      <c r="J10" s="21">
        <v>18.3736</v>
      </c>
      <c r="K10" s="26">
        <v>0</v>
      </c>
      <c r="L10" s="22">
        <v>0</v>
      </c>
      <c r="M10">
        <v>17260.7</v>
      </c>
      <c r="N10" s="27">
        <v>278.85000000000002</v>
      </c>
      <c r="O10">
        <v>2</v>
      </c>
      <c r="P10">
        <v>0</v>
      </c>
      <c r="Q10">
        <v>467512.6</v>
      </c>
      <c r="U10" s="7"/>
    </row>
    <row r="11" spans="1:21">
      <c r="C11">
        <v>497</v>
      </c>
      <c r="D11" s="8">
        <v>41449</v>
      </c>
      <c r="E11" s="12">
        <v>5.25014</v>
      </c>
      <c r="F11" s="12">
        <v>7.0499999999999998E-3</v>
      </c>
      <c r="G11" s="12">
        <v>0</v>
      </c>
      <c r="H11" s="15">
        <v>2.1334399999999998</v>
      </c>
      <c r="I11" s="18">
        <v>0.59175500000000003</v>
      </c>
      <c r="J11" s="21">
        <v>40.281999999999996</v>
      </c>
      <c r="K11" s="26">
        <v>0</v>
      </c>
      <c r="L11" s="22">
        <v>0</v>
      </c>
      <c r="M11">
        <v>39454.699999999997</v>
      </c>
      <c r="N11" s="27">
        <v>283.64999999999998</v>
      </c>
      <c r="O11">
        <v>2</v>
      </c>
      <c r="P11">
        <v>0</v>
      </c>
      <c r="Q11">
        <v>570062.9</v>
      </c>
      <c r="U11" s="7"/>
    </row>
    <row r="12" spans="1:21">
      <c r="C12">
        <v>496</v>
      </c>
      <c r="D12" s="8">
        <v>41319</v>
      </c>
      <c r="E12" s="12">
        <v>5.3992199999999997</v>
      </c>
      <c r="F12" s="12">
        <v>1.3481E-2</v>
      </c>
      <c r="G12" s="12">
        <v>0</v>
      </c>
      <c r="H12" s="15">
        <v>2.35806</v>
      </c>
      <c r="I12" s="18">
        <v>0.50619700000000001</v>
      </c>
      <c r="J12" s="21">
        <v>16.1432</v>
      </c>
      <c r="K12" s="26">
        <v>0</v>
      </c>
      <c r="L12" s="22">
        <v>0</v>
      </c>
      <c r="M12">
        <v>16275</v>
      </c>
      <c r="N12" s="27">
        <v>296.7</v>
      </c>
      <c r="O12">
        <v>4</v>
      </c>
      <c r="P12">
        <v>0</v>
      </c>
      <c r="Q12">
        <v>458213.1</v>
      </c>
      <c r="U12" s="7"/>
    </row>
    <row r="13" spans="1:21">
      <c r="C13">
        <v>495</v>
      </c>
      <c r="D13" s="8">
        <v>41220</v>
      </c>
      <c r="E13" s="12">
        <v>4.6510899999999999</v>
      </c>
      <c r="F13" s="12">
        <v>1.4856000000000001E-2</v>
      </c>
      <c r="G13" s="12">
        <v>0</v>
      </c>
      <c r="H13" s="15">
        <v>2.2797700000000001</v>
      </c>
      <c r="I13" s="18">
        <v>0.50619700000000001</v>
      </c>
      <c r="J13" s="21">
        <v>22.6296</v>
      </c>
      <c r="K13" s="26">
        <v>0</v>
      </c>
      <c r="L13" s="22">
        <v>0</v>
      </c>
      <c r="M13">
        <v>20747.3</v>
      </c>
      <c r="N13" s="27">
        <v>269.25</v>
      </c>
      <c r="O13">
        <v>4</v>
      </c>
      <c r="P13">
        <v>0</v>
      </c>
      <c r="Q13">
        <v>428189</v>
      </c>
      <c r="U13" s="7"/>
    </row>
    <row r="14" spans="1:21">
      <c r="C14">
        <v>494</v>
      </c>
      <c r="D14" s="8">
        <v>41130</v>
      </c>
      <c r="E14" s="12">
        <v>4.5370600000000003</v>
      </c>
      <c r="F14" s="12">
        <v>1.6711E-2</v>
      </c>
      <c r="G14" s="12">
        <v>0</v>
      </c>
      <c r="H14" s="15">
        <v>2.40794</v>
      </c>
      <c r="I14" s="18">
        <v>0.59128599999999998</v>
      </c>
      <c r="J14" s="21">
        <v>27.1692</v>
      </c>
      <c r="K14" s="26">
        <v>0</v>
      </c>
      <c r="L14" s="22">
        <v>0</v>
      </c>
      <c r="M14">
        <v>22449.1</v>
      </c>
      <c r="N14" s="27">
        <v>239.35</v>
      </c>
      <c r="O14">
        <v>4</v>
      </c>
      <c r="P14">
        <v>0</v>
      </c>
      <c r="Q14">
        <v>431711.3</v>
      </c>
      <c r="U14" s="7"/>
    </row>
    <row r="15" spans="1:21">
      <c r="C15">
        <v>493</v>
      </c>
      <c r="D15" s="8">
        <v>41449</v>
      </c>
      <c r="E15" s="12">
        <v>5.25014</v>
      </c>
      <c r="F15" s="12">
        <v>7.0499999999999998E-3</v>
      </c>
      <c r="G15" s="12">
        <v>0</v>
      </c>
      <c r="H15" s="15">
        <v>2.00163</v>
      </c>
      <c r="I15" s="18">
        <v>0.59456500000000001</v>
      </c>
      <c r="J15" s="21">
        <v>88.641999999999996</v>
      </c>
      <c r="K15" s="26">
        <v>0</v>
      </c>
      <c r="L15" s="22">
        <v>0</v>
      </c>
      <c r="M15">
        <v>62340</v>
      </c>
      <c r="N15" s="27">
        <v>283.64999999999998</v>
      </c>
      <c r="O15">
        <v>2</v>
      </c>
      <c r="P15">
        <v>0</v>
      </c>
      <c r="Q15">
        <v>514086.1</v>
      </c>
      <c r="U15" s="7"/>
    </row>
    <row r="16" spans="1:21">
      <c r="C16">
        <v>492</v>
      </c>
      <c r="D16" s="8">
        <v>40953</v>
      </c>
      <c r="E16" s="12">
        <v>5.6076499999999996</v>
      </c>
      <c r="F16" s="12">
        <v>1.4930000000000001E-2</v>
      </c>
      <c r="G16" s="12">
        <v>0</v>
      </c>
      <c r="H16" s="15">
        <v>1.83128</v>
      </c>
      <c r="I16" s="18">
        <v>0.65197900000000009</v>
      </c>
      <c r="J16" s="21">
        <v>58.391599999999997</v>
      </c>
      <c r="K16" s="26">
        <v>0</v>
      </c>
      <c r="L16" s="22">
        <v>0</v>
      </c>
      <c r="M16">
        <v>34055.5</v>
      </c>
      <c r="N16" s="27">
        <v>267.89999999999998</v>
      </c>
      <c r="O16">
        <v>4</v>
      </c>
      <c r="P16">
        <v>0</v>
      </c>
      <c r="Q16">
        <v>451992.9</v>
      </c>
      <c r="U16" s="7"/>
    </row>
    <row r="17" spans="3:21">
      <c r="C17">
        <v>491</v>
      </c>
      <c r="D17" s="8">
        <v>40861</v>
      </c>
      <c r="E17" s="12">
        <v>4.7240700000000002</v>
      </c>
      <c r="F17" s="12">
        <v>2.2484000000000001E-2</v>
      </c>
      <c r="G17" s="12">
        <v>0</v>
      </c>
      <c r="H17" s="15">
        <v>2.7724799999999998</v>
      </c>
      <c r="I17" s="18">
        <v>0.65197900000000009</v>
      </c>
      <c r="J17" s="21">
        <v>35.641199999999998</v>
      </c>
      <c r="K17" s="26">
        <v>0</v>
      </c>
      <c r="L17" s="22">
        <v>0</v>
      </c>
      <c r="M17">
        <v>18773.3</v>
      </c>
      <c r="N17" s="27">
        <v>177.9</v>
      </c>
      <c r="O17">
        <v>4</v>
      </c>
      <c r="P17">
        <v>0</v>
      </c>
      <c r="Q17">
        <v>359384.7</v>
      </c>
      <c r="U17" s="7"/>
    </row>
    <row r="18" spans="3:21">
      <c r="C18">
        <v>490</v>
      </c>
      <c r="D18" s="8">
        <v>40766</v>
      </c>
      <c r="E18" s="12">
        <v>4.25678</v>
      </c>
      <c r="F18" s="12">
        <v>2.3650999999999998E-2</v>
      </c>
      <c r="G18" s="12">
        <v>0</v>
      </c>
      <c r="H18" s="15">
        <v>2.1107399999999998</v>
      </c>
      <c r="I18" s="18">
        <v>0.62812000000000001</v>
      </c>
      <c r="J18" s="21">
        <v>41.2712</v>
      </c>
      <c r="K18" s="26">
        <v>0</v>
      </c>
      <c r="L18" s="22">
        <v>0</v>
      </c>
      <c r="M18">
        <v>19996.2</v>
      </c>
      <c r="N18" s="27">
        <v>169.12</v>
      </c>
      <c r="O18">
        <v>4</v>
      </c>
      <c r="P18">
        <v>0</v>
      </c>
      <c r="Q18">
        <v>333917.8</v>
      </c>
      <c r="U18" s="7"/>
    </row>
    <row r="19" spans="3:21">
      <c r="C19">
        <v>489</v>
      </c>
      <c r="D19" s="8">
        <v>41081</v>
      </c>
      <c r="E19" s="12">
        <v>4.9344900000000003</v>
      </c>
      <c r="F19" s="12">
        <v>1.6122000000000001E-2</v>
      </c>
      <c r="G19" s="12">
        <v>0</v>
      </c>
      <c r="H19" s="15">
        <v>2.1725400000000001</v>
      </c>
      <c r="I19" s="18">
        <v>0.63428600000000002</v>
      </c>
      <c r="J19" s="21">
        <v>66.196799999999996</v>
      </c>
      <c r="K19" s="26">
        <v>0</v>
      </c>
      <c r="L19" s="22">
        <v>0</v>
      </c>
      <c r="M19">
        <v>26375.200000000001</v>
      </c>
      <c r="N19" s="27">
        <v>248.1</v>
      </c>
      <c r="O19">
        <v>4</v>
      </c>
      <c r="P19">
        <v>0</v>
      </c>
      <c r="Q19">
        <v>351728</v>
      </c>
      <c r="U19" s="7"/>
    </row>
    <row r="20" spans="3:21">
      <c r="C20">
        <v>488</v>
      </c>
      <c r="D20" s="8">
        <v>40585</v>
      </c>
      <c r="E20" s="12">
        <v>5.7114799999999999</v>
      </c>
      <c r="F20" s="12">
        <v>1.3103999999999999E-2</v>
      </c>
      <c r="G20" s="12">
        <v>0</v>
      </c>
      <c r="H20" s="15">
        <v>2.1659000000000002</v>
      </c>
      <c r="I20" s="18">
        <v>0.74220399999999997</v>
      </c>
      <c r="J20" s="21">
        <v>76.697199999999995</v>
      </c>
      <c r="K20" s="26">
        <v>0</v>
      </c>
      <c r="L20" s="22">
        <v>0</v>
      </c>
      <c r="M20">
        <v>24243.8</v>
      </c>
      <c r="N20" s="27">
        <v>228.93</v>
      </c>
      <c r="O20">
        <v>3</v>
      </c>
      <c r="P20">
        <v>0</v>
      </c>
      <c r="Q20">
        <v>315063.3</v>
      </c>
      <c r="U20" s="7"/>
    </row>
    <row r="21" spans="3:21">
      <c r="C21">
        <v>487</v>
      </c>
      <c r="D21" s="8">
        <v>40491</v>
      </c>
      <c r="E21" s="12">
        <v>6.83453</v>
      </c>
      <c r="F21" s="12">
        <v>1.1805000000000001E-2</v>
      </c>
      <c r="G21" s="12">
        <v>0</v>
      </c>
      <c r="H21" s="15">
        <v>2.3575400000000002</v>
      </c>
      <c r="I21" s="18">
        <v>0.74220399999999997</v>
      </c>
      <c r="J21" s="21">
        <v>84.63</v>
      </c>
      <c r="K21" s="26">
        <v>0</v>
      </c>
      <c r="L21" s="22">
        <v>0</v>
      </c>
      <c r="M21">
        <v>22229.9</v>
      </c>
      <c r="N21" s="27">
        <v>254.11</v>
      </c>
      <c r="O21">
        <v>3</v>
      </c>
      <c r="P21">
        <v>0</v>
      </c>
      <c r="Q21">
        <v>285727.09999999998</v>
      </c>
      <c r="U21" s="7"/>
    </row>
    <row r="22" spans="3:21">
      <c r="C22">
        <v>486</v>
      </c>
      <c r="D22" s="8">
        <v>40400</v>
      </c>
      <c r="E22" s="12">
        <v>6.4754899999999997</v>
      </c>
      <c r="F22" s="12">
        <v>1.5668999999999999E-2</v>
      </c>
      <c r="G22" s="12">
        <v>0</v>
      </c>
      <c r="H22" s="15">
        <v>2.3064800000000001</v>
      </c>
      <c r="I22" s="18">
        <v>0.80693499999999996</v>
      </c>
      <c r="J22" s="21">
        <v>94.7744</v>
      </c>
      <c r="K22" s="26">
        <v>0</v>
      </c>
      <c r="L22" s="22">
        <v>0</v>
      </c>
      <c r="M22">
        <v>19887.3</v>
      </c>
      <c r="N22" s="27">
        <v>191.46</v>
      </c>
      <c r="O22">
        <v>3</v>
      </c>
      <c r="P22">
        <v>0</v>
      </c>
      <c r="Q22">
        <v>268760.8</v>
      </c>
      <c r="U22" s="7"/>
    </row>
    <row r="23" spans="3:21">
      <c r="C23">
        <v>485</v>
      </c>
      <c r="D23" s="8">
        <v>40730</v>
      </c>
      <c r="E23" s="12">
        <v>4.9801700000000002</v>
      </c>
      <c r="F23" s="12">
        <v>1.9368E-2</v>
      </c>
      <c r="G23" s="12">
        <v>0</v>
      </c>
      <c r="H23" s="15">
        <v>3.8119000000000001</v>
      </c>
      <c r="I23" s="18">
        <v>0.80664800000000003</v>
      </c>
      <c r="J23" s="21">
        <v>0</v>
      </c>
      <c r="K23" s="26">
        <v>0</v>
      </c>
      <c r="L23" s="22">
        <v>0</v>
      </c>
      <c r="M23">
        <v>22278</v>
      </c>
      <c r="N23" s="27">
        <v>206.52</v>
      </c>
      <c r="O23">
        <v>4</v>
      </c>
      <c r="P23">
        <v>0</v>
      </c>
      <c r="Q23">
        <v>293606</v>
      </c>
      <c r="U23" s="7"/>
    </row>
    <row r="24" spans="3:21">
      <c r="C24">
        <v>484</v>
      </c>
      <c r="D24" s="8">
        <v>40235</v>
      </c>
      <c r="E24" s="12">
        <v>21.24174</v>
      </c>
      <c r="F24" s="12">
        <v>8.4379999999999993E-3</v>
      </c>
      <c r="G24" s="12">
        <v>0</v>
      </c>
      <c r="H24" s="15">
        <v>0</v>
      </c>
      <c r="I24" s="18">
        <v>0</v>
      </c>
      <c r="J24" s="21">
        <v>0</v>
      </c>
      <c r="K24" s="26">
        <v>0</v>
      </c>
      <c r="L24" s="22">
        <v>0</v>
      </c>
      <c r="M24">
        <v>6502.6</v>
      </c>
      <c r="N24" s="27">
        <v>142.21</v>
      </c>
      <c r="O24">
        <v>1.2</v>
      </c>
      <c r="P24">
        <v>0</v>
      </c>
      <c r="Q24">
        <v>259796.1</v>
      </c>
      <c r="U24" s="7"/>
    </row>
    <row r="25" spans="3:21">
      <c r="C25">
        <v>483</v>
      </c>
      <c r="D25" s="8">
        <v>40144</v>
      </c>
      <c r="E25" s="12" t="s">
        <v>70</v>
      </c>
      <c r="F25" s="12">
        <v>9.5309999999999995E-3</v>
      </c>
      <c r="G25" s="12">
        <v>0</v>
      </c>
      <c r="H25" s="15">
        <v>0</v>
      </c>
      <c r="I25" s="18">
        <v>0</v>
      </c>
      <c r="J25" s="21">
        <v>0</v>
      </c>
      <c r="K25" s="26">
        <v>0</v>
      </c>
      <c r="L25" s="22">
        <v>0</v>
      </c>
      <c r="M25">
        <v>217.8</v>
      </c>
      <c r="N25" s="27">
        <v>125.9</v>
      </c>
      <c r="O25">
        <v>1.2</v>
      </c>
      <c r="P25">
        <v>0</v>
      </c>
      <c r="Q25">
        <v>208894.4</v>
      </c>
      <c r="U25" s="7"/>
    </row>
    <row r="26" spans="3:21">
      <c r="C26">
        <v>482</v>
      </c>
      <c r="D26" s="8">
        <v>40056</v>
      </c>
      <c r="E26" s="12" t="s">
        <v>70</v>
      </c>
      <c r="F26" s="12">
        <v>1.2260999999999999E-2</v>
      </c>
      <c r="G26" s="12">
        <v>0</v>
      </c>
      <c r="H26" s="15">
        <v>41.341709999999999</v>
      </c>
      <c r="I26" s="18">
        <v>0.84646500000000002</v>
      </c>
      <c r="J26" s="21">
        <v>0</v>
      </c>
      <c r="K26" s="26">
        <v>0</v>
      </c>
      <c r="L26" s="22">
        <v>0</v>
      </c>
      <c r="M26">
        <v>-3287.8</v>
      </c>
      <c r="N26" s="27">
        <v>97.87</v>
      </c>
      <c r="O26">
        <v>1.2</v>
      </c>
      <c r="P26">
        <v>0</v>
      </c>
      <c r="Q26">
        <v>162896</v>
      </c>
      <c r="U26" s="7"/>
    </row>
    <row r="27" spans="3:21">
      <c r="C27">
        <v>481</v>
      </c>
      <c r="D27" s="8">
        <v>40375</v>
      </c>
      <c r="E27" s="12">
        <v>8.2777499999999993</v>
      </c>
      <c r="F27" s="12">
        <v>1.8037000000000001E-2</v>
      </c>
      <c r="G27" s="12">
        <v>0</v>
      </c>
      <c r="H27" s="15" t="s">
        <v>70</v>
      </c>
      <c r="I27" s="18">
        <v>0.84646500000000002</v>
      </c>
      <c r="J27" s="21">
        <v>0</v>
      </c>
      <c r="K27" s="26">
        <v>0</v>
      </c>
      <c r="L27" s="22">
        <v>0</v>
      </c>
      <c r="M27">
        <v>3156.4</v>
      </c>
      <c r="N27" s="27">
        <v>166.32</v>
      </c>
      <c r="O27">
        <v>3</v>
      </c>
      <c r="P27">
        <v>0</v>
      </c>
      <c r="Q27">
        <v>159689.20000000001</v>
      </c>
      <c r="U27" s="7"/>
    </row>
    <row r="28" spans="3:21">
      <c r="C28">
        <v>480</v>
      </c>
      <c r="D28" s="8">
        <v>40235</v>
      </c>
      <c r="E28" s="12">
        <v>21.24174</v>
      </c>
      <c r="F28" s="12">
        <v>8.4379999999999993E-3</v>
      </c>
      <c r="G28" s="12">
        <v>0</v>
      </c>
      <c r="H28" s="15">
        <v>0</v>
      </c>
      <c r="I28" s="18">
        <v>0</v>
      </c>
      <c r="J28" s="21">
        <v>0</v>
      </c>
      <c r="K28" s="26">
        <v>0</v>
      </c>
      <c r="L28" s="22">
        <v>0</v>
      </c>
      <c r="M28">
        <v>-25988.3</v>
      </c>
      <c r="N28" s="27">
        <v>142.21</v>
      </c>
      <c r="O28">
        <v>1.2</v>
      </c>
      <c r="P28">
        <v>0</v>
      </c>
      <c r="Q28">
        <v>175353.60000000001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v>-0.35964912280701755</v>
      </c>
      <c r="F30" s="16">
        <v>-0.83245614035087723</v>
      </c>
      <c r="G30" s="16">
        <v>-0.39834881320949433</v>
      </c>
      <c r="H30" s="16">
        <v>3.3333333333333333E-2</v>
      </c>
      <c r="I30" s="16">
        <v>-1.7543859649122807E-3</v>
      </c>
      <c r="J30" s="16">
        <v>-0.83245614035087723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3" spans="1:17" ht="30">
      <c r="B33" s="9"/>
      <c r="C33" s="2"/>
      <c r="D33" t="s">
        <v>57</v>
      </c>
      <c r="E33" s="12" t="s">
        <v>58</v>
      </c>
      <c r="F33" s="14" t="s">
        <v>59</v>
      </c>
      <c r="G33" s="14" t="s">
        <v>60</v>
      </c>
      <c r="H33" s="14" t="s">
        <v>61</v>
      </c>
      <c r="I33" s="14" t="s">
        <v>62</v>
      </c>
      <c r="J33" s="14" t="s">
        <v>63</v>
      </c>
      <c r="K33" s="25" t="s">
        <v>27</v>
      </c>
      <c r="L33" s="19" t="s">
        <v>64</v>
      </c>
      <c r="M33" s="2" t="s">
        <v>65</v>
      </c>
      <c r="N33" s="28" t="s">
        <v>66</v>
      </c>
      <c r="O33" s="2" t="s">
        <v>67</v>
      </c>
      <c r="P33" s="2" t="s">
        <v>68</v>
      </c>
      <c r="Q33" s="2" t="s">
        <v>69</v>
      </c>
    </row>
    <row r="34" spans="1:17" ht="30">
      <c r="C34" s="2"/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7">
      <c r="B35" t="s">
        <v>0</v>
      </c>
      <c r="C35" t="s">
        <v>53</v>
      </c>
      <c r="D35" s="8">
        <v>41684</v>
      </c>
      <c r="E35" s="12">
        <v>9.8698200000000007</v>
      </c>
      <c r="F35" s="12">
        <v>3.2660000000000002E-2</v>
      </c>
      <c r="G35" s="12">
        <v>1.8430999999999999E-2</v>
      </c>
      <c r="H35" s="15">
        <v>1.1516299999999999</v>
      </c>
      <c r="I35" s="18">
        <v>0.55573600000000001</v>
      </c>
      <c r="J35" s="21">
        <v>119.0236</v>
      </c>
      <c r="K35" s="26">
        <v>0.59107681985910765</v>
      </c>
      <c r="L35" s="22">
        <v>-1762</v>
      </c>
      <c r="M35">
        <v>2981</v>
      </c>
      <c r="N35" s="27">
        <v>163.48009999999999</v>
      </c>
      <c r="O35">
        <v>5.32</v>
      </c>
      <c r="P35">
        <v>-836</v>
      </c>
      <c r="Q35">
        <v>45358</v>
      </c>
    </row>
    <row r="36" spans="1:17">
      <c r="B36" t="s">
        <v>35</v>
      </c>
      <c r="C36" t="s">
        <v>53</v>
      </c>
      <c r="D36" s="8">
        <v>41684</v>
      </c>
      <c r="E36" s="12">
        <v>11.17309</v>
      </c>
      <c r="F36" s="12">
        <v>2.2433000000000002E-2</v>
      </c>
      <c r="G36" s="12">
        <v>2.4219000000000001E-2</v>
      </c>
      <c r="H36" s="15">
        <v>1.17903</v>
      </c>
      <c r="I36" s="18">
        <v>0.39115699999999998</v>
      </c>
      <c r="J36" s="21">
        <v>43.751100000000001</v>
      </c>
      <c r="K36" s="26">
        <v>0.61090512540894215</v>
      </c>
      <c r="L36" s="22">
        <v>-2801</v>
      </c>
      <c r="M36">
        <v>4585</v>
      </c>
      <c r="N36" s="27">
        <v>124.28</v>
      </c>
      <c r="O36">
        <v>2.92</v>
      </c>
      <c r="P36">
        <v>-2098</v>
      </c>
      <c r="Q36">
        <v>86623</v>
      </c>
    </row>
    <row r="37" spans="1:17">
      <c r="B37" t="s">
        <v>36</v>
      </c>
      <c r="C37" t="s">
        <v>53</v>
      </c>
      <c r="D37" s="8">
        <v>41681</v>
      </c>
      <c r="E37" s="12">
        <v>9.0744000000000007</v>
      </c>
      <c r="F37" s="12">
        <v>2.3332000000000002E-2</v>
      </c>
      <c r="G37" s="12">
        <v>1.1811E-2</v>
      </c>
      <c r="H37" s="15">
        <v>1.4199200000000001</v>
      </c>
      <c r="I37" s="18">
        <v>0.29715599999999998</v>
      </c>
      <c r="J37" s="21">
        <v>20.106200000000001</v>
      </c>
      <c r="K37" s="26">
        <v>0.53857715430861719</v>
      </c>
      <c r="L37" s="22">
        <v>-1075</v>
      </c>
      <c r="M37">
        <v>1996</v>
      </c>
      <c r="N37" s="27">
        <v>99.49</v>
      </c>
      <c r="O37">
        <v>2.2000000000000002</v>
      </c>
      <c r="P37">
        <v>-280</v>
      </c>
      <c r="Q37">
        <v>23706</v>
      </c>
    </row>
    <row r="38" spans="1:17">
      <c r="B38" t="s">
        <v>37</v>
      </c>
      <c r="C38" t="s">
        <v>53</v>
      </c>
      <c r="D38" s="8">
        <v>41449</v>
      </c>
      <c r="E38" s="12">
        <v>5.25014</v>
      </c>
      <c r="F38" s="12">
        <v>2.9287999999999998E-2</v>
      </c>
      <c r="G38" s="12">
        <v>1.4094000000000001E-2</v>
      </c>
      <c r="H38" s="15">
        <v>0.92147999999999997</v>
      </c>
      <c r="I38" s="18">
        <v>0.212287</v>
      </c>
      <c r="J38" s="21">
        <v>19.203499999999998</v>
      </c>
      <c r="K38" s="26">
        <v>0.31395842172252864</v>
      </c>
      <c r="L38" s="22">
        <v>-740</v>
      </c>
      <c r="M38">
        <v>2357</v>
      </c>
      <c r="N38" s="27">
        <v>109.26</v>
      </c>
      <c r="O38">
        <v>2.48</v>
      </c>
      <c r="P38">
        <v>-440</v>
      </c>
      <c r="Q38">
        <v>31218</v>
      </c>
    </row>
    <row r="39" spans="1:17">
      <c r="D39" s="8"/>
      <c r="E39" s="33"/>
      <c r="F39" s="33"/>
      <c r="G39" s="33"/>
      <c r="H39" s="34"/>
      <c r="I39" s="35"/>
      <c r="J39" s="20"/>
      <c r="K39" s="20"/>
      <c r="L39" s="20"/>
      <c r="M39" s="20"/>
    </row>
    <row r="40" spans="1:17">
      <c r="D40" s="36"/>
      <c r="E40" s="27"/>
      <c r="F40" s="27"/>
      <c r="G40" s="27"/>
      <c r="H40" s="32"/>
      <c r="I40" s="20"/>
      <c r="J40" s="20"/>
      <c r="K40" s="20"/>
      <c r="L40" s="20"/>
      <c r="M40" s="20"/>
    </row>
    <row r="41" spans="1:17">
      <c r="D41" s="12" t="s">
        <v>24</v>
      </c>
      <c r="E41" s="16">
        <v>-0.4</v>
      </c>
      <c r="F41" s="16">
        <v>0.8</v>
      </c>
      <c r="G41" s="16">
        <v>0.4</v>
      </c>
      <c r="H41" s="16">
        <v>0.8</v>
      </c>
      <c r="I41" s="16">
        <v>0.8</v>
      </c>
      <c r="J41" s="37">
        <v>1</v>
      </c>
      <c r="K41" s="20"/>
      <c r="L41" s="20"/>
      <c r="M41" s="20"/>
    </row>
    <row r="42" spans="1:17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7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7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7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7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7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7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</row>
    <row r="53" spans="1:21" ht="30">
      <c r="B53" s="9"/>
      <c r="C53" s="2"/>
      <c r="D53" t="s">
        <v>57</v>
      </c>
      <c r="E53" s="12" t="s">
        <v>58</v>
      </c>
      <c r="F53" s="14" t="s">
        <v>59</v>
      </c>
      <c r="G53" s="14" t="s">
        <v>63</v>
      </c>
      <c r="H53" s="14" t="s">
        <v>61</v>
      </c>
      <c r="I53" s="14" t="s">
        <v>62</v>
      </c>
      <c r="J53" s="12"/>
      <c r="K53" s="42"/>
      <c r="L53" s="19" t="s">
        <v>64</v>
      </c>
      <c r="M53" s="2" t="s">
        <v>65</v>
      </c>
      <c r="N53" s="28" t="s">
        <v>66</v>
      </c>
      <c r="O53" s="2" t="s">
        <v>67</v>
      </c>
      <c r="P53" s="2" t="s">
        <v>68</v>
      </c>
      <c r="Q53" s="2" t="s">
        <v>69</v>
      </c>
    </row>
    <row r="54" spans="1:21">
      <c r="C54" s="2"/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J54" s="44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B55">
        <v>500049</v>
      </c>
      <c r="C55" t="s">
        <v>53</v>
      </c>
      <c r="D55" s="8">
        <v>41505</v>
      </c>
      <c r="E55" s="12">
        <v>6.1894299999999998</v>
      </c>
      <c r="F55" s="12">
        <v>1.4175</v>
      </c>
      <c r="G55" s="21">
        <v>14.8409</v>
      </c>
      <c r="H55" s="15">
        <v>8.5999999999999998E-4</v>
      </c>
      <c r="I55" s="18">
        <v>8.8999999999999995E-5</v>
      </c>
      <c r="J55" s="18">
        <v>0.42652895140834574</v>
      </c>
      <c r="K55" s="43"/>
      <c r="L55" s="22">
        <v>0</v>
      </c>
      <c r="M55">
        <v>9107.7780000000002</v>
      </c>
      <c r="N55" s="27">
        <v>981.9</v>
      </c>
      <c r="O55">
        <v>22.3</v>
      </c>
      <c r="P55">
        <v>-3884.7310000000002</v>
      </c>
      <c r="Q55">
        <v>62213.195</v>
      </c>
    </row>
    <row r="56" spans="1:21">
      <c r="B56">
        <v>500520</v>
      </c>
      <c r="C56" t="s">
        <v>53</v>
      </c>
      <c r="D56" s="8">
        <v>41435</v>
      </c>
      <c r="E56" s="12">
        <v>9.01187</v>
      </c>
      <c r="F56" s="12">
        <v>1.2794000000000001</v>
      </c>
      <c r="G56" s="21">
        <v>17.764800000000001</v>
      </c>
      <c r="H56" s="15">
        <v>3.2042600000000001</v>
      </c>
      <c r="I56" s="18">
        <v>0.53199399999999997</v>
      </c>
      <c r="J56" s="18">
        <v>0.80293471896955504</v>
      </c>
      <c r="K56" s="43"/>
      <c r="L56" s="22">
        <v>0</v>
      </c>
      <c r="M56">
        <v>40992</v>
      </c>
      <c r="N56" s="27">
        <v>991.05</v>
      </c>
      <c r="O56">
        <v>12.5</v>
      </c>
      <c r="P56">
        <v>-32913.9</v>
      </c>
      <c r="Q56">
        <v>675133.5</v>
      </c>
      <c r="S56" s="27"/>
      <c r="T56" s="27"/>
    </row>
    <row r="57" spans="1:21">
      <c r="B57">
        <v>500164</v>
      </c>
      <c r="C57" t="s">
        <v>53</v>
      </c>
      <c r="D57" s="8">
        <v>41466</v>
      </c>
      <c r="E57" s="12">
        <v>21.243259999999999</v>
      </c>
      <c r="F57" s="12">
        <v>1.1625000000000001</v>
      </c>
      <c r="G57" s="21">
        <v>13.643000000000001</v>
      </c>
      <c r="H57" s="15">
        <v>6.5389299999999997</v>
      </c>
      <c r="I57" s="18">
        <v>0.42273899999999998</v>
      </c>
      <c r="J57" s="18">
        <v>1.7700547062733269</v>
      </c>
      <c r="K57" s="43"/>
      <c r="L57" s="22">
        <v>0</v>
      </c>
      <c r="M57">
        <v>3911.8</v>
      </c>
      <c r="N57" s="27">
        <v>292.7</v>
      </c>
      <c r="O57">
        <v>3.5</v>
      </c>
      <c r="P57">
        <v>-6924.1</v>
      </c>
      <c r="Q57">
        <v>70171.399999999994</v>
      </c>
      <c r="S57" s="27"/>
      <c r="T57" s="27"/>
    </row>
    <row r="58" spans="1:21">
      <c r="B58">
        <v>500570</v>
      </c>
      <c r="C58" t="s">
        <v>53</v>
      </c>
      <c r="D58" s="8">
        <v>41449</v>
      </c>
      <c r="E58" s="12">
        <v>5.25014</v>
      </c>
      <c r="F58" s="12">
        <v>0.70499999999999996</v>
      </c>
      <c r="G58" s="21">
        <v>28.096800000000002</v>
      </c>
      <c r="H58" s="15">
        <v>2.6295199999999999</v>
      </c>
      <c r="I58" s="18">
        <v>0.59175500000000003</v>
      </c>
      <c r="J58" s="18">
        <v>1.8960648403201983</v>
      </c>
      <c r="K58" s="43"/>
      <c r="L58" s="22">
        <v>0</v>
      </c>
      <c r="M58">
        <v>98926.1</v>
      </c>
      <c r="N58" s="27">
        <v>388.75</v>
      </c>
      <c r="O58">
        <v>2</v>
      </c>
      <c r="P58">
        <v>-187570.3</v>
      </c>
      <c r="Q58">
        <v>1888176.3</v>
      </c>
      <c r="S58" s="23"/>
      <c r="T58" s="23"/>
    </row>
    <row r="59" spans="1:21">
      <c r="B59">
        <v>500366</v>
      </c>
      <c r="C59" t="s">
        <v>53</v>
      </c>
      <c r="D59" s="8">
        <v>41577</v>
      </c>
      <c r="E59" s="12">
        <v>4.4769399999999999</v>
      </c>
      <c r="F59" s="12">
        <v>4.8426</v>
      </c>
      <c r="G59" s="21">
        <v>-43.496200000000002</v>
      </c>
      <c r="H59" s="15">
        <v>4.06616</v>
      </c>
      <c r="I59" s="18">
        <v>0.65312399999999993</v>
      </c>
      <c r="J59" s="45" t="s">
        <v>71</v>
      </c>
      <c r="K59" s="20"/>
      <c r="L59" s="22">
        <v>0</v>
      </c>
      <c r="M59">
        <v>-8391.9</v>
      </c>
      <c r="N59" s="27">
        <v>71.650000000000006</v>
      </c>
      <c r="O59">
        <v>3</v>
      </c>
      <c r="P59">
        <v>-15016.5</v>
      </c>
      <c r="Q59">
        <v>21890</v>
      </c>
      <c r="S59" s="27"/>
      <c r="T59" s="27"/>
    </row>
    <row r="60" spans="1:21">
      <c r="B60">
        <v>500477</v>
      </c>
      <c r="C60" t="s">
        <v>53</v>
      </c>
      <c r="D60" s="8">
        <v>41404</v>
      </c>
      <c r="E60" s="12">
        <v>12.016730000000001</v>
      </c>
      <c r="F60" s="12">
        <v>2.6785000000000001</v>
      </c>
      <c r="G60" s="21">
        <v>10.0077</v>
      </c>
      <c r="H60" s="15">
        <v>5.0806699999999996</v>
      </c>
      <c r="I60" s="18">
        <v>0.49434299999999998</v>
      </c>
      <c r="J60" s="18">
        <v>1.4967767387499433</v>
      </c>
      <c r="K60" s="20"/>
      <c r="L60" s="22">
        <v>0</v>
      </c>
      <c r="M60">
        <v>4337.067</v>
      </c>
      <c r="N60" s="27">
        <v>17.8</v>
      </c>
      <c r="O60">
        <v>0.6</v>
      </c>
      <c r="P60">
        <v>-6491.6210000000001</v>
      </c>
      <c r="Q60">
        <v>124812</v>
      </c>
      <c r="S60" s="27"/>
      <c r="T60" s="27"/>
    </row>
    <row r="61" spans="1:21">
      <c r="D61" s="36"/>
      <c r="E61" s="27"/>
      <c r="F61" s="27"/>
      <c r="G61" s="27"/>
      <c r="H61" s="32"/>
      <c r="I61" s="20"/>
      <c r="J61" s="20"/>
      <c r="K61" s="20"/>
      <c r="L61" s="20"/>
      <c r="M61" s="20"/>
      <c r="S61" s="27"/>
      <c r="T61" s="27"/>
    </row>
    <row r="62" spans="1:21">
      <c r="D62" s="12" t="s">
        <v>24</v>
      </c>
      <c r="E62" s="16">
        <v>-0.30278487799023596</v>
      </c>
      <c r="F62" s="16">
        <v>0.2731851209013042</v>
      </c>
      <c r="G62" s="16">
        <v>0.73880083363653815</v>
      </c>
      <c r="H62" s="16">
        <v>-5.1691884329240038E-2</v>
      </c>
      <c r="I62" s="16">
        <v>0.41155142185212784</v>
      </c>
      <c r="J62" s="16"/>
      <c r="K62" s="20"/>
      <c r="L62" s="20"/>
      <c r="M62" s="20"/>
      <c r="S62" s="27"/>
      <c r="T62" s="27"/>
    </row>
    <row r="63" spans="1:21">
      <c r="D63" s="36"/>
      <c r="E63" s="27"/>
      <c r="F63" s="27"/>
      <c r="G63" s="27"/>
      <c r="H63" s="32"/>
      <c r="I63" s="20"/>
      <c r="J63" s="20"/>
      <c r="K63" s="20"/>
      <c r="L63" s="20"/>
      <c r="M63" s="20"/>
      <c r="S63" s="27"/>
      <c r="T63" s="27"/>
    </row>
    <row r="64" spans="1:21">
      <c r="D64" s="36"/>
      <c r="E64" s="27"/>
      <c r="F64" s="27"/>
      <c r="G64" s="27"/>
      <c r="H64" s="32"/>
      <c r="I64" s="20"/>
      <c r="J64" s="20"/>
      <c r="K64" s="20"/>
      <c r="L64" s="20"/>
      <c r="M64" s="20"/>
      <c r="S64" s="27"/>
      <c r="T64" s="27"/>
    </row>
    <row r="65" spans="1:20">
      <c r="A65" t="s">
        <v>39</v>
      </c>
      <c r="D65" s="36"/>
      <c r="E65" s="27"/>
      <c r="F65" s="27"/>
      <c r="G65" s="27"/>
      <c r="H65" s="32"/>
      <c r="I65" s="20"/>
      <c r="J65" s="20"/>
      <c r="K65" s="20"/>
      <c r="L65" s="20"/>
      <c r="M65" s="20"/>
      <c r="S65" s="27"/>
      <c r="T65" s="27"/>
    </row>
    <row r="66" spans="1:20">
      <c r="A66" t="s">
        <v>44</v>
      </c>
      <c r="D66" s="36"/>
      <c r="E66" s="27"/>
      <c r="F66" s="27"/>
      <c r="G66" s="27"/>
      <c r="H66" s="32"/>
      <c r="I66" s="20"/>
      <c r="J66" s="20"/>
      <c r="K66" s="20"/>
      <c r="L66" s="20"/>
      <c r="M66" s="20"/>
    </row>
    <row r="67" spans="1:20">
      <c r="D67" s="36"/>
      <c r="E67" s="27"/>
      <c r="F67" s="27"/>
      <c r="G67" s="27"/>
      <c r="H67" s="32"/>
      <c r="I67" s="20"/>
      <c r="J67" s="20"/>
      <c r="K67" s="20"/>
      <c r="L67" s="20"/>
      <c r="M67" s="20"/>
    </row>
    <row r="68" spans="1:20">
      <c r="D68" s="36"/>
      <c r="E68" s="27"/>
      <c r="F68" s="27"/>
      <c r="G68" s="27"/>
      <c r="H68" s="32"/>
      <c r="I68" s="20"/>
      <c r="J68" s="20"/>
      <c r="K68" s="20"/>
      <c r="L68" s="20"/>
      <c r="M68" s="20"/>
    </row>
    <row r="69" spans="1:20"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</row>
    <row r="71" spans="1:20">
      <c r="A71" t="s">
        <v>1</v>
      </c>
      <c r="B71" s="40"/>
      <c r="C71" s="39"/>
      <c r="D71" s="38"/>
      <c r="E71" s="38"/>
      <c r="F71" s="39"/>
      <c r="G71" s="39"/>
      <c r="H71" s="39"/>
      <c r="I71" s="39"/>
      <c r="J71" s="39"/>
      <c r="K71" s="39"/>
      <c r="L71" s="39"/>
      <c r="M71" s="2"/>
      <c r="N71" s="28"/>
      <c r="O71" s="2"/>
      <c r="P71" s="2"/>
      <c r="Q71" s="2"/>
    </row>
    <row r="72" spans="1:20">
      <c r="A72" t="s">
        <v>40</v>
      </c>
    </row>
    <row r="73" spans="1:20">
      <c r="A73" t="s">
        <v>41</v>
      </c>
    </row>
    <row r="74" spans="1:20">
      <c r="A74" t="s">
        <v>42</v>
      </c>
    </row>
    <row r="77" spans="1:20">
      <c r="A77" s="46" t="s">
        <v>72</v>
      </c>
    </row>
    <row r="78" spans="1:20">
      <c r="A78" t="s">
        <v>73</v>
      </c>
    </row>
    <row r="79" spans="1:20">
      <c r="A79" t="s">
        <v>74</v>
      </c>
    </row>
    <row r="80" spans="1:20">
      <c r="A80" t="s">
        <v>75</v>
      </c>
    </row>
    <row r="81" spans="1:1">
      <c r="A81" t="s">
        <v>76</v>
      </c>
    </row>
    <row r="82" spans="1:1">
      <c r="A82" t="s">
        <v>77</v>
      </c>
    </row>
    <row r="83" spans="1:1">
      <c r="A83" t="s">
        <v>78</v>
      </c>
    </row>
    <row r="84" spans="1:1">
      <c r="A84" t="s">
        <v>79</v>
      </c>
    </row>
    <row r="87" spans="1:1">
      <c r="A87" t="s">
        <v>80</v>
      </c>
    </row>
    <row r="88" spans="1:1">
      <c r="A88" t="s">
        <v>81</v>
      </c>
    </row>
    <row r="89" spans="1:1">
      <c r="A89" t="s">
        <v>82</v>
      </c>
    </row>
    <row r="90" spans="1:1">
      <c r="A90" t="s">
        <v>83</v>
      </c>
    </row>
    <row r="91" spans="1:1">
      <c r="A91" t="s">
        <v>84</v>
      </c>
    </row>
  </sheetData>
  <hyperlinks>
    <hyperlink ref="A77" r:id="rId1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U73"/>
  <sheetViews>
    <sheetView topLeftCell="A26" zoomScale="90" zoomScaleNormal="90" workbookViewId="0">
      <selection activeCell="C51" sqref="C51"/>
    </sheetView>
  </sheetViews>
  <sheetFormatPr defaultRowHeight="15"/>
  <cols>
    <col min="1" max="1" width="14.5703125" customWidth="1"/>
    <col min="2" max="2" width="10.5703125" customWidth="1"/>
    <col min="4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8" width="9.710937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</row>
    <row r="2" spans="1:21">
      <c r="F2" t="s">
        <v>35</v>
      </c>
    </row>
    <row r="3" spans="1:21">
      <c r="F3" t="s">
        <v>36</v>
      </c>
    </row>
    <row r="4" spans="1:21">
      <c r="F4" s="11" t="s">
        <v>37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tr">
        <f>"IQ_FILINGDATE_BS"</f>
        <v>IQ_FILINGDATE_BS</v>
      </c>
      <c r="E6" s="12" t="str">
        <f>"IQ_TEV_EBITDA"</f>
        <v>IQ_TEV_EBITDA</v>
      </c>
      <c r="F6" s="14" t="str">
        <f>"IQ_DIVIDEND_YIELD"</f>
        <v>IQ_DIVIDEND_YIELD</v>
      </c>
      <c r="G6" s="14" t="str">
        <f>"IQ_CAPEX_PCT_REV"</f>
        <v>IQ_CAPEX_PCT_REV</v>
      </c>
      <c r="H6" s="14" t="str">
        <f>"IQ_TOTAL_DEBT_EBITDA"</f>
        <v>IQ_TOTAL_DEBT_EBITDA</v>
      </c>
      <c r="I6" s="14" t="str">
        <f>"IQ_TOTAL_DEBT_CAPITAL"</f>
        <v>IQ_TOTAL_DEBT_CAPITAL</v>
      </c>
      <c r="J6" s="14" t="str">
        <f>"IQ_RETURN_EQUITY"</f>
        <v>IQ_RETURN_EQUITY</v>
      </c>
      <c r="K6" s="25" t="str">
        <f>K7</f>
        <v>Repurchase payout ratio</v>
      </c>
      <c r="L6" s="19" t="str">
        <f>"IQ_COMMON_REP"</f>
        <v>IQ_COMMON_REP</v>
      </c>
      <c r="M6" s="2" t="str">
        <f>"IQ_NI"</f>
        <v>IQ_NI</v>
      </c>
      <c r="N6" s="28" t="str">
        <f>"IQ_LASTSALEPRICE"</f>
        <v>IQ_LASTSALEPRICE</v>
      </c>
      <c r="O6" s="2" t="str">
        <f>"IQ_ANNUALIZED_DIVIDEND"</f>
        <v>IQ_ANNUALIZED_DIVIDEND</v>
      </c>
      <c r="P6" s="2" t="str">
        <f>"IQ_CAPEX"</f>
        <v>IQ_CAPEX</v>
      </c>
      <c r="Q6" s="2" t="str">
        <f>"IQ_TOTAL_REV"</f>
        <v>IQ_TOTAL_REV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f>_xll.ciqfunctions.udf.CIQ($F$4, D$6,C8)</f>
        <v>41677</v>
      </c>
      <c r="E8" s="12">
        <f>_xll.ciqfunctions.udf.CIQ($F$4,$E$6, , D8)</f>
        <v>8.0797000000000008</v>
      </c>
      <c r="F8" s="12">
        <f>_xll.ciqfunctions.udf.CIQ($F$4, F$6, D8)/100</f>
        <v>2.1499000000000001E-2</v>
      </c>
      <c r="G8" s="12">
        <f>_xll.ciqfunctions.udf.CIQ($F$4, G$6, C8)/100</f>
        <v>2.0846E-2</v>
      </c>
      <c r="H8" s="15">
        <f>_xll.ciqfunctions.udf.CIQ($F$4, H$6, C8)</f>
        <v>0.91996</v>
      </c>
      <c r="I8" s="18">
        <f>_xll.ciqfunctions.udf.CIQ($F$4, I$6,  C8)/100</f>
        <v>0.212287</v>
      </c>
      <c r="J8" s="21">
        <f>_xll.ciqfunctions.udf.CIQ($F$4, J$6,  C8)</f>
        <v>18.416399999999999</v>
      </c>
      <c r="K8" s="26">
        <f t="shared" ref="K8:K28" si="0">-L8/M8</f>
        <v>8.8888888888888892E-2</v>
      </c>
      <c r="L8" s="22">
        <f>_xll.ciqfunctions.udf.CIQ($F$4, L$6,  C8)</f>
        <v>-44</v>
      </c>
      <c r="M8">
        <f>_xll.ciqfunctions.udf.CIQ($F$4, M$6, C8)</f>
        <v>495</v>
      </c>
      <c r="N8" s="27">
        <f>_xll.ciqfunctions.udf.CIQ($F$4, N$6,#REF!)</f>
        <v>109.26</v>
      </c>
      <c r="O8">
        <f>_xll.ciqfunctions.udf.CIQ($F$4, O$6,#REF!)</f>
        <v>2.48</v>
      </c>
      <c r="P8">
        <f>_xll.ciqfunctions.udf.CIQ($F$4, P$6, B8)</f>
        <v>-440</v>
      </c>
      <c r="Q8">
        <f>_xll.ciqfunctions.udf.CIQ($F$4, Q$6, B8)</f>
        <v>31218</v>
      </c>
      <c r="U8" s="7"/>
    </row>
    <row r="9" spans="1:21">
      <c r="C9">
        <v>499</v>
      </c>
      <c r="D9" s="8">
        <f>_xll.ciqfunctions.udf.CIQ($F$4, D$6,C9)</f>
        <v>41570</v>
      </c>
      <c r="E9" s="12">
        <f>_xll.ciqfunctions.udf.CIQ($F$4,$E$6, , D9)</f>
        <v>8.0740300000000005</v>
      </c>
      <c r="F9" s="12">
        <f>_xll.ciqfunctions.udf.CIQ($F$4, F$6, D9)/100</f>
        <v>2.5977E-2</v>
      </c>
      <c r="G9" s="12">
        <f>_xll.ciqfunctions.udf.CIQ($F$4, G$6, C9)/100</f>
        <v>1.3210999999999999E-2</v>
      </c>
      <c r="H9" s="15">
        <f>_xll.ciqfunctions.udf.CIQ($F$4, H$6, C9)</f>
        <v>0.88576999999999995</v>
      </c>
      <c r="I9" s="18">
        <f>_xll.ciqfunctions.udf.CIQ($F$4, I$6,  C9)/100</f>
        <v>0.23666200000000001</v>
      </c>
      <c r="J9" s="21">
        <f>_xll.ciqfunctions.udf.CIQ($F$4, J$6,  C9)</f>
        <v>21.378399999999999</v>
      </c>
      <c r="K9" s="26">
        <f t="shared" si="0"/>
        <v>0.3241167434715822</v>
      </c>
      <c r="L9" s="22">
        <f>_xll.ciqfunctions.udf.CIQ($F$4, L$6,  C9)</f>
        <v>-211</v>
      </c>
      <c r="M9">
        <f>_xll.ciqfunctions.udf.CIQ($F$4, M$6, C9)</f>
        <v>651</v>
      </c>
      <c r="N9" s="27">
        <f>_xll.ciqfunctions.udf.CIQ($F$4, N$6,#REF!)</f>
        <v>109.26</v>
      </c>
      <c r="O9">
        <f>_xll.ciqfunctions.udf.CIQ($F$4, O$6,#REF!)</f>
        <v>2.48</v>
      </c>
      <c r="P9">
        <f>_xll.ciqfunctions.udf.CIQ($F$4, P$6, B9)</f>
        <v>-440</v>
      </c>
      <c r="Q9">
        <f>_xll.ciqfunctions.udf.CIQ($F$4, Q$6, B9)</f>
        <v>31218</v>
      </c>
      <c r="U9" s="7"/>
    </row>
    <row r="10" spans="1:21">
      <c r="C10">
        <v>498</v>
      </c>
      <c r="D10" s="8">
        <f>_xll.ciqfunctions.udf.CIQ($F$4, D$6,C10)</f>
        <v>41479</v>
      </c>
      <c r="E10" s="12">
        <f>_xll.ciqfunctions.udf.CIQ($F$4,$E$6, , D10)</f>
        <v>8.1315399999999993</v>
      </c>
      <c r="F10" s="12">
        <f>_xll.ciqfunctions.udf.CIQ($F$4, F$6, D10)/100</f>
        <v>2.6257000000000003E-2</v>
      </c>
      <c r="G10" s="12">
        <f>_xll.ciqfunctions.udf.CIQ($F$4, G$6, C10)/100</f>
        <v>1.1755E-2</v>
      </c>
      <c r="H10" s="15">
        <f>_xll.ciqfunctions.udf.CIQ($F$4, H$6, C10)</f>
        <v>0.88956999999999997</v>
      </c>
      <c r="I10" s="18">
        <f>_xll.ciqfunctions.udf.CIQ($F$4, I$6,  C10)/100</f>
        <v>0.249441</v>
      </c>
      <c r="J10" s="21">
        <f>_xll.ciqfunctions.udf.CIQ($F$4, J$6,  C10)</f>
        <v>21.938400000000001</v>
      </c>
      <c r="K10" s="26">
        <f t="shared" si="0"/>
        <v>0.7578125</v>
      </c>
      <c r="L10" s="22">
        <f>_xll.ciqfunctions.udf.CIQ($F$4, L$6,  C10)</f>
        <v>-485</v>
      </c>
      <c r="M10">
        <f>_xll.ciqfunctions.udf.CIQ($F$4, M$6, C10)</f>
        <v>640</v>
      </c>
      <c r="N10" s="27">
        <f>_xll.ciqfunctions.udf.CIQ($F$4, N$6,#REF!)</f>
        <v>109.26</v>
      </c>
      <c r="O10">
        <f>_xll.ciqfunctions.udf.CIQ($F$4, O$6,#REF!)</f>
        <v>2.48</v>
      </c>
      <c r="P10">
        <f>_xll.ciqfunctions.udf.CIQ($F$4, P$6, B10)</f>
        <v>-440</v>
      </c>
      <c r="Q10">
        <f>_xll.ciqfunctions.udf.CIQ($F$4, Q$6, B10)</f>
        <v>31218</v>
      </c>
      <c r="U10" s="7"/>
    </row>
    <row r="11" spans="1:21">
      <c r="C11">
        <v>497</v>
      </c>
      <c r="D11" s="8">
        <f>_xll.ciqfunctions.udf.CIQ($F$4, D$6,C11)</f>
        <v>41394</v>
      </c>
      <c r="E11" s="12">
        <f>_xll.ciqfunctions.udf.CIQ($F$4,$E$6, , D11)</f>
        <v>7.0831900000000001</v>
      </c>
      <c r="F11" s="12">
        <f>_xll.ciqfunctions.udf.CIQ($F$4, F$6, D11)/100</f>
        <v>3.0286E-2</v>
      </c>
      <c r="G11" s="12">
        <f>_xll.ciqfunctions.udf.CIQ($F$4, G$6, C11)/100</f>
        <v>1.0128999999999999E-2</v>
      </c>
      <c r="H11" s="15">
        <f>_xll.ciqfunctions.udf.CIQ($F$4, H$6, C11)</f>
        <v>0.98812</v>
      </c>
      <c r="I11" s="18">
        <f>_xll.ciqfunctions.udf.CIQ($F$4, I$6,  C11)/100</f>
        <v>0.25234000000000001</v>
      </c>
      <c r="J11" s="21">
        <f>_xll.ciqfunctions.udf.CIQ($F$4, J$6,  C11)</f>
        <v>19.884799999999998</v>
      </c>
      <c r="K11" s="26">
        <f t="shared" si="0"/>
        <v>0</v>
      </c>
      <c r="L11" s="22">
        <f>_xll.ciqfunctions.udf.CIQ($F$4, L$6,  C11)</f>
        <v>0</v>
      </c>
      <c r="M11">
        <f>_xll.ciqfunctions.udf.CIQ($F$4, M$6, C11)</f>
        <v>571</v>
      </c>
      <c r="N11" s="27">
        <f>_xll.ciqfunctions.udf.CIQ($F$4, N$6,#REF!)</f>
        <v>109.26</v>
      </c>
      <c r="O11">
        <f>_xll.ciqfunctions.udf.CIQ($F$4, O$6,#REF!)</f>
        <v>2.48</v>
      </c>
      <c r="P11">
        <f>_xll.ciqfunctions.udf.CIQ($F$4, P$6, B11)</f>
        <v>-440</v>
      </c>
      <c r="Q11">
        <f>_xll.ciqfunctions.udf.CIQ($F$4, Q$6, B11)</f>
        <v>31218</v>
      </c>
      <c r="U11" s="7"/>
    </row>
    <row r="12" spans="1:21">
      <c r="C12">
        <v>496</v>
      </c>
      <c r="D12" s="8">
        <f>_xll.ciqfunctions.udf.CIQ($F$4, D$6,C12)</f>
        <v>41677</v>
      </c>
      <c r="E12" s="12">
        <f>_xll.ciqfunctions.udf.CIQ($F$4,$E$6, , D12)</f>
        <v>8.0797000000000008</v>
      </c>
      <c r="F12" s="12">
        <f>_xll.ciqfunctions.udf.CIQ($F$4, F$6, D12)/100</f>
        <v>2.1499000000000001E-2</v>
      </c>
      <c r="G12" s="12">
        <f>_xll.ciqfunctions.udf.CIQ($F$4, G$6, C12)/100</f>
        <v>2.0301999999999997E-2</v>
      </c>
      <c r="H12" s="15">
        <f>_xll.ciqfunctions.udf.CIQ($F$4, H$6, C12)</f>
        <v>1.49617</v>
      </c>
      <c r="I12" s="18">
        <f>_xll.ciqfunctions.udf.CIQ($F$4, I$6,  C12)/100</f>
        <v>0.25545800000000002</v>
      </c>
      <c r="J12" s="21">
        <f>_xll.ciqfunctions.udf.CIQ($F$4, J$6,  C12)</f>
        <v>-66.401600000000002</v>
      </c>
      <c r="K12" s="26">
        <f t="shared" si="0"/>
        <v>0</v>
      </c>
      <c r="L12" s="22">
        <f>_xll.ciqfunctions.udf.CIQ($F$4, L$6,  C12)</f>
        <v>0</v>
      </c>
      <c r="M12">
        <f>_xll.ciqfunctions.udf.CIQ($F$4, M$6, C12)</f>
        <v>-2130</v>
      </c>
      <c r="N12" s="27">
        <f>_xll.ciqfunctions.udf.CIQ($F$4, N$6,#REF!)</f>
        <v>109.26</v>
      </c>
      <c r="O12">
        <f>_xll.ciqfunctions.udf.CIQ($F$4, O$6,#REF!)</f>
        <v>2.48</v>
      </c>
      <c r="P12">
        <f>_xll.ciqfunctions.udf.CIQ($F$4, P$6, B12)</f>
        <v>-440</v>
      </c>
      <c r="Q12">
        <f>_xll.ciqfunctions.udf.CIQ($F$4, Q$6, B12)</f>
        <v>31218</v>
      </c>
      <c r="U12" s="7"/>
    </row>
    <row r="13" spans="1:21">
      <c r="C13">
        <v>495</v>
      </c>
      <c r="D13" s="8">
        <f>_xll.ciqfunctions.udf.CIQ($F$4, D$6,C13)</f>
        <v>41570</v>
      </c>
      <c r="E13" s="12">
        <f>_xll.ciqfunctions.udf.CIQ($F$4,$E$6, , D13)</f>
        <v>8.0740300000000005</v>
      </c>
      <c r="F13" s="12">
        <f>_xll.ciqfunctions.udf.CIQ($F$4, F$6, D13)/100</f>
        <v>2.5977E-2</v>
      </c>
      <c r="G13" s="12">
        <f>_xll.ciqfunctions.udf.CIQ($F$4, G$6, C13)/100</f>
        <v>0</v>
      </c>
      <c r="H13" s="15">
        <f>_xll.ciqfunctions.udf.CIQ($F$4, H$6, C13)</f>
        <v>0.92657999999999996</v>
      </c>
      <c r="I13" s="18">
        <f>_xll.ciqfunctions.udf.CIQ($F$4, I$6,  C13)/100</f>
        <v>0.21569400000000002</v>
      </c>
      <c r="J13" s="21">
        <f>_xll.ciqfunctions.udf.CIQ($F$4, J$6,  C13)</f>
        <v>17.183199999999999</v>
      </c>
      <c r="K13" s="26">
        <f t="shared" si="0"/>
        <v>0</v>
      </c>
      <c r="L13" s="22">
        <f>_xll.ciqfunctions.udf.CIQ($F$4, L$6,  C13)</f>
        <v>0</v>
      </c>
      <c r="M13">
        <f>_xll.ciqfunctions.udf.CIQ($F$4, M$6, C13)</f>
        <v>600</v>
      </c>
      <c r="N13" s="27">
        <f>_xll.ciqfunctions.udf.CIQ($F$4, N$6,#REF!)</f>
        <v>109.26</v>
      </c>
      <c r="O13">
        <f>_xll.ciqfunctions.udf.CIQ($F$4, O$6,#REF!)</f>
        <v>2.48</v>
      </c>
      <c r="P13">
        <f>_xll.ciqfunctions.udf.CIQ($F$4, P$6, B13)</f>
        <v>-440</v>
      </c>
      <c r="Q13">
        <f>_xll.ciqfunctions.udf.CIQ($F$4, Q$6, B13)</f>
        <v>31218</v>
      </c>
      <c r="U13" s="7"/>
    </row>
    <row r="14" spans="1:21">
      <c r="C14">
        <v>494</v>
      </c>
      <c r="D14" s="8">
        <f>_xll.ciqfunctions.udf.CIQ($F$4, D$6,C14)</f>
        <v>41479</v>
      </c>
      <c r="E14" s="12">
        <f>_xll.ciqfunctions.udf.CIQ($F$4,$E$6, , D14)</f>
        <v>8.1315399999999993</v>
      </c>
      <c r="F14" s="12">
        <f>_xll.ciqfunctions.udf.CIQ($F$4, F$6, D14)/100</f>
        <v>2.6257000000000003E-2</v>
      </c>
      <c r="G14" s="12">
        <f>_xll.ciqfunctions.udf.CIQ($F$4, G$6, C14)/100</f>
        <v>1.0854999999999998E-2</v>
      </c>
      <c r="H14" s="15">
        <f>_xll.ciqfunctions.udf.CIQ($F$4, H$6, C14)</f>
        <v>0.87790000000000001</v>
      </c>
      <c r="I14" s="18">
        <f>_xll.ciqfunctions.udf.CIQ($F$4, I$6,  C14)/100</f>
        <v>0.22352900000000001</v>
      </c>
      <c r="J14" s="21">
        <f>_xll.ciqfunctions.udf.CIQ($F$4, J$6,  C14)</f>
        <v>18.4328</v>
      </c>
      <c r="K14" s="26">
        <f t="shared" si="0"/>
        <v>0.81388012618296535</v>
      </c>
      <c r="L14" s="22">
        <f>_xll.ciqfunctions.udf.CIQ($F$4, L$6,  C14)</f>
        <v>-516</v>
      </c>
      <c r="M14">
        <f>_xll.ciqfunctions.udf.CIQ($F$4, M$6, C14)</f>
        <v>634</v>
      </c>
      <c r="N14" s="27">
        <f>_xll.ciqfunctions.udf.CIQ($F$4, N$6,#REF!)</f>
        <v>109.26</v>
      </c>
      <c r="O14">
        <f>_xll.ciqfunctions.udf.CIQ($F$4, O$6,#REF!)</f>
        <v>2.48</v>
      </c>
      <c r="P14">
        <f>_xll.ciqfunctions.udf.CIQ($F$4, P$6, B14)</f>
        <v>-440</v>
      </c>
      <c r="Q14">
        <f>_xll.ciqfunctions.udf.CIQ($F$4, Q$6, B14)</f>
        <v>31218</v>
      </c>
      <c r="U14" s="7"/>
    </row>
    <row r="15" spans="1:21">
      <c r="C15">
        <v>493</v>
      </c>
      <c r="D15" s="8">
        <f>_xll.ciqfunctions.udf.CIQ($F$4, D$6,C15)</f>
        <v>41394</v>
      </c>
      <c r="E15" s="12">
        <f>_xll.ciqfunctions.udf.CIQ($F$4,$E$6, , D15)</f>
        <v>7.0831900000000001</v>
      </c>
      <c r="F15" s="12">
        <f>_xll.ciqfunctions.udf.CIQ($F$4, F$6, D15)/100</f>
        <v>3.0286E-2</v>
      </c>
      <c r="G15" s="12">
        <f>_xll.ciqfunctions.udf.CIQ($F$4, G$6, C15)/100</f>
        <v>1.1874000000000001E-2</v>
      </c>
      <c r="H15" s="15">
        <f>_xll.ciqfunctions.udf.CIQ($F$4, H$6, C15)</f>
        <v>0.96350999999999998</v>
      </c>
      <c r="I15" s="18">
        <f>_xll.ciqfunctions.udf.CIQ($F$4, I$6,  C15)/100</f>
        <v>0.22001999999999999</v>
      </c>
      <c r="J15" s="21">
        <f>_xll.ciqfunctions.udf.CIQ($F$4, J$6,  C15)</f>
        <v>16.658000000000001</v>
      </c>
      <c r="K15" s="26">
        <f t="shared" si="0"/>
        <v>0.13475177304964539</v>
      </c>
      <c r="L15" s="22">
        <f>_xll.ciqfunctions.udf.CIQ($F$4, L$6,  C15)</f>
        <v>-76</v>
      </c>
      <c r="M15">
        <f>_xll.ciqfunctions.udf.CIQ($F$4, M$6, C15)</f>
        <v>564</v>
      </c>
      <c r="N15" s="27">
        <f>_xll.ciqfunctions.udf.CIQ($F$4, N$6,#REF!)</f>
        <v>109.26</v>
      </c>
      <c r="O15" s="6">
        <f>_xll.ciqfunctions.udf.CIQ($F$4, O$6,#REF!)</f>
        <v>2.48</v>
      </c>
      <c r="P15">
        <f>_xll.ciqfunctions.udf.CIQ($F$4, P$6, B15)</f>
        <v>-440</v>
      </c>
      <c r="Q15">
        <f>_xll.ciqfunctions.udf.CIQ($F$4, Q$6, B15)</f>
        <v>31218</v>
      </c>
      <c r="U15" s="7"/>
    </row>
    <row r="16" spans="1:21">
      <c r="C16">
        <v>492</v>
      </c>
      <c r="D16" s="8">
        <f>_xll.ciqfunctions.udf.CIQ($F$4, D$6,C16)</f>
        <v>41313</v>
      </c>
      <c r="E16" s="12">
        <f>_xll.ciqfunctions.udf.CIQ($F$4,$E$6, , D16)</f>
        <v>6.4946599999999997</v>
      </c>
      <c r="F16" s="12">
        <f>_xll.ciqfunctions.udf.CIQ($F$4, F$6, D16)/100</f>
        <v>3.0529000000000001E-2</v>
      </c>
      <c r="G16" s="12">
        <f>_xll.ciqfunctions.udf.CIQ($F$4, G$6, C16)/100</f>
        <v>2.0225E-2</v>
      </c>
      <c r="H16" s="15">
        <f>_xll.ciqfunctions.udf.CIQ($F$4, H$6, C16)</f>
        <v>0.80664999999999998</v>
      </c>
      <c r="I16" s="18">
        <f>_xll.ciqfunctions.udf.CIQ($F$4, I$6,  C16)/100</f>
        <v>0.228994</v>
      </c>
      <c r="J16" s="21">
        <f>_xll.ciqfunctions.udf.CIQ($F$4, J$6,  C16)</f>
        <v>17.965599999999998</v>
      </c>
      <c r="K16" s="26">
        <f t="shared" si="0"/>
        <v>3.150912106135987E-2</v>
      </c>
      <c r="L16" s="22">
        <f>_xll.ciqfunctions.udf.CIQ($F$4, L$6,  C16)</f>
        <v>-19</v>
      </c>
      <c r="M16">
        <f>_xll.ciqfunctions.udf.CIQ($F$4, M$6, C16)</f>
        <v>603</v>
      </c>
      <c r="N16" s="27">
        <f>_xll.ciqfunctions.udf.CIQ($F$4, N$6,#REF!)</f>
        <v>109.26</v>
      </c>
      <c r="O16" s="6">
        <f>_xll.ciqfunctions.udf.CIQ($F$4, O$6,#REF!)</f>
        <v>2.48</v>
      </c>
      <c r="P16">
        <f>_xll.ciqfunctions.udf.CIQ($F$4, P$6, B16)</f>
        <v>-440</v>
      </c>
      <c r="Q16">
        <f>_xll.ciqfunctions.udf.CIQ($F$4, Q$6, B16)</f>
        <v>31218</v>
      </c>
      <c r="U16" s="7"/>
    </row>
    <row r="17" spans="3:21">
      <c r="C17">
        <v>491</v>
      </c>
      <c r="D17" s="8">
        <f>_xll.ciqfunctions.udf.CIQ($F$4, D$6,C17)</f>
        <v>41212</v>
      </c>
      <c r="E17" s="12">
        <f>_xll.ciqfunctions.udf.CIQ($F$4,$E$6, , D17)</f>
        <v>5.6267699999999996</v>
      </c>
      <c r="F17" s="12">
        <f>_xll.ciqfunctions.udf.CIQ($F$4, F$6, D17)/100</f>
        <v>3.0303E-2</v>
      </c>
      <c r="G17" s="12">
        <f>_xll.ciqfunctions.udf.CIQ($F$4, G$6, C17)/100</f>
        <v>1.5408E-2</v>
      </c>
      <c r="H17" s="15">
        <f>_xll.ciqfunctions.udf.CIQ($F$4, H$6, C17)</f>
        <v>0.90153000000000005</v>
      </c>
      <c r="I17" s="18">
        <f>_xll.ciqfunctions.udf.CIQ($F$4, I$6,  C17)/100</f>
        <v>0.23264500000000002</v>
      </c>
      <c r="J17" s="21">
        <f>_xll.ciqfunctions.udf.CIQ($F$4, J$6,  C17)</f>
        <v>19.314399999999999</v>
      </c>
      <c r="K17" s="26">
        <f t="shared" si="0"/>
        <v>0.50306748466257667</v>
      </c>
      <c r="L17" s="22">
        <f>_xll.ciqfunctions.udf.CIQ($F$4, L$6,  C17)</f>
        <v>-328</v>
      </c>
      <c r="M17">
        <f>_xll.ciqfunctions.udf.CIQ($F$4, M$6, C17)</f>
        <v>652</v>
      </c>
      <c r="N17" s="27">
        <f>_xll.ciqfunctions.udf.CIQ($F$4, N$6,#REF!)</f>
        <v>109.26</v>
      </c>
      <c r="O17" s="6">
        <f>_xll.ciqfunctions.udf.CIQ($F$4, O$6,#REF!)</f>
        <v>2.48</v>
      </c>
      <c r="P17">
        <f>_xll.ciqfunctions.udf.CIQ($F$4, P$6, B17)</f>
        <v>-440</v>
      </c>
      <c r="Q17">
        <f>_xll.ciqfunctions.udf.CIQ($F$4, Q$6, B17)</f>
        <v>31218</v>
      </c>
      <c r="U17" s="7"/>
    </row>
    <row r="18" spans="3:21">
      <c r="C18">
        <v>490</v>
      </c>
      <c r="D18" s="8">
        <f>_xll.ciqfunctions.udf.CIQ($F$4, D$6,C18)</f>
        <v>41122</v>
      </c>
      <c r="E18" s="12">
        <f>_xll.ciqfunctions.udf.CIQ($F$4,$E$6, , D18)</f>
        <v>5.2558699999999998</v>
      </c>
      <c r="F18" s="12">
        <f>_xll.ciqfunctions.udf.CIQ($F$4, F$6, D18)/100</f>
        <v>3.2355000000000002E-2</v>
      </c>
      <c r="G18" s="12">
        <f>_xll.ciqfunctions.udf.CIQ($F$4, G$6, C18)/100</f>
        <v>1.1549E-2</v>
      </c>
      <c r="H18" s="15">
        <f>_xll.ciqfunctions.udf.CIQ($F$4, H$6, C18)</f>
        <v>0.72692000000000001</v>
      </c>
      <c r="I18" s="18">
        <f>_xll.ciqfunctions.udf.CIQ($F$4, I$6,  C18)/100</f>
        <v>0.18595800000000001</v>
      </c>
      <c r="J18" s="21">
        <f>_xll.ciqfunctions.udf.CIQ($F$4, J$6,  C18)</f>
        <v>19.164000000000001</v>
      </c>
      <c r="K18" s="26">
        <f t="shared" si="0"/>
        <v>1.2358346094946402</v>
      </c>
      <c r="L18" s="22">
        <f>_xll.ciqfunctions.udf.CIQ($F$4, L$6,  C18)</f>
        <v>-807</v>
      </c>
      <c r="M18">
        <f>_xll.ciqfunctions.udf.CIQ($F$4, M$6, C18)</f>
        <v>653</v>
      </c>
      <c r="N18" s="27">
        <f>_xll.ciqfunctions.udf.CIQ($F$4, N$6,#REF!)</f>
        <v>109.26</v>
      </c>
      <c r="O18" s="6">
        <f>_xll.ciqfunctions.udf.CIQ($F$4, O$6,#REF!)</f>
        <v>2.48</v>
      </c>
      <c r="P18">
        <f>_xll.ciqfunctions.udf.CIQ($F$4, P$6, B18)</f>
        <v>-440</v>
      </c>
      <c r="Q18">
        <f>_xll.ciqfunctions.udf.CIQ($F$4, Q$6, B18)</f>
        <v>31218</v>
      </c>
      <c r="U18" s="7"/>
    </row>
    <row r="19" spans="3:21">
      <c r="C19">
        <v>489</v>
      </c>
      <c r="D19" s="8">
        <f>_xll.ciqfunctions.udf.CIQ($F$4, D$6,C19)</f>
        <v>41030</v>
      </c>
      <c r="E19" s="12">
        <f>_xll.ciqfunctions.udf.CIQ($F$4,$E$6, , D19)</f>
        <v>5.7651399999999997</v>
      </c>
      <c r="F19" s="12">
        <f>_xll.ciqfunctions.udf.CIQ($F$4, F$6, D19)/100</f>
        <v>3.0008E-2</v>
      </c>
      <c r="G19" s="12">
        <f>_xll.ciqfunctions.udf.CIQ($F$4, G$6, C19)/100</f>
        <v>7.8220000000000008E-3</v>
      </c>
      <c r="H19" s="15">
        <f>_xll.ciqfunctions.udf.CIQ($F$4, H$6, C19)</f>
        <v>0.74697000000000002</v>
      </c>
      <c r="I19" s="18">
        <f>_xll.ciqfunctions.udf.CIQ($F$4, I$6,  C19)/100</f>
        <v>0.187529</v>
      </c>
      <c r="J19" s="21">
        <f>_xll.ciqfunctions.udf.CIQ($F$4, J$6,  C19)</f>
        <v>18.180800000000001</v>
      </c>
      <c r="K19" s="26">
        <f t="shared" si="0"/>
        <v>0.50809061488673135</v>
      </c>
      <c r="L19" s="22">
        <f>_xll.ciqfunctions.udf.CIQ($F$4, L$6,  C19)</f>
        <v>-314</v>
      </c>
      <c r="M19">
        <f>_xll.ciqfunctions.udf.CIQ($F$4, M$6, C19)</f>
        <v>618</v>
      </c>
      <c r="N19" s="27">
        <f>_xll.ciqfunctions.udf.CIQ($F$4, N$6,#REF!)</f>
        <v>109.26</v>
      </c>
      <c r="O19" s="6">
        <f>_xll.ciqfunctions.udf.CIQ($F$4, O$6,#REF!)</f>
        <v>2.48</v>
      </c>
      <c r="P19">
        <f>_xll.ciqfunctions.udf.CIQ($F$4, P$6, B19)</f>
        <v>-440</v>
      </c>
      <c r="Q19">
        <f>_xll.ciqfunctions.udf.CIQ($F$4, Q$6, B19)</f>
        <v>31218</v>
      </c>
      <c r="U19" s="7"/>
    </row>
    <row r="20" spans="3:21">
      <c r="C20">
        <v>488</v>
      </c>
      <c r="D20" s="8">
        <f>_xll.ciqfunctions.udf.CIQ($F$4, D$6,C20)</f>
        <v>40956</v>
      </c>
      <c r="E20" s="12">
        <f>_xll.ciqfunctions.udf.CIQ($F$4,$E$6, , D20)</f>
        <v>5.8672000000000004</v>
      </c>
      <c r="F20" s="12">
        <f>_xll.ciqfunctions.udf.CIQ($F$4, F$6, D20)/100</f>
        <v>2.6522999999999998E-2</v>
      </c>
      <c r="G20" s="12">
        <f>_xll.ciqfunctions.udf.CIQ($F$4, G$6, C20)/100</f>
        <v>1.7556000000000002E-2</v>
      </c>
      <c r="H20" s="15">
        <f>_xll.ciqfunctions.udf.CIQ($F$4, H$6, C20)</f>
        <v>0.65581999999999996</v>
      </c>
      <c r="I20" s="18">
        <f>_xll.ciqfunctions.udf.CIQ($F$4, I$6,  C20)/100</f>
        <v>0.19389700000000001</v>
      </c>
      <c r="J20" s="21">
        <f>_xll.ciqfunctions.udf.CIQ($F$4, J$6,  C20)</f>
        <v>21.6816</v>
      </c>
      <c r="K20" s="26">
        <f t="shared" si="0"/>
        <v>0.62962962962962965</v>
      </c>
      <c r="L20" s="22">
        <f>_xll.ciqfunctions.udf.CIQ($F$4, L$6,  C20)</f>
        <v>-459</v>
      </c>
      <c r="M20">
        <f>_xll.ciqfunctions.udf.CIQ($F$4, M$6, C20)</f>
        <v>729</v>
      </c>
      <c r="N20" s="27">
        <f>_xll.ciqfunctions.udf.CIQ($F$4, N$6,#REF!)</f>
        <v>109.26</v>
      </c>
      <c r="O20" s="6">
        <f>_xll.ciqfunctions.udf.CIQ($F$4, O$6,#REF!)</f>
        <v>2.48</v>
      </c>
      <c r="P20">
        <f>_xll.ciqfunctions.udf.CIQ($F$4, P$6, B20)</f>
        <v>-440</v>
      </c>
      <c r="Q20">
        <f>_xll.ciqfunctions.udf.CIQ($F$4, Q$6, B20)</f>
        <v>31218</v>
      </c>
      <c r="U20" s="7"/>
    </row>
    <row r="21" spans="3:21">
      <c r="C21">
        <v>487</v>
      </c>
      <c r="D21" s="8">
        <f>_xll.ciqfunctions.udf.CIQ($F$4, D$6,C21)</f>
        <v>40848</v>
      </c>
      <c r="E21" s="12">
        <f>_xll.ciqfunctions.udf.CIQ($F$4,$E$6, , D21)</f>
        <v>5.3982799999999997</v>
      </c>
      <c r="F21" s="12">
        <f>_xll.ciqfunctions.udf.CIQ($F$4, F$6, D21)/100</f>
        <v>3.0602999999999998E-2</v>
      </c>
      <c r="G21" s="12">
        <f>_xll.ciqfunctions.udf.CIQ($F$4, G$6, C21)/100</f>
        <v>1.1982999999999999E-2</v>
      </c>
      <c r="H21" s="15">
        <f>_xll.ciqfunctions.udf.CIQ($F$4, H$6, C21)</f>
        <v>0.72358</v>
      </c>
      <c r="I21" s="18">
        <f>_xll.ciqfunctions.udf.CIQ($F$4, I$6,  C21)/100</f>
        <v>0.19087299999999999</v>
      </c>
      <c r="J21" s="21">
        <f>_xll.ciqfunctions.udf.CIQ($F$4, J$6,  C21)</f>
        <v>19.6508</v>
      </c>
      <c r="K21" s="26">
        <f t="shared" si="0"/>
        <v>0.33076923076923076</v>
      </c>
      <c r="L21" s="22">
        <f>_xll.ciqfunctions.udf.CIQ($F$4, L$6,  C21)</f>
        <v>-215</v>
      </c>
      <c r="M21">
        <f>_xll.ciqfunctions.udf.CIQ($F$4, M$6, C21)</f>
        <v>650</v>
      </c>
      <c r="N21" s="27">
        <f>_xll.ciqfunctions.udf.CIQ($F$4, N$6,#REF!)</f>
        <v>109.26</v>
      </c>
      <c r="O21" s="6">
        <f>_xll.ciqfunctions.udf.CIQ($F$4, O$6,#REF!)</f>
        <v>2.48</v>
      </c>
      <c r="P21">
        <f>_xll.ciqfunctions.udf.CIQ($F$4, P$6, B21)</f>
        <v>-440</v>
      </c>
      <c r="Q21">
        <f>_xll.ciqfunctions.udf.CIQ($F$4, Q$6, B21)</f>
        <v>31218</v>
      </c>
      <c r="U21" s="7"/>
    </row>
    <row r="22" spans="3:21">
      <c r="C22">
        <v>486</v>
      </c>
      <c r="D22" s="8">
        <f>_xll.ciqfunctions.udf.CIQ($F$4, D$6,C22)</f>
        <v>40758</v>
      </c>
      <c r="E22" s="12">
        <f>_xll.ciqfunctions.udf.CIQ($F$4,$E$6, , D22)</f>
        <v>5.5327799999999998</v>
      </c>
      <c r="F22" s="12">
        <f>_xll.ciqfunctions.udf.CIQ($F$4, F$6, D22)/100</f>
        <v>2.8527999999999998E-2</v>
      </c>
      <c r="G22" s="12">
        <f>_xll.ciqfunctions.udf.CIQ($F$4, G$6, C22)/100</f>
        <v>7.7729999999999995E-3</v>
      </c>
      <c r="H22" s="15">
        <f>_xll.ciqfunctions.udf.CIQ($F$4, H$6, C22)</f>
        <v>0.85821999999999998</v>
      </c>
      <c r="I22" s="18">
        <f>_xll.ciqfunctions.udf.CIQ($F$4, I$6,  C22)/100</f>
        <v>0.231243</v>
      </c>
      <c r="J22" s="21">
        <f>_xll.ciqfunctions.udf.CIQ($F$4, J$6,  C22)</f>
        <v>20.3292</v>
      </c>
      <c r="K22" s="26">
        <f t="shared" si="0"/>
        <v>0.49691358024691357</v>
      </c>
      <c r="L22" s="22">
        <f>_xll.ciqfunctions.udf.CIQ($F$4, L$6,  C22)</f>
        <v>-322</v>
      </c>
      <c r="M22">
        <f>_xll.ciqfunctions.udf.CIQ($F$4, M$6, C22)</f>
        <v>648</v>
      </c>
      <c r="N22" s="27">
        <f>_xll.ciqfunctions.udf.CIQ($F$4, N$6,#REF!)</f>
        <v>109.26</v>
      </c>
      <c r="O22" s="6">
        <f>_xll.ciqfunctions.udf.CIQ($F$4, O$6,#REF!)</f>
        <v>2.48</v>
      </c>
      <c r="P22">
        <f>_xll.ciqfunctions.udf.CIQ($F$4, P$6, B22)</f>
        <v>-440</v>
      </c>
      <c r="Q22">
        <f>_xll.ciqfunctions.udf.CIQ($F$4, Q$6, B22)</f>
        <v>31218</v>
      </c>
      <c r="U22" s="7"/>
    </row>
    <row r="23" spans="3:21">
      <c r="C23">
        <v>485</v>
      </c>
      <c r="D23" s="8">
        <f>_xll.ciqfunctions.udf.CIQ($F$4, D$6,C23)</f>
        <v>40666</v>
      </c>
      <c r="E23" s="12">
        <f>_xll.ciqfunctions.udf.CIQ($F$4,$E$6, , D23)</f>
        <v>6.2679200000000002</v>
      </c>
      <c r="F23" s="12">
        <f>_xll.ciqfunctions.udf.CIQ($F$4, F$6, D23)/100</f>
        <v>2.5299000000000002E-2</v>
      </c>
      <c r="G23" s="12">
        <f>_xll.ciqfunctions.udf.CIQ($F$4, G$6, C23)/100</f>
        <v>7.7410000000000005E-3</v>
      </c>
      <c r="H23" s="15">
        <f>_xll.ciqfunctions.udf.CIQ($F$4, H$6, C23)</f>
        <v>0.91022999999999998</v>
      </c>
      <c r="I23" s="18">
        <f>_xll.ciqfunctions.udf.CIQ($F$4, I$6,  C23)/100</f>
        <v>0.232123</v>
      </c>
      <c r="J23" s="21">
        <f>_xll.ciqfunctions.udf.CIQ($F$4, J$6,  C23)</f>
        <v>19.013999999999999</v>
      </c>
      <c r="K23" s="26">
        <f t="shared" si="0"/>
        <v>0.33500837520938026</v>
      </c>
      <c r="L23" s="22">
        <f>_xll.ciqfunctions.udf.CIQ($F$4, L$6,  C23)</f>
        <v>-200</v>
      </c>
      <c r="M23">
        <f>_xll.ciqfunctions.udf.CIQ($F$4, M$6, C23)</f>
        <v>597</v>
      </c>
      <c r="N23" s="27">
        <f>_xll.ciqfunctions.udf.CIQ($F$4, N$6,#REF!)</f>
        <v>109.26</v>
      </c>
      <c r="O23" s="6">
        <f>_xll.ciqfunctions.udf.CIQ($F$4, O$6,#REF!)</f>
        <v>2.48</v>
      </c>
      <c r="P23">
        <f>_xll.ciqfunctions.udf.CIQ($F$4, P$6, B23)</f>
        <v>-440</v>
      </c>
      <c r="Q23">
        <f>_xll.ciqfunctions.udf.CIQ($F$4, Q$6, B23)</f>
        <v>31218</v>
      </c>
      <c r="U23" s="7"/>
    </row>
    <row r="24" spans="3:21">
      <c r="C24">
        <v>484</v>
      </c>
      <c r="D24" s="8">
        <f>_xll.ciqfunctions.udf.CIQ($F$4, D$6,C24)</f>
        <v>40592</v>
      </c>
      <c r="E24" s="12">
        <f>_xll.ciqfunctions.udf.CIQ($F$4,$E$6, , D24)</f>
        <v>6.5799700000000003</v>
      </c>
      <c r="F24" s="12">
        <f>_xll.ciqfunctions.udf.CIQ($F$4, F$6, D24)/100</f>
        <v>2.1507999999999999E-2</v>
      </c>
      <c r="G24" s="12">
        <f>_xll.ciqfunctions.udf.CIQ($F$4, G$6, C24)/100</f>
        <v>1.6966000000000002E-2</v>
      </c>
      <c r="H24" s="15">
        <f>_xll.ciqfunctions.udf.CIQ($F$4, H$6, C24)</f>
        <v>0.88219000000000003</v>
      </c>
      <c r="I24" s="18">
        <f>_xll.ciqfunctions.udf.CIQ($F$4, I$6,  C24)/100</f>
        <v>0.23724399999999998</v>
      </c>
      <c r="J24" s="21">
        <f>_xll.ciqfunctions.udf.CIQ($F$4, J$6,  C24)</f>
        <v>20.479600000000001</v>
      </c>
      <c r="K24" s="26">
        <f t="shared" si="0"/>
        <v>0.16286644951140064</v>
      </c>
      <c r="L24" s="22">
        <f>_xll.ciqfunctions.udf.CIQ($F$4, L$6,  C24)</f>
        <v>-100</v>
      </c>
      <c r="M24">
        <f>_xll.ciqfunctions.udf.CIQ($F$4, M$6, C24)</f>
        <v>614</v>
      </c>
      <c r="N24" s="27">
        <f>_xll.ciqfunctions.udf.CIQ($F$4, N$6,#REF!)</f>
        <v>109.26</v>
      </c>
      <c r="O24" s="6">
        <f>_xll.ciqfunctions.udf.CIQ($F$4, O$6,#REF!)</f>
        <v>2.48</v>
      </c>
      <c r="P24">
        <f>_xll.ciqfunctions.udf.CIQ($F$4, P$6, B24)</f>
        <v>-440</v>
      </c>
      <c r="Q24">
        <f>_xll.ciqfunctions.udf.CIQ($F$4, Q$6, B24)</f>
        <v>31218</v>
      </c>
      <c r="U24" s="7"/>
    </row>
    <row r="25" spans="3:21">
      <c r="C25">
        <v>483</v>
      </c>
      <c r="D25" s="8">
        <f>_xll.ciqfunctions.udf.CIQ($F$4, D$6,C25)</f>
        <v>40484</v>
      </c>
      <c r="E25" s="12">
        <f>_xll.ciqfunctions.udf.CIQ($F$4,$E$6, , D25)</f>
        <v>6.1631299999999998</v>
      </c>
      <c r="F25" s="12">
        <f>_xll.ciqfunctions.udf.CIQ($F$4, F$6, D25)/100</f>
        <v>2.4708999999999998E-2</v>
      </c>
      <c r="G25" s="12">
        <f>_xll.ciqfunctions.udf.CIQ($F$4, G$6, C25)/100</f>
        <v>1.0492999999999999E-2</v>
      </c>
      <c r="H25" s="15">
        <f>_xll.ciqfunctions.udf.CIQ($F$4, H$6, C25)</f>
        <v>0.9536</v>
      </c>
      <c r="I25" s="18">
        <f>_xll.ciqfunctions.udf.CIQ($F$4, I$6,  C25)/100</f>
        <v>0.24797799999999998</v>
      </c>
      <c r="J25" s="21">
        <f>_xll.ciqfunctions.udf.CIQ($F$4, J$6,  C25)</f>
        <v>20.247199999999999</v>
      </c>
      <c r="K25" s="26">
        <f t="shared" si="0"/>
        <v>0</v>
      </c>
      <c r="L25" s="22">
        <f>_xll.ciqfunctions.udf.CIQ($F$4, L$6,  C25)</f>
        <v>0</v>
      </c>
      <c r="M25">
        <f>_xll.ciqfunctions.udf.CIQ($F$4, M$6, C25)</f>
        <v>572</v>
      </c>
      <c r="N25" s="27">
        <f>_xll.ciqfunctions.udf.CIQ($F$4, N$6,#REF!)</f>
        <v>109.26</v>
      </c>
      <c r="O25" s="6">
        <f>_xll.ciqfunctions.udf.CIQ($F$4, O$6,#REF!)</f>
        <v>2.48</v>
      </c>
      <c r="P25">
        <f>_xll.ciqfunctions.udf.CIQ($F$4, P$6, B25)</f>
        <v>-440</v>
      </c>
      <c r="Q25">
        <f>_xll.ciqfunctions.udf.CIQ($F$4, Q$6, B25)</f>
        <v>31218</v>
      </c>
      <c r="U25" s="7"/>
    </row>
    <row r="26" spans="3:21">
      <c r="C26">
        <v>482</v>
      </c>
      <c r="D26" s="8">
        <f>_xll.ciqfunctions.udf.CIQ($F$4, D$6,C26)</f>
        <v>40393</v>
      </c>
      <c r="E26" s="12">
        <f>_xll.ciqfunctions.udf.CIQ($F$4,$E$6, , D26)</f>
        <v>6.0193399999999997</v>
      </c>
      <c r="F26" s="12">
        <f>_xll.ciqfunctions.udf.CIQ($F$4, F$6, D26)/100</f>
        <v>2.6806999999999997E-2</v>
      </c>
      <c r="G26" s="12">
        <f>_xll.ciqfunctions.udf.CIQ($F$4, G$6, C26)/100</f>
        <v>1.0987E-2</v>
      </c>
      <c r="H26" s="15">
        <f>_xll.ciqfunctions.udf.CIQ($F$4, H$6, C26)</f>
        <v>0.90207000000000004</v>
      </c>
      <c r="I26" s="18">
        <f>_xll.ciqfunctions.udf.CIQ($F$4, I$6,  C26)/100</f>
        <v>0.26246900000000001</v>
      </c>
      <c r="J26" s="21">
        <f>_xll.ciqfunctions.udf.CIQ($F$4, J$6,  C26)</f>
        <v>23.354399999999998</v>
      </c>
      <c r="K26" s="26">
        <f t="shared" si="0"/>
        <v>0</v>
      </c>
      <c r="L26" s="22">
        <f>_xll.ciqfunctions.udf.CIQ($F$4, L$6,  C26)</f>
        <v>0</v>
      </c>
      <c r="M26">
        <f>_xll.ciqfunctions.udf.CIQ($F$4, M$6, C26)</f>
        <v>618</v>
      </c>
      <c r="N26" s="27">
        <f>_xll.ciqfunctions.udf.CIQ($F$4, N$6,#REF!)</f>
        <v>109.26</v>
      </c>
      <c r="O26" s="6">
        <f>_xll.ciqfunctions.udf.CIQ($F$4, O$6,#REF!)</f>
        <v>2.48</v>
      </c>
      <c r="P26">
        <f>_xll.ciqfunctions.udf.CIQ($F$4, P$6, B26)</f>
        <v>-440</v>
      </c>
      <c r="Q26">
        <f>_xll.ciqfunctions.udf.CIQ($F$4, Q$6, B26)</f>
        <v>31218</v>
      </c>
      <c r="U26" s="7"/>
    </row>
    <row r="27" spans="3:21">
      <c r="C27">
        <v>481</v>
      </c>
      <c r="D27" s="8">
        <f>_xll.ciqfunctions.udf.CIQ($F$4, D$6,C27)</f>
        <v>40302</v>
      </c>
      <c r="E27" s="12">
        <f>_xll.ciqfunctions.udf.CIQ($F$4,$E$6, , D27)</f>
        <v>7.2580299999999998</v>
      </c>
      <c r="F27" s="12">
        <f>_xll.ciqfunctions.udf.CIQ($F$4, F$6, D27)/100</f>
        <v>2.2315999999999999E-2</v>
      </c>
      <c r="G27" s="12">
        <f>_xll.ciqfunctions.udf.CIQ($F$4, G$6, C27)/100</f>
        <v>9.8009999999999989E-3</v>
      </c>
      <c r="H27" s="15">
        <f>_xll.ciqfunctions.udf.CIQ($F$4, H$6, C27)</f>
        <v>0.92959999999999998</v>
      </c>
      <c r="I27" s="18">
        <f>_xll.ciqfunctions.udf.CIQ($F$4, I$6,  C27)/100</f>
        <v>0.27428799999999998</v>
      </c>
      <c r="J27" s="21">
        <f>_xll.ciqfunctions.udf.CIQ($F$4, J$6,  C27)</f>
        <v>23.3416</v>
      </c>
      <c r="K27" s="26">
        <f t="shared" si="0"/>
        <v>0.18474576271186441</v>
      </c>
      <c r="L27" s="22">
        <f>_xll.ciqfunctions.udf.CIQ($F$4, L$6,  C27)</f>
        <v>-109</v>
      </c>
      <c r="M27">
        <f>_xll.ciqfunctions.udf.CIQ($F$4, M$6, C27)</f>
        <v>590</v>
      </c>
      <c r="N27" s="27">
        <f>_xll.ciqfunctions.udf.CIQ($F$4, N$6,#REF!)</f>
        <v>109.26</v>
      </c>
      <c r="O27" s="6">
        <f>_xll.ciqfunctions.udf.CIQ($F$4, O$6,#REF!)</f>
        <v>2.48</v>
      </c>
      <c r="P27">
        <f>_xll.ciqfunctions.udf.CIQ($F$4, P$6, B27)</f>
        <v>-440</v>
      </c>
      <c r="Q27">
        <f>_xll.ciqfunctions.udf.CIQ($F$4, Q$6, B27)</f>
        <v>31218</v>
      </c>
      <c r="U27" s="7"/>
    </row>
    <row r="28" spans="3:21">
      <c r="C28">
        <v>480</v>
      </c>
      <c r="D28" s="8">
        <f>_xll.ciqfunctions.udf.CIQ($F$4, D$6,C28)</f>
        <v>40228</v>
      </c>
      <c r="E28" s="12">
        <f>_xll.ciqfunctions.udf.CIQ($F$4,$E$6, , D28)</f>
        <v>6.9880800000000001</v>
      </c>
      <c r="F28" s="12">
        <f>_xll.ciqfunctions.udf.CIQ($F$4, F$6, D28)/100</f>
        <v>2.0933E-2</v>
      </c>
      <c r="G28" s="12">
        <f>_xll.ciqfunctions.udf.CIQ($F$4, G$6, C28)/100</f>
        <v>2.2414E-2</v>
      </c>
      <c r="H28" s="15">
        <f>_xll.ciqfunctions.udf.CIQ($F$4, H$6, C28)</f>
        <v>0.94994999999999996</v>
      </c>
      <c r="I28" s="18">
        <f>_xll.ciqfunctions.udf.CIQ($F$4, I$6,  C28)/100</f>
        <v>0.285856</v>
      </c>
      <c r="J28" s="21">
        <f>_xll.ciqfunctions.udf.CIQ($F$4, J$6,  C28)</f>
        <v>22.716000000000001</v>
      </c>
      <c r="K28" s="26">
        <f t="shared" si="0"/>
        <v>0.7826797385620915</v>
      </c>
      <c r="L28" s="22">
        <f>_xll.ciqfunctions.udf.CIQ($F$4, L$6,  C28)</f>
        <v>-479</v>
      </c>
      <c r="M28">
        <f>_xll.ciqfunctions.udf.CIQ($F$4, M$6, C28)</f>
        <v>612</v>
      </c>
      <c r="N28" s="27">
        <f>_xll.ciqfunctions.udf.CIQ($F$4, N$6,#REF!)</f>
        <v>109.26</v>
      </c>
      <c r="O28" s="6">
        <f>_xll.ciqfunctions.udf.CIQ($F$4, O$6,#REF!)</f>
        <v>2.48</v>
      </c>
      <c r="P28">
        <f>_xll.ciqfunctions.udf.CIQ($F$4, P$6, B28)</f>
        <v>-440</v>
      </c>
      <c r="Q28">
        <f>_xll.ciqfunctions.udf.CIQ($F$4, Q$6, B28)</f>
        <v>31218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f>Spearman($E$8:$E$28,F8:F28)</f>
        <v>-0.57792207792207795</v>
      </c>
      <c r="F30" s="16">
        <f t="shared" ref="F30:J30" si="1">Spearman($E$8:$E$28,G8:G28)</f>
        <v>0.10909090909090909</v>
      </c>
      <c r="G30" s="16">
        <f t="shared" si="1"/>
        <v>0.50389610389610384</v>
      </c>
      <c r="H30" s="16">
        <f t="shared" si="1"/>
        <v>0.33376623376623377</v>
      </c>
      <c r="I30" s="16">
        <f t="shared" si="1"/>
        <v>-0.17792207792207793</v>
      </c>
      <c r="J30" s="16">
        <f t="shared" si="1"/>
        <v>-0.13896103896103895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3" spans="1:17" ht="30">
      <c r="B33" s="9"/>
      <c r="C33" s="2"/>
      <c r="D33" t="str">
        <f>"IQ_FILINGDATE_BS"</f>
        <v>IQ_FILINGDATE_BS</v>
      </c>
      <c r="E33" s="12" t="str">
        <f>"IQ_TEV_EBITDA"</f>
        <v>IQ_TEV_EBITDA</v>
      </c>
      <c r="F33" s="14" t="str">
        <f>"IQ_DIVIDEND_YIELD"</f>
        <v>IQ_DIVIDEND_YIELD</v>
      </c>
      <c r="G33" s="14" t="str">
        <f>"IQ_CAPEX_PCT_REV"</f>
        <v>IQ_CAPEX_PCT_REV</v>
      </c>
      <c r="H33" s="14" t="str">
        <f>"IQ_TOTAL_DEBT_EBITDA"</f>
        <v>IQ_TOTAL_DEBT_EBITDA</v>
      </c>
      <c r="I33" s="14" t="str">
        <f>"IQ_TOTAL_DEBT_CAPITAL"</f>
        <v>IQ_TOTAL_DEBT_CAPITAL</v>
      </c>
      <c r="J33" s="14" t="str">
        <f>"IQ_RETURN_EQUITY"</f>
        <v>IQ_RETURN_EQUITY</v>
      </c>
      <c r="K33" s="25" t="str">
        <f>K34</f>
        <v>Repurchase payout ratio</v>
      </c>
      <c r="L33" s="19" t="str">
        <f>"IQ_COMMON_REP"</f>
        <v>IQ_COMMON_REP</v>
      </c>
      <c r="M33" s="2" t="str">
        <f>"IQ_NI"</f>
        <v>IQ_NI</v>
      </c>
      <c r="N33" s="28" t="str">
        <f>"IQ_LASTSALEPRICE"</f>
        <v>IQ_LASTSALEPRICE</v>
      </c>
      <c r="O33" s="2" t="str">
        <f>"IQ_ANNUALIZED_DIVIDEND"</f>
        <v>IQ_ANNUALIZED_DIVIDEND</v>
      </c>
      <c r="P33" s="2" t="str">
        <f>"IQ_CAPEX"</f>
        <v>IQ_CAPEX</v>
      </c>
      <c r="Q33" s="2" t="str">
        <f>"IQ_TOTAL_REV"</f>
        <v>IQ_TOTAL_REV</v>
      </c>
    </row>
    <row r="34" spans="1:17" ht="30">
      <c r="C34" s="2"/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7">
      <c r="B35" t="s">
        <v>0</v>
      </c>
      <c r="C35" t="s">
        <v>53</v>
      </c>
      <c r="D35" s="8">
        <f>_xll.ciqfunctions.udf.CIQ($F1, D$6,C35)</f>
        <v>41684</v>
      </c>
      <c r="E35" s="12">
        <f>_xll.ciqfunctions.udf.CIQ($B35,$E$6, , D35)</f>
        <v>9.8698200000000007</v>
      </c>
      <c r="F35" s="12">
        <f>_xll.ciqfunctions.udf.CIQ($B35, F$6, D35)/100</f>
        <v>3.2660000000000002E-2</v>
      </c>
      <c r="G35" s="12">
        <f>_xll.ciqfunctions.udf.CIQ($B35, G$6, C35)/100</f>
        <v>1.8430999999999999E-2</v>
      </c>
      <c r="H35" s="15">
        <f>_xll.ciqfunctions.udf.CIQ($B35, H$6, C35)</f>
        <v>1.1516299999999999</v>
      </c>
      <c r="I35" s="18">
        <f>_xll.ciqfunctions.udf.CIQ($B35, I$6,  C35)/100</f>
        <v>0.55573600000000001</v>
      </c>
      <c r="J35" s="21">
        <f>_xll.ciqfunctions.udf.CIQ($B35, J$6,  C35)</f>
        <v>119.0236</v>
      </c>
      <c r="K35" s="26">
        <f>-L35/M35</f>
        <v>0.59107681985910765</v>
      </c>
      <c r="L35" s="22">
        <f>_xll.ciqfunctions.udf.CIQ($B35, L$6,  C35)</f>
        <v>-1762</v>
      </c>
      <c r="M35">
        <f>_xll.ciqfunctions.udf.CIQ($B35, M$6, C35)</f>
        <v>2981</v>
      </c>
      <c r="N35" s="27">
        <f>_xll.ciqfunctions.udf.CIQ($B35, N$6,#REF!)</f>
        <v>163.48009999999999</v>
      </c>
      <c r="O35">
        <f>_xll.ciqfunctions.udf.CIQ($B35, O$6,#REF!)</f>
        <v>5.32</v>
      </c>
      <c r="P35">
        <f>_xll.ciqfunctions.udf.CIQ($B35, P$6, C35)</f>
        <v>-836</v>
      </c>
      <c r="Q35">
        <f>_xll.ciqfunctions.udf.CIQ($B35, Q$6, C35)</f>
        <v>45358</v>
      </c>
    </row>
    <row r="36" spans="1:17">
      <c r="B36" t="s">
        <v>35</v>
      </c>
      <c r="C36" t="s">
        <v>53</v>
      </c>
      <c r="D36" s="8">
        <f>_xll.ciqfunctions.udf.CIQ($F2, D$6,C36)</f>
        <v>41684</v>
      </c>
      <c r="E36" s="12">
        <f>_xll.ciqfunctions.udf.CIQ($F2,$E$6, , D36)</f>
        <v>11.17309</v>
      </c>
      <c r="F36" s="12">
        <f>_xll.ciqfunctions.udf.CIQ($B36, F$6, D36)/100</f>
        <v>2.2433000000000002E-2</v>
      </c>
      <c r="G36" s="12">
        <f>_xll.ciqfunctions.udf.CIQ($B36, G$6, C36)/100</f>
        <v>2.4219000000000001E-2</v>
      </c>
      <c r="H36" s="15">
        <f>_xll.ciqfunctions.udf.CIQ($B36, H$6, C36)</f>
        <v>1.17903</v>
      </c>
      <c r="I36" s="18">
        <f>_xll.ciqfunctions.udf.CIQ($B36, I$6,  C36)/100</f>
        <v>0.39115699999999998</v>
      </c>
      <c r="J36" s="21">
        <f>_xll.ciqfunctions.udf.CIQ($B36, J$6,  C36)</f>
        <v>43.751100000000001</v>
      </c>
      <c r="K36" s="26">
        <f t="shared" ref="K36:K38" si="2">-L36/M36</f>
        <v>0.61090512540894215</v>
      </c>
      <c r="L36" s="22">
        <f>_xll.ciqfunctions.udf.CIQ($B36, L$6,  C36)</f>
        <v>-2801</v>
      </c>
      <c r="M36">
        <f>_xll.ciqfunctions.udf.CIQ($B36, M$6, C36)</f>
        <v>4585</v>
      </c>
      <c r="N36" s="27">
        <f>_xll.ciqfunctions.udf.CIQ($B36, N$6,#REF!)</f>
        <v>124.28</v>
      </c>
      <c r="O36">
        <f>_xll.ciqfunctions.udf.CIQ($B36, O$6,#REF!)</f>
        <v>2.92</v>
      </c>
      <c r="P36">
        <f>_xll.ciqfunctions.udf.CIQ($B36, P$6, C36)</f>
        <v>-2098</v>
      </c>
      <c r="Q36">
        <f>_xll.ciqfunctions.udf.CIQ($B36, Q$6, C36)</f>
        <v>86623</v>
      </c>
    </row>
    <row r="37" spans="1:17">
      <c r="B37" t="s">
        <v>36</v>
      </c>
      <c r="C37" t="s">
        <v>53</v>
      </c>
      <c r="D37" s="8">
        <f>_xll.ciqfunctions.udf.CIQ($F3, D$6,C37)</f>
        <v>41681</v>
      </c>
      <c r="E37" s="12">
        <f>_xll.ciqfunctions.udf.CIQ($F3,$E$6, , D37)</f>
        <v>9.0744000000000007</v>
      </c>
      <c r="F37" s="12">
        <f>_xll.ciqfunctions.udf.CIQ($B37, F$6, D37)/100</f>
        <v>2.3332000000000002E-2</v>
      </c>
      <c r="G37" s="12">
        <f>_xll.ciqfunctions.udf.CIQ($B37, G$6, C37)/100</f>
        <v>1.1811E-2</v>
      </c>
      <c r="H37" s="15">
        <f>_xll.ciqfunctions.udf.CIQ($B37, H$6, C37)</f>
        <v>1.4199200000000001</v>
      </c>
      <c r="I37" s="18">
        <f>_xll.ciqfunctions.udf.CIQ($B37, I$6,  C37)/100</f>
        <v>0.29715599999999998</v>
      </c>
      <c r="J37" s="21">
        <f>_xll.ciqfunctions.udf.CIQ($B37, J$6,  C37)</f>
        <v>20.106200000000001</v>
      </c>
      <c r="K37" s="26">
        <f t="shared" si="2"/>
        <v>0.53857715430861719</v>
      </c>
      <c r="L37" s="22">
        <f>_xll.ciqfunctions.udf.CIQ($B37, L$6,  C37)</f>
        <v>-1075</v>
      </c>
      <c r="M37">
        <f>_xll.ciqfunctions.udf.CIQ($B37, M$6, C37)</f>
        <v>1996</v>
      </c>
      <c r="N37" s="27">
        <f>_xll.ciqfunctions.udf.CIQ($B37, N$6,#REF!)</f>
        <v>99.49</v>
      </c>
      <c r="O37">
        <f>_xll.ciqfunctions.udf.CIQ($B37, O$6,#REF!)</f>
        <v>2.2000000000000002</v>
      </c>
      <c r="P37">
        <f>_xll.ciqfunctions.udf.CIQ($B37, P$6, C37)</f>
        <v>-280</v>
      </c>
      <c r="Q37">
        <f>_xll.ciqfunctions.udf.CIQ($B37, Q$6, C37)</f>
        <v>23706</v>
      </c>
    </row>
    <row r="38" spans="1:17">
      <c r="B38" t="s">
        <v>37</v>
      </c>
      <c r="C38" t="s">
        <v>53</v>
      </c>
      <c r="D38" s="8">
        <f>_xll.ciqfunctions.udf.CIQ($F4, D$6,C38)</f>
        <v>41677</v>
      </c>
      <c r="E38" s="12">
        <f>_xll.ciqfunctions.udf.CIQ($F4,$E$6, , D38)</f>
        <v>8.0797000000000008</v>
      </c>
      <c r="F38" s="12">
        <f>_xll.ciqfunctions.udf.CIQ($B38, F$6, D38)/100</f>
        <v>2.1499000000000001E-2</v>
      </c>
      <c r="G38" s="12">
        <f>_xll.ciqfunctions.udf.CIQ($B38, G$6, C38)/100</f>
        <v>1.4094000000000001E-2</v>
      </c>
      <c r="H38" s="15">
        <f>_xll.ciqfunctions.udf.CIQ($B38, H$6, C38)</f>
        <v>0.92147999999999997</v>
      </c>
      <c r="I38" s="18">
        <f>_xll.ciqfunctions.udf.CIQ($B38, I$6,  C38)/100</f>
        <v>0.212287</v>
      </c>
      <c r="J38" s="21">
        <f>_xll.ciqfunctions.udf.CIQ($B38, J$6,  C38)</f>
        <v>19.203499999999998</v>
      </c>
      <c r="K38" s="26">
        <f t="shared" si="2"/>
        <v>0.31395842172252864</v>
      </c>
      <c r="L38" s="22">
        <f>_xll.ciqfunctions.udf.CIQ($B38, L$6,  C38)</f>
        <v>-740</v>
      </c>
      <c r="M38">
        <f>_xll.ciqfunctions.udf.CIQ($B38, M$6, C38)</f>
        <v>2357</v>
      </c>
      <c r="N38" s="27">
        <f>_xll.ciqfunctions.udf.CIQ($B38, N$6,#REF!)</f>
        <v>109.26</v>
      </c>
      <c r="O38">
        <f>_xll.ciqfunctions.udf.CIQ($B38, O$6,#REF!)</f>
        <v>2.48</v>
      </c>
      <c r="P38">
        <f>_xll.ciqfunctions.udf.CIQ($B38, P$6, C38)</f>
        <v>-440</v>
      </c>
      <c r="Q38">
        <f>_xll.ciqfunctions.udf.CIQ($B38, Q$6, C38)</f>
        <v>31218</v>
      </c>
    </row>
    <row r="39" spans="1:17">
      <c r="D39" s="8"/>
      <c r="E39" s="33"/>
      <c r="F39" s="33"/>
      <c r="G39" s="33"/>
      <c r="H39" s="34"/>
      <c r="I39" s="35"/>
      <c r="J39" s="20"/>
      <c r="K39" s="20"/>
      <c r="L39" s="20"/>
      <c r="M39" s="20"/>
    </row>
    <row r="40" spans="1:17">
      <c r="D40" s="36"/>
      <c r="E40" s="27"/>
      <c r="F40" s="27"/>
      <c r="G40" s="27"/>
      <c r="H40" s="32"/>
      <c r="I40" s="20"/>
      <c r="J40" s="20"/>
      <c r="K40" s="20"/>
      <c r="L40" s="20"/>
      <c r="M40" s="20"/>
    </row>
    <row r="41" spans="1:17">
      <c r="D41" s="12" t="s">
        <v>24</v>
      </c>
      <c r="E41" s="16">
        <f>Spearman($E$35:$E$38,F35:F38)</f>
        <v>0.4</v>
      </c>
      <c r="F41" s="16">
        <f t="shared" ref="F41:J41" si="3">Spearman($E$35:$E$38,G35:G38)</f>
        <v>0.8</v>
      </c>
      <c r="G41" s="16">
        <f t="shared" si="3"/>
        <v>0.4</v>
      </c>
      <c r="H41" s="16">
        <f t="shared" si="3"/>
        <v>0.8</v>
      </c>
      <c r="I41" s="16">
        <f t="shared" si="3"/>
        <v>0.8</v>
      </c>
      <c r="J41" s="37">
        <f t="shared" si="3"/>
        <v>1</v>
      </c>
      <c r="K41" s="20"/>
      <c r="L41" s="20"/>
      <c r="M41" s="20"/>
    </row>
    <row r="42" spans="1:17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7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7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7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7"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7"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7"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t="s">
        <v>50</v>
      </c>
      <c r="C50" s="39"/>
      <c r="D50" s="38"/>
      <c r="E50" s="38"/>
      <c r="F50" s="41" t="s">
        <v>52</v>
      </c>
      <c r="G50" s="39"/>
      <c r="H50" s="39"/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</row>
    <row r="53" spans="1:21" ht="30">
      <c r="B53" s="9"/>
      <c r="C53" s="2"/>
      <c r="D53" t="str">
        <f>"IQ_FILINGDATE_BS"</f>
        <v>IQ_FILINGDATE_BS</v>
      </c>
      <c r="E53" s="12" t="str">
        <f>"IQ_TEV_EBITDA"</f>
        <v>IQ_TEV_EBITDA</v>
      </c>
      <c r="F53" s="14" t="str">
        <f>"IQ_DIVIDEND_YIELD"</f>
        <v>IQ_DIVIDEND_YIELD</v>
      </c>
      <c r="G53" s="14" t="str">
        <f>"IQ_RETURN_EQUITY"</f>
        <v>IQ_RETURN_EQUITY</v>
      </c>
      <c r="H53" s="14" t="str">
        <f>"IQ_TOTAL_DEBT_EBITDA"</f>
        <v>IQ_TOTAL_DEBT_EBITDA</v>
      </c>
      <c r="I53" s="14" t="str">
        <f>"IQ_TOTAL_DEBT_CAPITAL"</f>
        <v>IQ_TOTAL_DEBT_CAPITAL</v>
      </c>
      <c r="K53" s="25"/>
      <c r="L53" s="19" t="str">
        <f>"IQ_COMMON_REP"</f>
        <v>IQ_COMMON_REP</v>
      </c>
      <c r="M53" s="2" t="str">
        <f>"IQ_NI"</f>
        <v>IQ_NI</v>
      </c>
      <c r="N53" s="28" t="str">
        <f>"IQ_LASTSALEPRICE"</f>
        <v>IQ_LASTSALEPRICE</v>
      </c>
      <c r="O53" s="2" t="str">
        <f>"IQ_ANNUALIZED_DIVIDEND"</f>
        <v>IQ_ANNUALIZED_DIVIDEND</v>
      </c>
      <c r="P53" s="2" t="str">
        <f>"IQ_CAPEX"</f>
        <v>IQ_CAPEX</v>
      </c>
      <c r="Q53" s="2" t="str">
        <f>"IQ_TOTAL_REV"</f>
        <v>IQ_TOTAL_REV</v>
      </c>
    </row>
    <row r="54" spans="1:21">
      <c r="C54" s="2"/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K54" s="25"/>
      <c r="L54" s="19" t="s">
        <v>29</v>
      </c>
      <c r="M54" s="2"/>
      <c r="N54" s="28"/>
      <c r="O54" s="2"/>
      <c r="P54" s="2"/>
      <c r="Q54" s="2"/>
    </row>
    <row r="55" spans="1:21">
      <c r="B55">
        <v>500049</v>
      </c>
      <c r="C55" t="s">
        <v>53</v>
      </c>
      <c r="D55" s="8">
        <f>_xll.ciqfunctions.udf.CIQ($B55, D$6,C55)</f>
        <v>41505</v>
      </c>
      <c r="E55" s="12">
        <f>_xll.ciqfunctions.udf.CIQ($B55,$E$6, , D55)</f>
        <v>6.1894299999999998</v>
      </c>
      <c r="F55" s="12">
        <f>_xll.ciqfunctions.udf.CIQ($B55, F$6, D55)</f>
        <v>1.4175</v>
      </c>
      <c r="G55" s="21">
        <f>_xll.ciqfunctions.udf.CIQ($B55, J$6,  C55)</f>
        <v>14.8409</v>
      </c>
      <c r="H55" s="15">
        <f>_xll.ciqfunctions.udf.CIQ($B55, H$6, C55)</f>
        <v>8.5999999999999998E-4</v>
      </c>
      <c r="I55" s="18">
        <f>_xll.ciqfunctions.udf.CIQ($B55, I$6,  C55)/100</f>
        <v>8.8999999999999995E-5</v>
      </c>
      <c r="K55" s="26"/>
      <c r="L55" s="22">
        <f>_xll.ciqfunctions.udf.CIQ($B55, L$6,  C55)</f>
        <v>0</v>
      </c>
      <c r="M55">
        <f>_xll.ciqfunctions.udf.CIQ($B55, M$6, C55)</f>
        <v>9107.7780000000002</v>
      </c>
      <c r="N55" s="27">
        <f>_xll.ciqfunctions.udf.CIQ($B55, N$6,#REF!)</f>
        <v>981.9</v>
      </c>
      <c r="O55">
        <f>_xll.ciqfunctions.udf.CIQ($B55, O$6,#REF!)</f>
        <v>22.3</v>
      </c>
      <c r="P55">
        <f>_xll.ciqfunctions.udf.CIQ($B55, P$6, C55)</f>
        <v>-3884.7310000000002</v>
      </c>
      <c r="Q55">
        <f>_xll.ciqfunctions.udf.CIQ($B55, Q$6, C55)</f>
        <v>62213.195</v>
      </c>
    </row>
    <row r="56" spans="1:21">
      <c r="B56">
        <v>500520</v>
      </c>
      <c r="C56" t="s">
        <v>53</v>
      </c>
      <c r="D56" s="8">
        <f>_xll.ciqfunctions.udf.CIQ($B56, D$6,C56)</f>
        <v>41435</v>
      </c>
      <c r="E56" s="12">
        <f>_xll.ciqfunctions.udf.CIQ($B56,$E$6, , D56)</f>
        <v>9.01187</v>
      </c>
      <c r="F56" s="12">
        <f>_xll.ciqfunctions.udf.CIQ($B56, F$6, D56)</f>
        <v>1.2794000000000001</v>
      </c>
      <c r="G56" s="21">
        <f>_xll.ciqfunctions.udf.CIQ($B56, J$6,  C56)</f>
        <v>17.764800000000001</v>
      </c>
      <c r="H56" s="15">
        <f>_xll.ciqfunctions.udf.CIQ($B56, H$6, C56)</f>
        <v>3.2042600000000001</v>
      </c>
      <c r="I56" s="18">
        <f>_xll.ciqfunctions.udf.CIQ($B56, I$6,  C56)/100</f>
        <v>0.53199399999999997</v>
      </c>
      <c r="K56" s="26"/>
      <c r="L56" s="22">
        <f>_xll.ciqfunctions.udf.CIQ($B56, L$6,  C56)</f>
        <v>0</v>
      </c>
      <c r="M56">
        <f>_xll.ciqfunctions.udf.CIQ($B56, M$6, C56)</f>
        <v>40992</v>
      </c>
      <c r="N56" s="27">
        <f>_xll.ciqfunctions.udf.CIQ($B56, N$6,#REF!)</f>
        <v>991.05</v>
      </c>
      <c r="O56">
        <f>_xll.ciqfunctions.udf.CIQ($B56, O$6,#REF!)</f>
        <v>12.5</v>
      </c>
      <c r="P56">
        <f>_xll.ciqfunctions.udf.CIQ($B56, P$6, C56)</f>
        <v>-32913.9</v>
      </c>
      <c r="Q56">
        <f>_xll.ciqfunctions.udf.CIQ($B56, Q$6, C56)</f>
        <v>675133.5</v>
      </c>
      <c r="S56" s="27"/>
      <c r="T56" s="27"/>
    </row>
    <row r="57" spans="1:21">
      <c r="B57">
        <v>500164</v>
      </c>
      <c r="C57" t="s">
        <v>53</v>
      </c>
      <c r="D57" s="8">
        <f>_xll.ciqfunctions.udf.CIQ($B57, D$6,C57)</f>
        <v>41466</v>
      </c>
      <c r="E57" s="12">
        <f>_xll.ciqfunctions.udf.CIQ($B57,$E$6, , D57)</f>
        <v>21.243259999999999</v>
      </c>
      <c r="F57" s="12">
        <f>_xll.ciqfunctions.udf.CIQ($B57, F$6, D57)</f>
        <v>1.1625000000000001</v>
      </c>
      <c r="G57" s="21">
        <f>_xll.ciqfunctions.udf.CIQ($B57, J$6,  C57)</f>
        <v>13.643000000000001</v>
      </c>
      <c r="H57" s="15">
        <f>_xll.ciqfunctions.udf.CIQ($B57, H$6, C57)</f>
        <v>6.5389299999999997</v>
      </c>
      <c r="I57" s="18">
        <f>_xll.ciqfunctions.udf.CIQ($B57, I$6,  C57)/100</f>
        <v>0.42273899999999998</v>
      </c>
      <c r="K57" s="26"/>
      <c r="L57" s="22">
        <f>_xll.ciqfunctions.udf.CIQ($B57, L$6,  C57)</f>
        <v>0</v>
      </c>
      <c r="M57">
        <f>_xll.ciqfunctions.udf.CIQ($B57, M$6, C57)</f>
        <v>3911.8</v>
      </c>
      <c r="N57" s="27">
        <f>_xll.ciqfunctions.udf.CIQ($B57, N$6,#REF!)</f>
        <v>292.7</v>
      </c>
      <c r="O57">
        <f>_xll.ciqfunctions.udf.CIQ($B57, O$6,#REF!)</f>
        <v>3.5</v>
      </c>
      <c r="P57">
        <f>_xll.ciqfunctions.udf.CIQ($B57, P$6, C57)</f>
        <v>-6924.1</v>
      </c>
      <c r="Q57">
        <f>_xll.ciqfunctions.udf.CIQ($B57, Q$6, C57)</f>
        <v>70171.399999999994</v>
      </c>
      <c r="S57" s="27"/>
      <c r="T57" s="27"/>
    </row>
    <row r="58" spans="1:21">
      <c r="B58">
        <v>500570</v>
      </c>
      <c r="C58" t="s">
        <v>53</v>
      </c>
      <c r="D58" s="8">
        <f>_xll.ciqfunctions.udf.CIQ($B58, D$6,C58)</f>
        <v>41449</v>
      </c>
      <c r="E58" s="12">
        <f>_xll.ciqfunctions.udf.CIQ($B58,$E$6, , D58)</f>
        <v>5.25014</v>
      </c>
      <c r="F58" s="12">
        <f>_xll.ciqfunctions.udf.CIQ($B58, F$6, D58)</f>
        <v>0.70499999999999996</v>
      </c>
      <c r="G58" s="21">
        <f>_xll.ciqfunctions.udf.CIQ($B58, J$6,  C58)</f>
        <v>28.096800000000002</v>
      </c>
      <c r="H58" s="15">
        <f>_xll.ciqfunctions.udf.CIQ($B58, H$6, C58)</f>
        <v>2.6295199999999999</v>
      </c>
      <c r="I58" s="18">
        <f>_xll.ciqfunctions.udf.CIQ($B58, I$6,  C58)/100</f>
        <v>0.59175500000000003</v>
      </c>
      <c r="K58" s="26"/>
      <c r="L58" s="22">
        <f>_xll.ciqfunctions.udf.CIQ($B58, L$6,  C58)</f>
        <v>0</v>
      </c>
      <c r="M58">
        <f>_xll.ciqfunctions.udf.CIQ($B58, M$6, C58)</f>
        <v>98926.1</v>
      </c>
      <c r="N58" s="27">
        <f>_xll.ciqfunctions.udf.CIQ($B58, N$6,#REF!)</f>
        <v>388.75</v>
      </c>
      <c r="O58">
        <f>_xll.ciqfunctions.udf.CIQ($B58, O$6,#REF!)</f>
        <v>2</v>
      </c>
      <c r="P58">
        <f>_xll.ciqfunctions.udf.CIQ($B58, P$6, C58)</f>
        <v>-187570.3</v>
      </c>
      <c r="Q58">
        <f>_xll.ciqfunctions.udf.CIQ($B58, Q$6, C58)</f>
        <v>1888176.3</v>
      </c>
      <c r="S58" s="23"/>
      <c r="T58" s="23"/>
    </row>
    <row r="59" spans="1:21">
      <c r="D59" s="8"/>
      <c r="E59" s="33"/>
      <c r="F59" s="33"/>
      <c r="G59" s="33"/>
      <c r="H59" s="34"/>
      <c r="I59" s="35"/>
      <c r="J59" s="20"/>
      <c r="K59" s="20"/>
      <c r="L59" s="20"/>
      <c r="M59" s="20"/>
      <c r="S59" s="27"/>
      <c r="T59" s="27"/>
    </row>
    <row r="60" spans="1:21">
      <c r="D60" s="36"/>
      <c r="E60" s="27"/>
      <c r="F60" s="27"/>
      <c r="G60" s="27"/>
      <c r="H60" s="32"/>
      <c r="I60" s="20"/>
      <c r="J60" s="20"/>
      <c r="K60" s="20"/>
      <c r="L60" s="20"/>
      <c r="M60" s="20"/>
      <c r="S60" s="27"/>
      <c r="T60" s="27"/>
    </row>
    <row r="61" spans="1:21">
      <c r="D61" s="12" t="s">
        <v>24</v>
      </c>
      <c r="E61" s="16">
        <f>CORREL($E$55:$E$58,F55:F58)</f>
        <v>0.16392269581533575</v>
      </c>
      <c r="F61" s="16">
        <f t="shared" ref="F61:H61" si="4">Spearman($E$55:$E$58,G55:G58)</f>
        <v>-0.8</v>
      </c>
      <c r="G61" s="16">
        <f t="shared" si="4"/>
        <v>0.8</v>
      </c>
      <c r="H61" s="16">
        <f t="shared" si="4"/>
        <v>-0.4</v>
      </c>
      <c r="I61" s="16"/>
      <c r="J61" s="16"/>
      <c r="K61" s="20"/>
      <c r="L61" s="20"/>
      <c r="M61" s="20"/>
      <c r="S61" s="27"/>
      <c r="T61" s="27"/>
    </row>
    <row r="62" spans="1:21">
      <c r="D62" s="36"/>
      <c r="E62" s="27"/>
      <c r="F62" s="27"/>
      <c r="G62" s="27"/>
      <c r="H62" s="32"/>
      <c r="I62" s="20"/>
      <c r="J62" s="20"/>
      <c r="K62" s="20"/>
      <c r="L62" s="20"/>
      <c r="M62" s="20"/>
      <c r="S62" s="27"/>
      <c r="T62" s="27"/>
    </row>
    <row r="63" spans="1:21">
      <c r="D63" s="36"/>
      <c r="E63" s="27"/>
      <c r="F63" s="27"/>
      <c r="G63" s="27"/>
      <c r="H63" s="32"/>
      <c r="I63" s="20"/>
      <c r="J63" s="20"/>
      <c r="K63" s="20"/>
      <c r="L63" s="20"/>
      <c r="M63" s="20"/>
      <c r="S63" s="27"/>
      <c r="T63" s="27"/>
    </row>
    <row r="64" spans="1:21">
      <c r="A64" t="s">
        <v>39</v>
      </c>
      <c r="D64" s="36"/>
      <c r="E64" s="27"/>
      <c r="F64" s="27"/>
      <c r="G64" s="27"/>
      <c r="H64" s="32"/>
      <c r="I64" s="20"/>
      <c r="J64" s="20"/>
      <c r="K64" s="20"/>
      <c r="L64" s="20"/>
      <c r="M64" s="20"/>
      <c r="S64" s="27"/>
      <c r="T64" s="27"/>
    </row>
    <row r="65" spans="1:17">
      <c r="A65" t="s">
        <v>44</v>
      </c>
      <c r="D65" s="36"/>
      <c r="E65" s="27"/>
      <c r="F65" s="27"/>
      <c r="G65" s="27"/>
      <c r="H65" s="32"/>
      <c r="I65" s="20"/>
      <c r="J65" s="20"/>
      <c r="K65" s="20"/>
      <c r="L65" s="20"/>
      <c r="M65" s="20"/>
    </row>
    <row r="66" spans="1:17">
      <c r="D66" s="36"/>
      <c r="E66" s="27"/>
      <c r="F66" s="27"/>
      <c r="G66" s="27"/>
      <c r="H66" s="32"/>
      <c r="I66" s="20"/>
      <c r="J66" s="20"/>
      <c r="K66" s="20"/>
      <c r="L66" s="20"/>
      <c r="M66" s="20"/>
    </row>
    <row r="67" spans="1:17">
      <c r="D67" s="36"/>
      <c r="E67" s="27"/>
      <c r="F67" s="27"/>
      <c r="G67" s="27"/>
      <c r="H67" s="32"/>
      <c r="I67" s="20"/>
      <c r="J67" s="20"/>
      <c r="K67" s="20"/>
      <c r="L67" s="20"/>
      <c r="M67" s="20"/>
    </row>
    <row r="68" spans="1:17">
      <c r="D68" s="36"/>
      <c r="E68" s="27"/>
      <c r="F68" s="27"/>
      <c r="G68" s="27"/>
      <c r="H68" s="32"/>
      <c r="I68" s="20"/>
      <c r="J68" s="20"/>
      <c r="K68" s="20"/>
      <c r="L68" s="20"/>
      <c r="M68" s="20"/>
    </row>
    <row r="69" spans="1:17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</row>
    <row r="70" spans="1:17">
      <c r="A70" t="s">
        <v>1</v>
      </c>
      <c r="B70" s="40"/>
      <c r="C70" s="39"/>
      <c r="D70" s="38"/>
      <c r="E70" s="38"/>
      <c r="F70" s="39"/>
      <c r="G70" s="39"/>
      <c r="H70" s="39"/>
      <c r="I70" s="39"/>
      <c r="J70" s="39"/>
      <c r="K70" s="39"/>
      <c r="L70" s="39"/>
      <c r="M70" s="2"/>
      <c r="N70" s="28"/>
      <c r="O70" s="2"/>
      <c r="P70" s="2"/>
      <c r="Q70" s="2"/>
    </row>
    <row r="71" spans="1:17">
      <c r="A71" t="s">
        <v>40</v>
      </c>
    </row>
    <row r="72" spans="1:17">
      <c r="A72" t="s">
        <v>41</v>
      </c>
    </row>
    <row r="73" spans="1:17">
      <c r="A73" t="s">
        <v>42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B1:R51"/>
  <sheetViews>
    <sheetView zoomScale="90" zoomScaleNormal="90" workbookViewId="0">
      <selection activeCell="J51" sqref="J51"/>
    </sheetView>
  </sheetViews>
  <sheetFormatPr defaultRowHeight="15"/>
  <cols>
    <col min="1" max="1" width="14.5703125" customWidth="1"/>
    <col min="2" max="2" width="10.5703125" customWidth="1"/>
    <col min="4" max="4" width="9.7109375" bestFit="1" customWidth="1"/>
    <col min="5" max="6" width="13.85546875" customWidth="1"/>
    <col min="7" max="10" width="18.140625" customWidth="1"/>
    <col min="11" max="11" width="9.7109375" customWidth="1"/>
    <col min="12" max="12" width="14.140625" customWidth="1"/>
    <col min="13" max="15" width="9.7109375" customWidth="1"/>
    <col min="16" max="16" width="12.5703125" customWidth="1"/>
    <col min="17" max="17" width="13.42578125" customWidth="1"/>
    <col min="18" max="18" width="11.7109375" customWidth="1"/>
    <col min="19" max="19" width="9.7109375" customWidth="1"/>
    <col min="20" max="20" width="8.5703125" customWidth="1"/>
  </cols>
  <sheetData>
    <row r="1" spans="2:18">
      <c r="G1" s="11" t="s">
        <v>1</v>
      </c>
      <c r="H1" s="11"/>
      <c r="J1" s="17"/>
      <c r="L1" t="s">
        <v>1</v>
      </c>
      <c r="M1" t="s">
        <v>0</v>
      </c>
      <c r="N1" t="s">
        <v>25</v>
      </c>
    </row>
    <row r="2" spans="2:18">
      <c r="G2" s="17"/>
      <c r="H2" s="17"/>
      <c r="I2" s="17"/>
      <c r="J2" s="17"/>
    </row>
    <row r="3" spans="2:18" s="2" customFormat="1" ht="29.25" customHeight="1">
      <c r="B3" s="9" t="s">
        <v>23</v>
      </c>
      <c r="D3" s="9" t="s">
        <v>23</v>
      </c>
      <c r="E3" t="str">
        <f>"IQ_FILINGDATE_BS"</f>
        <v>IQ_FILINGDATE_BS</v>
      </c>
      <c r="F3" s="12" t="str">
        <f>"IQ_TEV_EBITDA"</f>
        <v>IQ_TEV_EBITDA</v>
      </c>
      <c r="G3" s="14" t="str">
        <f>"IQ_DIVIDEND_YIELD"</f>
        <v>IQ_DIVIDEND_YIELD</v>
      </c>
      <c r="H3" s="14" t="str">
        <f>"IQ_CAPEX_PCT_REV"</f>
        <v>IQ_CAPEX_PCT_REV</v>
      </c>
      <c r="I3" s="14" t="str">
        <f>"IQ_TOTAL_DEBT_EBITDA"</f>
        <v>IQ_TOTAL_DEBT_EBITDA</v>
      </c>
      <c r="J3" s="14" t="str">
        <f>"IQ_TOTAL_DEBT_CAPITAL"</f>
        <v>IQ_TOTAL_DEBT_CAPITAL</v>
      </c>
      <c r="K3" s="5" t="str">
        <f>"IQ_LASTSALEPRICE"</f>
        <v>IQ_LASTSALEPRICE</v>
      </c>
      <c r="L3" s="2" t="str">
        <f>"IQ_ANNUALIZED_DIVIDEND"</f>
        <v>IQ_ANNUALIZED_DIVIDEND</v>
      </c>
      <c r="M3" s="2" t="str">
        <f>"IQ_CAPEX"</f>
        <v>IQ_CAPEX</v>
      </c>
      <c r="N3" s="2" t="str">
        <f>"IQ_TOTAL_REV"</f>
        <v>IQ_TOTAL_REV</v>
      </c>
      <c r="R3" s="2" t="str">
        <f>"IQ_COMMON_REP"</f>
        <v>IQ_COMMON_REP</v>
      </c>
    </row>
    <row r="4" spans="2:18">
      <c r="B4" t="s">
        <v>2</v>
      </c>
      <c r="C4">
        <v>500</v>
      </c>
      <c r="D4" s="1">
        <v>41305</v>
      </c>
      <c r="E4" s="8">
        <f>_xll.ciqfunctions.udf.CIQ($G$1, E$3,C4)</f>
        <v>41592</v>
      </c>
      <c r="F4" s="12">
        <f>_xll.ciqfunctions.udf.CIQ($G$1,$F$3, , E4)</f>
        <v>7.0760300000000003</v>
      </c>
      <c r="G4" s="12">
        <f>_xll.ciqfunctions.udf.CIQ($G$1, G$3, D4)/100</f>
        <v>3.1312E-2</v>
      </c>
      <c r="H4" s="12">
        <f>_xll.ciqfunctions.udf.CIQ($G$1, H$3, B4)/100</f>
        <v>0</v>
      </c>
      <c r="I4" s="15">
        <f>_xll.ciqfunctions.udf.CIQ($G$1, I$3, B4)</f>
        <v>0</v>
      </c>
      <c r="J4" s="18">
        <f>_xll.ciqfunctions.udf.CIQ($G$1, J$3,  B4)/100</f>
        <v>0</v>
      </c>
      <c r="K4">
        <f>_xll.ciqfunctions.udf.CIQ($G$1, K$3, D4)</f>
        <v>142.4</v>
      </c>
      <c r="L4">
        <f>_xll.ciqfunctions.udf.CIQ($G$1, L$3, D4)</f>
        <v>4.4588400000000004</v>
      </c>
      <c r="M4">
        <f>_xll.ciqfunctions.udf.CIQ($G$1, M$3, B4)</f>
        <v>0</v>
      </c>
      <c r="N4">
        <f>_xll.ciqfunctions.udf.CIQ($G$1, N$3, B4)</f>
        <v>0</v>
      </c>
      <c r="R4" s="7">
        <f>_xll.ciqfunctions.udf.CIQ($G$1, R$3, C4)</f>
        <v>0</v>
      </c>
    </row>
    <row r="5" spans="2:18">
      <c r="B5" t="s">
        <v>3</v>
      </c>
      <c r="C5">
        <v>499</v>
      </c>
      <c r="D5" s="3">
        <v>41546</v>
      </c>
      <c r="E5" s="8">
        <f>_xll.ciqfunctions.udf.CIQ($G$1, E$3,C5)</f>
        <v>41499</v>
      </c>
      <c r="F5" s="12">
        <f>_xll.ciqfunctions.udf.CIQ($G$1,$F$3, , E5)</f>
        <v>6.22973</v>
      </c>
      <c r="G5" s="12">
        <f>_xll.ciqfunctions.udf.CIQ($G$1, G$3, D5)/100</f>
        <v>2.2330000000000003E-2</v>
      </c>
      <c r="H5" s="12">
        <f>_xll.ciqfunctions.udf.CIQ($G$1, H$3, B5)/100</f>
        <v>3.0160999999999997E-2</v>
      </c>
      <c r="I5" s="15">
        <f>_xll.ciqfunctions.udf.CIQ($G$1, I$3, B5)</f>
        <v>1.91716</v>
      </c>
      <c r="J5" s="18">
        <f>_xll.ciqfunctions.udf.CIQ($G$1, J$3,  B5)/100</f>
        <v>0.38293700000000003</v>
      </c>
      <c r="K5">
        <f>_xll.ciqfunctions.udf.CIQ($G$1, K$3, D5)</f>
        <v>191.1</v>
      </c>
      <c r="L5">
        <f>_xll.ciqfunctions.udf.CIQ($G$1, L$3, D5)</f>
        <v>4.2674399999999997</v>
      </c>
      <c r="M5">
        <f>_xll.ciqfunctions.udf.CIQ($G$1, M$3, B5)</f>
        <v>-22.036999999999999</v>
      </c>
      <c r="N5">
        <f>_xll.ciqfunctions.udf.CIQ($G$1, N$3, B5)</f>
        <v>730.63099999999997</v>
      </c>
      <c r="R5" s="7">
        <f>_xll.ciqfunctions.udf.CIQ($G$1, R$3, C5)</f>
        <v>0</v>
      </c>
    </row>
    <row r="6" spans="2:18">
      <c r="B6" t="s">
        <v>4</v>
      </c>
      <c r="C6">
        <v>498</v>
      </c>
      <c r="D6" s="3">
        <v>41426</v>
      </c>
      <c r="E6" s="8">
        <f>_xll.ciqfunctions.udf.CIQ($G$1, E$3,C6)</f>
        <v>41402</v>
      </c>
      <c r="F6" s="12">
        <f>_xll.ciqfunctions.udf.CIQ($G$1,$F$3, , E6)</f>
        <v>6.1040999999999999</v>
      </c>
      <c r="G6" s="12">
        <f>_xll.ciqfunctions.udf.CIQ($G$1, G$3, D6)/100</f>
        <v>2.7873000000000002E-2</v>
      </c>
      <c r="H6" s="12">
        <f>_xll.ciqfunctions.udf.CIQ($G$1, H$3, B6)/100</f>
        <v>2.4668000000000002E-2</v>
      </c>
      <c r="I6" s="15">
        <f>_xll.ciqfunctions.udf.CIQ($G$1, I$3, B6)</f>
        <v>1.70879</v>
      </c>
      <c r="J6" s="18">
        <f>_xll.ciqfunctions.udf.CIQ($G$1, J$3,  B6)/100</f>
        <v>0.36031599999999997</v>
      </c>
      <c r="K6">
        <f>_xll.ciqfunctions.udf.CIQ($G$1, K$3, D6)</f>
        <v>158.9</v>
      </c>
      <c r="L6">
        <f>_xll.ciqfunctions.udf.CIQ($G$1, L$3, D6)</f>
        <v>4.4290799999999999</v>
      </c>
      <c r="M6">
        <f>_xll.ciqfunctions.udf.CIQ($G$1, M$3, B6)</f>
        <v>-17.338999999999999</v>
      </c>
      <c r="N6">
        <f>_xll.ciqfunctions.udf.CIQ($G$1, N$3, B6)</f>
        <v>702.87599999999998</v>
      </c>
      <c r="R6" s="7">
        <f>_xll.ciqfunctions.udf.CIQ($G$1, R$3, C6)</f>
        <v>0</v>
      </c>
    </row>
    <row r="7" spans="2:18">
      <c r="B7" t="s">
        <v>5</v>
      </c>
      <c r="C7">
        <v>497</v>
      </c>
      <c r="D7" s="4">
        <v>41346</v>
      </c>
      <c r="E7" s="8">
        <f>_xll.ciqfunctions.udf.CIQ($G$1, E$3,C7)</f>
        <v>41346</v>
      </c>
      <c r="F7" s="12">
        <f>_xll.ciqfunctions.udf.CIQ($G$1,$F$3, , E7)</f>
        <v>5.8387700000000002</v>
      </c>
      <c r="G7" s="12">
        <f>_xll.ciqfunctions.udf.CIQ($G$1, G$3, D7)/100</f>
        <v>3.0733999999999997E-2</v>
      </c>
      <c r="H7" s="12">
        <f>_xll.ciqfunctions.udf.CIQ($G$1, H$3, B7)/100</f>
        <v>2.2951000000000003E-2</v>
      </c>
      <c r="I7" s="15">
        <f>_xll.ciqfunctions.udf.CIQ($G$1, I$3, B7)</f>
        <v>1.9390499999999999</v>
      </c>
      <c r="J7" s="18">
        <f>_xll.ciqfunctions.udf.CIQ($G$1, J$3,  B7)/100</f>
        <v>0.38405600000000001</v>
      </c>
      <c r="K7">
        <f>_xll.ciqfunctions.udf.CIQ($G$1, K$3, D7)</f>
        <v>144.30000000000001</v>
      </c>
      <c r="L7">
        <f>_xll.ciqfunctions.udf.CIQ($G$1, L$3, D7)</f>
        <v>4.4349600000000002</v>
      </c>
      <c r="M7">
        <f>_xll.ciqfunctions.udf.CIQ($G$1, M$3, B7)</f>
        <v>-15.611000000000001</v>
      </c>
      <c r="N7">
        <f>_xll.ciqfunctions.udf.CIQ($G$1, N$3, B7)</f>
        <v>680.18799999999999</v>
      </c>
      <c r="R7" s="7">
        <f>_xll.ciqfunctions.udf.CIQ($G$1, R$3, C7)</f>
        <v>0</v>
      </c>
    </row>
    <row r="8" spans="2:18">
      <c r="B8" t="s">
        <v>6</v>
      </c>
      <c r="C8">
        <v>496</v>
      </c>
      <c r="D8" s="4">
        <v>41620</v>
      </c>
      <c r="E8" s="8">
        <f>_xll.ciqfunctions.udf.CIQ($G$1, E$3,C8)</f>
        <v>41242</v>
      </c>
      <c r="F8" s="12">
        <f>_xll.ciqfunctions.udf.CIQ($G$1,$F$3, , E8)</f>
        <v>6.1406400000000003</v>
      </c>
      <c r="G8" s="12">
        <f>_xll.ciqfunctions.udf.CIQ($G$1, G$3, D8)/100</f>
        <v>2.0264999999999998E-2</v>
      </c>
      <c r="H8" s="12">
        <f>_xll.ciqfunctions.udf.CIQ($G$1, H$3, B8)/100</f>
        <v>2.5931000000000003E-2</v>
      </c>
      <c r="I8" s="15">
        <f>_xll.ciqfunctions.udf.CIQ($G$1, I$3, B8)</f>
        <v>1.59023</v>
      </c>
      <c r="J8" s="18">
        <f>_xll.ciqfunctions.udf.CIQ($G$1, J$3,  B8)/100</f>
        <v>0.39031100000000002</v>
      </c>
      <c r="K8">
        <f>_xll.ciqfunctions.udf.CIQ($G$1, K$3, D8)</f>
        <v>207.5</v>
      </c>
      <c r="L8">
        <f>_xll.ciqfunctions.udf.CIQ($G$1, L$3, D8)</f>
        <v>4.2051600000000002</v>
      </c>
      <c r="M8">
        <f>_xll.ciqfunctions.udf.CIQ($G$1, M$3, B8)</f>
        <v>-21.884</v>
      </c>
      <c r="N8">
        <f>_xll.ciqfunctions.udf.CIQ($G$1, N$3, B8)</f>
        <v>843.91700000000003</v>
      </c>
      <c r="R8" s="7">
        <f>_xll.ciqfunctions.udf.CIQ($G$1, R$3, C8)</f>
        <v>-12.839</v>
      </c>
    </row>
    <row r="9" spans="2:18">
      <c r="B9" t="s">
        <v>7</v>
      </c>
      <c r="C9">
        <v>495</v>
      </c>
      <c r="D9" s="4">
        <v>41529</v>
      </c>
      <c r="E9" s="8">
        <f>_xll.ciqfunctions.udf.CIQ($G$1, E$3,C9)</f>
        <v>41150</v>
      </c>
      <c r="F9" s="12">
        <f>_xll.ciqfunctions.udf.CIQ($G$1,$F$3, , E9)</f>
        <v>5.2460100000000001</v>
      </c>
      <c r="G9" s="12">
        <f>_xll.ciqfunctions.udf.CIQ($G$1, G$3, D9)/100</f>
        <v>2.5878000000000002E-2</v>
      </c>
      <c r="H9" s="12">
        <f>_xll.ciqfunctions.udf.CIQ($G$1, H$3, B9)/100</f>
        <v>3.0405000000000001E-2</v>
      </c>
      <c r="I9" s="15">
        <f>_xll.ciqfunctions.udf.CIQ($G$1, I$3, B9)</f>
        <v>2.10162</v>
      </c>
      <c r="J9" s="18">
        <f>_xll.ciqfunctions.udf.CIQ($G$1, J$3,  B9)/100</f>
        <v>0.41617800000000005</v>
      </c>
      <c r="K9">
        <f>_xll.ciqfunctions.udf.CIQ($G$1, K$3, D9)</f>
        <v>164.4</v>
      </c>
      <c r="L9">
        <f>_xll.ciqfunctions.udf.CIQ($G$1, L$3, D9)</f>
        <v>4.2543600000000001</v>
      </c>
      <c r="M9">
        <f>_xll.ciqfunctions.udf.CIQ($G$1, M$3, B9)</f>
        <v>-20.599</v>
      </c>
      <c r="N9">
        <f>_xll.ciqfunctions.udf.CIQ($G$1, N$3, B9)</f>
        <v>677.47</v>
      </c>
      <c r="R9" s="7">
        <f>_xll.ciqfunctions.udf.CIQ($G$1, R$3, C9)</f>
        <v>-3.2269999999999999</v>
      </c>
    </row>
    <row r="10" spans="2:18">
      <c r="B10" t="s">
        <v>8</v>
      </c>
      <c r="C10">
        <v>494</v>
      </c>
      <c r="D10" s="4">
        <v>41437</v>
      </c>
      <c r="E10" s="8">
        <f>_xll.ciqfunctions.udf.CIQ($G$1, E$3,C10)</f>
        <v>41059</v>
      </c>
      <c r="F10" s="12">
        <f>_xll.ciqfunctions.udf.CIQ($G$1,$F$3, , E10)</f>
        <v>5.4649299999999998</v>
      </c>
      <c r="G10" s="12">
        <f>_xll.ciqfunctions.udf.CIQ($G$1, G$3, D10)/100</f>
        <v>2.6678999999999998E-2</v>
      </c>
      <c r="H10" s="12">
        <f>_xll.ciqfunctions.udf.CIQ($G$1, H$3, B10)/100</f>
        <v>2.8659E-2</v>
      </c>
      <c r="I10" s="15">
        <f>_xll.ciqfunctions.udf.CIQ($G$1, I$3, B10)</f>
        <v>2.64838</v>
      </c>
      <c r="J10" s="18">
        <f>_xll.ciqfunctions.udf.CIQ($G$1, J$3,  B10)/100</f>
        <v>0.45542499999999997</v>
      </c>
      <c r="K10">
        <f>_xll.ciqfunctions.udf.CIQ($G$1, K$3, D10)</f>
        <v>163</v>
      </c>
      <c r="L10">
        <f>_xll.ciqfunctions.udf.CIQ($G$1, L$3, D10)</f>
        <v>4.3487999999999998</v>
      </c>
      <c r="M10">
        <f>_xll.ciqfunctions.udf.CIQ($G$1, M$3, B10)</f>
        <v>-19.385999999999999</v>
      </c>
      <c r="N10">
        <f>_xll.ciqfunctions.udf.CIQ($G$1, N$3, B10)</f>
        <v>676.43200000000002</v>
      </c>
      <c r="R10" s="7">
        <f>_xll.ciqfunctions.udf.CIQ($G$1, R$3, C10)</f>
        <v>-10.004</v>
      </c>
    </row>
    <row r="11" spans="2:18">
      <c r="B11" t="s">
        <v>9</v>
      </c>
      <c r="C11">
        <v>493</v>
      </c>
      <c r="D11" s="1">
        <v>40969</v>
      </c>
      <c r="E11" s="8">
        <f>_xll.ciqfunctions.udf.CIQ($G$1, E$3,C11)</f>
        <v>41346</v>
      </c>
      <c r="F11" s="12">
        <f>_xll.ciqfunctions.udf.CIQ($G$1,$F$3, , E11)</f>
        <v>5.8387700000000002</v>
      </c>
      <c r="G11" s="12">
        <f>_xll.ciqfunctions.udf.CIQ($G$1, G$3, D11)/100</f>
        <v>3.9331999999999999E-2</v>
      </c>
      <c r="H11" s="12">
        <f>_xll.ciqfunctions.udf.CIQ($G$1, H$3, B11)/100</f>
        <v>2.8616000000000003E-2</v>
      </c>
      <c r="I11" s="15">
        <f>_xll.ciqfunctions.udf.CIQ($G$1, I$3, B11)</f>
        <v>2.8459400000000001</v>
      </c>
      <c r="J11" s="18">
        <f>_xll.ciqfunctions.udf.CIQ($G$1, J$3,  B11)/100</f>
        <v>0.47983400000000004</v>
      </c>
      <c r="K11">
        <f>_xll.ciqfunctions.udf.CIQ($G$1, K$3, D11)</f>
        <v>138.5</v>
      </c>
      <c r="L11" s="6">
        <f>_xll.ciqfunctions.udf.CIQ($G$1, L$3, D11)</f>
        <v>5.4475199999999999</v>
      </c>
      <c r="M11">
        <f>_xll.ciqfunctions.udf.CIQ($G$1, M$3, B11)</f>
        <v>-19.768000000000001</v>
      </c>
      <c r="N11">
        <f>_xll.ciqfunctions.udf.CIQ($G$1, N$3, B11)</f>
        <v>690.78800000000001</v>
      </c>
      <c r="R11" s="7">
        <f>_xll.ciqfunctions.udf.CIQ($G$1, R$3, C11)</f>
        <v>-10.101000000000001</v>
      </c>
    </row>
    <row r="12" spans="2:18">
      <c r="B12" t="s">
        <v>10</v>
      </c>
      <c r="C12">
        <v>492</v>
      </c>
      <c r="D12" s="1">
        <v>40878</v>
      </c>
      <c r="E12" s="8">
        <f>_xll.ciqfunctions.udf.CIQ($G$1, E$3,C12)</f>
        <v>41242</v>
      </c>
      <c r="F12" s="12">
        <f>_xll.ciqfunctions.udf.CIQ($G$1,$F$3, , E12)</f>
        <v>6.1406400000000003</v>
      </c>
      <c r="G12" s="12">
        <f>_xll.ciqfunctions.udf.CIQ($G$1, G$3, D12)/100</f>
        <v>3.3925999999999998E-2</v>
      </c>
      <c r="H12" s="12">
        <f>_xll.ciqfunctions.udf.CIQ($G$1, H$3, B12)/100</f>
        <v>3.5033000000000002E-2</v>
      </c>
      <c r="I12" s="15">
        <f>_xll.ciqfunctions.udf.CIQ($G$1, I$3, B12)</f>
        <v>2.16072</v>
      </c>
      <c r="J12" s="18">
        <f>_xll.ciqfunctions.udf.CIQ($G$1, J$3,  B12)/100</f>
        <v>0.41869200000000001</v>
      </c>
      <c r="K12">
        <f>_xll.ciqfunctions.udf.CIQ($G$1, K$3, D12)</f>
        <v>159</v>
      </c>
      <c r="L12" s="6">
        <f>_xll.ciqfunctions.udf.CIQ($G$1, L$3, D12)</f>
        <v>5.3942399999999999</v>
      </c>
      <c r="M12">
        <f>_xll.ciqfunctions.udf.CIQ($G$1, M$3, B12)</f>
        <v>-29.492999999999999</v>
      </c>
      <c r="N12">
        <f>_xll.ciqfunctions.udf.CIQ($G$1, N$3, B12)</f>
        <v>841.86300000000006</v>
      </c>
      <c r="R12" s="7">
        <f>_xll.ciqfunctions.udf.CIQ($G$1, R$3, C12)</f>
        <v>0</v>
      </c>
    </row>
    <row r="13" spans="2:18">
      <c r="B13" t="s">
        <v>11</v>
      </c>
      <c r="C13">
        <v>491</v>
      </c>
      <c r="D13" s="1">
        <v>40787</v>
      </c>
      <c r="E13" s="8">
        <f>_xll.ciqfunctions.udf.CIQ($G$1, E$3,C13)</f>
        <v>41150</v>
      </c>
      <c r="F13" s="12">
        <f>_xll.ciqfunctions.udf.CIQ($G$1,$F$3, , E13)</f>
        <v>5.2460100000000001</v>
      </c>
      <c r="G13" s="12">
        <f>_xll.ciqfunctions.udf.CIQ($G$1, G$3, D13)/100</f>
        <v>3.5497000000000001E-2</v>
      </c>
      <c r="H13" s="12">
        <f>_xll.ciqfunctions.udf.CIQ($G$1, H$3, B13)/100</f>
        <v>2.8687000000000001E-2</v>
      </c>
      <c r="I13" s="15">
        <f>_xll.ciqfunctions.udf.CIQ($G$1, I$3, B13)</f>
        <v>1.9073500000000001</v>
      </c>
      <c r="J13" s="18">
        <f>_xll.ciqfunctions.udf.CIQ($G$1, J$3,  B13)/100</f>
        <v>0.42096299999999998</v>
      </c>
      <c r="K13">
        <f>_xll.ciqfunctions.udf.CIQ($G$1, K$3, D13)</f>
        <v>145</v>
      </c>
      <c r="L13" s="6">
        <f>_xll.ciqfunctions.udf.CIQ($G$1, L$3, D13)</f>
        <v>5.1471400000000003</v>
      </c>
      <c r="M13">
        <f>_xll.ciqfunctions.udf.CIQ($G$1, M$3, B13)</f>
        <v>-19.04</v>
      </c>
      <c r="N13">
        <f>_xll.ciqfunctions.udf.CIQ($G$1, N$3, B13)</f>
        <v>663.71199999999999</v>
      </c>
      <c r="R13" s="7">
        <f>_xll.ciqfunctions.udf.CIQ($G$1, R$3, C13)</f>
        <v>0</v>
      </c>
    </row>
    <row r="14" spans="2:18">
      <c r="B14" t="s">
        <v>12</v>
      </c>
      <c r="C14">
        <v>490</v>
      </c>
      <c r="D14" s="1">
        <v>40695</v>
      </c>
      <c r="E14" s="8">
        <f>_xll.ciqfunctions.udf.CIQ($G$1, E$3,C14)</f>
        <v>41059</v>
      </c>
      <c r="F14" s="12">
        <f>_xll.ciqfunctions.udf.CIQ($G$1,$F$3, , E14)</f>
        <v>5.4649299999999998</v>
      </c>
      <c r="G14" s="12">
        <f>_xll.ciqfunctions.udf.CIQ($G$1, G$3, D14)/100</f>
        <v>2.8128E-2</v>
      </c>
      <c r="H14" s="12">
        <f>_xll.ciqfunctions.udf.CIQ($G$1, H$3, B14)/100</f>
        <v>0</v>
      </c>
      <c r="I14" s="15">
        <f>_xll.ciqfunctions.udf.CIQ($G$1, I$3, B14)</f>
        <v>1.8846400000000001</v>
      </c>
      <c r="J14" s="18">
        <f>_xll.ciqfunctions.udf.CIQ($G$1, J$3,  B14)/100</f>
        <v>0.41176200000000002</v>
      </c>
      <c r="K14">
        <f>_xll.ciqfunctions.udf.CIQ($G$1, K$3, D14)</f>
        <v>174.7</v>
      </c>
      <c r="L14" s="6">
        <f>_xll.ciqfunctions.udf.CIQ($G$1, L$3, D14)</f>
        <v>4.9139999999999997</v>
      </c>
      <c r="M14">
        <f>_xll.ciqfunctions.udf.CIQ($G$1, M$3, B14)</f>
        <v>0</v>
      </c>
      <c r="N14">
        <f>_xll.ciqfunctions.udf.CIQ($G$1, N$3, B14)</f>
        <v>691.63199999999995</v>
      </c>
      <c r="R14" s="7">
        <f>_xll.ciqfunctions.udf.CIQ($G$1, R$3, C14)</f>
        <v>0</v>
      </c>
    </row>
    <row r="15" spans="2:18">
      <c r="B15" t="s">
        <v>13</v>
      </c>
      <c r="C15">
        <v>489</v>
      </c>
      <c r="D15" s="1">
        <v>40603</v>
      </c>
      <c r="E15" s="8">
        <f>_xll.ciqfunctions.udf.CIQ($G$1, E$3,C15)</f>
        <v>40982</v>
      </c>
      <c r="F15" s="12">
        <f>_xll.ciqfunctions.udf.CIQ($G$1,$F$3, , E15)</f>
        <v>5.7031799999999997</v>
      </c>
      <c r="G15" s="12">
        <f>_xll.ciqfunctions.udf.CIQ($G$1, G$3, D15)/100</f>
        <v>2.8231000000000003E-2</v>
      </c>
      <c r="H15" s="12">
        <f>_xll.ciqfunctions.udf.CIQ($G$1, H$3, B15)/100</f>
        <v>6.0990000000000003E-2</v>
      </c>
      <c r="I15" s="15">
        <f>_xll.ciqfunctions.udf.CIQ($G$1, I$3, B15)</f>
        <v>2.2964600000000002</v>
      </c>
      <c r="J15" s="18">
        <f>_xll.ciqfunctions.udf.CIQ($G$1, J$3,  B15)/100</f>
        <v>0.42697299999999999</v>
      </c>
      <c r="K15">
        <f>_xll.ciqfunctions.udf.CIQ($G$1, K$3, D15)</f>
        <v>185</v>
      </c>
      <c r="L15" s="6">
        <f>_xll.ciqfunctions.udf.CIQ($G$1, L$3, D15)</f>
        <v>5.22288</v>
      </c>
      <c r="M15">
        <f>_xll.ciqfunctions.udf.CIQ($G$1, M$3, B15)</f>
        <v>-37.83</v>
      </c>
      <c r="N15">
        <f>_xll.ciqfunctions.udf.CIQ($G$1, N$3, B15)</f>
        <v>620.25800000000004</v>
      </c>
      <c r="R15" s="7">
        <f>_xll.ciqfunctions.udf.CIQ($G$1, R$3, C15)</f>
        <v>0</v>
      </c>
    </row>
    <row r="16" spans="2:18">
      <c r="B16" t="s">
        <v>14</v>
      </c>
      <c r="C16">
        <v>488</v>
      </c>
      <c r="D16" s="1">
        <v>40513</v>
      </c>
      <c r="E16" s="8">
        <f>_xll.ciqfunctions.udf.CIQ($G$1, E$3,C16)</f>
        <v>40876</v>
      </c>
      <c r="F16" s="12">
        <f>_xll.ciqfunctions.udf.CIQ($G$1,$F$3, , E16)</f>
        <v>6.1382000000000003</v>
      </c>
      <c r="G16" s="12">
        <f>_xll.ciqfunctions.udf.CIQ($G$1, G$3, D16)/100</f>
        <v>3.0506000000000002E-2</v>
      </c>
      <c r="H16" s="12">
        <f>_xll.ciqfunctions.udf.CIQ($G$1, H$3, B16)/100</f>
        <v>0</v>
      </c>
      <c r="I16" s="15">
        <f>_xll.ciqfunctions.udf.CIQ($G$1, I$3, B16)</f>
        <v>0</v>
      </c>
      <c r="J16" s="18">
        <f>_xll.ciqfunctions.udf.CIQ($G$1, J$3,  B16)/100</f>
        <v>0.38280099999999995</v>
      </c>
      <c r="K16">
        <f>_xll.ciqfunctions.udf.CIQ($G$1, K$3, D16)</f>
        <v>173</v>
      </c>
      <c r="L16" s="6">
        <f>_xll.ciqfunctions.udf.CIQ($G$1, L$3, D16)</f>
        <v>5.2775999999999996</v>
      </c>
      <c r="M16">
        <f>_xll.ciqfunctions.udf.CIQ($G$1, M$3, B16)</f>
        <v>0</v>
      </c>
      <c r="N16">
        <f>_xll.ciqfunctions.udf.CIQ($G$1, N$3, B16)</f>
        <v>0</v>
      </c>
      <c r="R16" s="7">
        <f>_xll.ciqfunctions.udf.CIQ($G$1, R$3, C16)</f>
        <v>0</v>
      </c>
    </row>
    <row r="17" spans="2:18">
      <c r="B17" t="s">
        <v>15</v>
      </c>
      <c r="C17">
        <v>487</v>
      </c>
      <c r="D17" s="1">
        <v>40422</v>
      </c>
      <c r="E17" s="8">
        <f>_xll.ciqfunctions.udf.CIQ($G$1, E$3,C17)</f>
        <v>40772</v>
      </c>
      <c r="F17" s="12">
        <f>_xll.ciqfunctions.udf.CIQ($G$1,$F$3, , E17)</f>
        <v>6.5264699999999998</v>
      </c>
      <c r="G17" s="12">
        <f>_xll.ciqfunctions.udf.CIQ($G$1, G$3, D17)/100</f>
        <v>2.8380000000000002E-2</v>
      </c>
      <c r="H17" s="12">
        <f>_xll.ciqfunctions.udf.CIQ($G$1, H$3, B17)/100</f>
        <v>5.8335999999999999E-2</v>
      </c>
      <c r="I17" s="15">
        <f>_xll.ciqfunctions.udf.CIQ($G$1, I$3, B17)</f>
        <v>1.7764500000000001</v>
      </c>
      <c r="J17" s="18">
        <f>_xll.ciqfunctions.udf.CIQ($G$1, J$3,  B17)/100</f>
        <v>0.38433100000000003</v>
      </c>
      <c r="K17">
        <f>_xll.ciqfunctions.udf.CIQ($G$1, K$3, D17)</f>
        <v>192</v>
      </c>
      <c r="L17" s="6">
        <f>_xll.ciqfunctions.udf.CIQ($G$1, L$3, D17)</f>
        <v>5.4489599999999996</v>
      </c>
      <c r="M17">
        <f>_xll.ciqfunctions.udf.CIQ($G$1, M$3, B17)</f>
        <v>-37.912999999999997</v>
      </c>
      <c r="N17">
        <f>_xll.ciqfunctions.udf.CIQ($G$1, N$3, B17)</f>
        <v>649.90599999999995</v>
      </c>
      <c r="R17" s="7">
        <f>_xll.ciqfunctions.udf.CIQ($G$1, R$3, C17)</f>
        <v>0</v>
      </c>
    </row>
    <row r="18" spans="2:18">
      <c r="B18" t="s">
        <v>16</v>
      </c>
      <c r="C18">
        <v>486</v>
      </c>
      <c r="D18" s="1">
        <v>40330</v>
      </c>
      <c r="E18" s="8">
        <f>_xll.ciqfunctions.udf.CIQ($G$1, E$3,C18)</f>
        <v>40693</v>
      </c>
      <c r="F18" s="12">
        <f>_xll.ciqfunctions.udf.CIQ($G$1,$F$3, , E18)</f>
        <v>7.1694899999999997</v>
      </c>
      <c r="G18" s="12">
        <f>_xll.ciqfunctions.udf.CIQ($G$1, G$3, D18)/100</f>
        <v>2.9430999999999999E-2</v>
      </c>
      <c r="H18" s="12">
        <f>_xll.ciqfunctions.udf.CIQ($G$1, H$3, B18)/100</f>
        <v>6.8514000000000005E-2</v>
      </c>
      <c r="I18" s="15">
        <f>_xll.ciqfunctions.udf.CIQ($G$1, I$3, B18)</f>
        <v>1.63029</v>
      </c>
      <c r="J18" s="18">
        <f>_xll.ciqfunctions.udf.CIQ($G$1, J$3,  B18)/100</f>
        <v>0.345802</v>
      </c>
      <c r="K18">
        <f>_xll.ciqfunctions.udf.CIQ($G$1, K$3, D18)</f>
        <v>189.2</v>
      </c>
      <c r="L18" s="6">
        <f>_xll.ciqfunctions.udf.CIQ($G$1, L$3, D18)</f>
        <v>5.5684800000000001</v>
      </c>
      <c r="M18">
        <f>_xll.ciqfunctions.udf.CIQ($G$1, M$3, B18)</f>
        <v>-41.332999999999998</v>
      </c>
      <c r="N18">
        <f>_xll.ciqfunctions.udf.CIQ($G$1, N$3, B18)</f>
        <v>603.27700000000004</v>
      </c>
      <c r="R18" s="7">
        <f>_xll.ciqfunctions.udf.CIQ($G$1, R$3, C18)</f>
        <v>0</v>
      </c>
    </row>
    <row r="19" spans="2:18">
      <c r="B19" t="s">
        <v>17</v>
      </c>
      <c r="C19">
        <v>485</v>
      </c>
      <c r="D19" s="1">
        <v>40238</v>
      </c>
      <c r="E19" s="8">
        <f>_xll.ciqfunctions.udf.CIQ($G$1, E$3,C19)</f>
        <v>40617</v>
      </c>
      <c r="F19" s="12">
        <f>_xll.ciqfunctions.udf.CIQ($G$1,$F$3, , E19)</f>
        <v>7.1615099999999998</v>
      </c>
      <c r="G19" s="12">
        <f>_xll.ciqfunctions.udf.CIQ($G$1, G$3, D19)/100</f>
        <v>2.2865000000000003E-2</v>
      </c>
      <c r="H19" s="12">
        <f>_xll.ciqfunctions.udf.CIQ($G$1, H$3, B19)/100</f>
        <v>4.2301000000000005E-2</v>
      </c>
      <c r="I19" s="15">
        <f>_xll.ciqfunctions.udf.CIQ($G$1, I$3, B19)</f>
        <v>1.20021</v>
      </c>
      <c r="J19" s="18">
        <f>_xll.ciqfunctions.udf.CIQ($G$1, J$3,  B19)/100</f>
        <v>0.29605700000000001</v>
      </c>
      <c r="K19">
        <f>_xll.ciqfunctions.udf.CIQ($G$1, K$3, D19)</f>
        <v>239</v>
      </c>
      <c r="L19" s="6">
        <f>_xll.ciqfunctions.udf.CIQ($G$1, L$3, D19)</f>
        <v>5.4648000000000003</v>
      </c>
      <c r="M19">
        <f>_xll.ciqfunctions.udf.CIQ($G$1, M$3, B19)</f>
        <v>-26.151</v>
      </c>
      <c r="N19">
        <f>_xll.ciqfunctions.udf.CIQ($G$1, N$3, B19)</f>
        <v>618.20100000000002</v>
      </c>
      <c r="R19" s="7">
        <f>_xll.ciqfunctions.udf.CIQ($G$1, R$3, C19)</f>
        <v>-1.4690000000000001</v>
      </c>
    </row>
    <row r="20" spans="2:18">
      <c r="B20" t="s">
        <v>18</v>
      </c>
      <c r="C20">
        <v>484</v>
      </c>
      <c r="D20" s="1">
        <v>40148</v>
      </c>
      <c r="E20" s="8">
        <f>_xll.ciqfunctions.udf.CIQ($G$1, E$3,C20)</f>
        <v>40135</v>
      </c>
      <c r="F20" s="12">
        <f>_xll.ciqfunctions.udf.CIQ($G$1,$F$3, , E20)</f>
        <v>6.5747499999999999</v>
      </c>
      <c r="G20" s="12">
        <f>_xll.ciqfunctions.udf.CIQ($G$1, G$3, D20)/100</f>
        <v>2.3008999999999998E-2</v>
      </c>
      <c r="H20" s="12">
        <f>_xll.ciqfunctions.udf.CIQ($G$1, H$3, B20)/100</f>
        <v>4.1749999999999995E-2</v>
      </c>
      <c r="I20" s="15">
        <f>_xll.ciqfunctions.udf.CIQ($G$1, I$3, B20)</f>
        <v>1.10605</v>
      </c>
      <c r="J20" s="18">
        <f>_xll.ciqfunctions.udf.CIQ($G$1, J$3,  B20)/100</f>
        <v>0.31373899999999999</v>
      </c>
      <c r="K20">
        <f>_xll.ciqfunctions.udf.CIQ($G$1, K$3, D20)</f>
        <v>236</v>
      </c>
      <c r="L20" s="6">
        <f>_xll.ciqfunctions.udf.CIQ($G$1, L$3, D20)</f>
        <v>5.4302400000000004</v>
      </c>
      <c r="M20">
        <f>_xll.ciqfunctions.udf.CIQ($G$1, M$3, B20)</f>
        <v>-29.838999999999999</v>
      </c>
      <c r="N20">
        <f>_xll.ciqfunctions.udf.CIQ($G$1, N$3, B20)</f>
        <v>714.69600000000003</v>
      </c>
      <c r="R20" s="7">
        <f>_xll.ciqfunctions.udf.CIQ($G$1, R$3, C20)</f>
        <v>0</v>
      </c>
    </row>
    <row r="21" spans="2:18">
      <c r="B21" t="s">
        <v>19</v>
      </c>
      <c r="C21">
        <v>483</v>
      </c>
      <c r="D21" s="1">
        <v>40057</v>
      </c>
      <c r="E21" s="8">
        <f>_xll.ciqfunctions.udf.CIQ($G$1, E$3,C21)</f>
        <v>40409</v>
      </c>
      <c r="F21" s="12">
        <f>_xll.ciqfunctions.udf.CIQ($G$1,$F$3, , E21)</f>
        <v>6.48353</v>
      </c>
      <c r="G21" s="12">
        <f>_xll.ciqfunctions.udf.CIQ($G$1, G$3, D21)/100</f>
        <v>2.1949E-2</v>
      </c>
      <c r="H21" s="12">
        <f>_xll.ciqfunctions.udf.CIQ($G$1, H$3, B21)/100</f>
        <v>4.2304000000000001E-2</v>
      </c>
      <c r="I21" s="15">
        <f>_xll.ciqfunctions.udf.CIQ($G$1, I$3, B21)</f>
        <v>1.1238999999999999</v>
      </c>
      <c r="J21" s="18">
        <f>_xll.ciqfunctions.udf.CIQ($G$1, J$3,  B21)/100</f>
        <v>0.34715000000000001</v>
      </c>
      <c r="K21">
        <f>_xll.ciqfunctions.udf.CIQ($G$1, K$3, D21)</f>
        <v>249.5</v>
      </c>
      <c r="L21" s="6">
        <f>_xll.ciqfunctions.udf.CIQ($G$1, L$3, D21)</f>
        <v>5.4763200000000003</v>
      </c>
      <c r="M21">
        <f>_xll.ciqfunctions.udf.CIQ($G$1, M$3, B21)</f>
        <v>-30.989000000000001</v>
      </c>
      <c r="N21">
        <f>_xll.ciqfunctions.udf.CIQ($G$1, N$3, B21)</f>
        <v>732.52</v>
      </c>
      <c r="R21" s="7">
        <f>_xll.ciqfunctions.udf.CIQ($G$1, R$3, C21)</f>
        <v>0</v>
      </c>
    </row>
    <row r="22" spans="2:18">
      <c r="B22" t="s">
        <v>20</v>
      </c>
      <c r="C22">
        <v>482</v>
      </c>
      <c r="D22" s="1">
        <v>39965</v>
      </c>
      <c r="E22" s="8">
        <f>_xll.ciqfunctions.udf.CIQ($G$1, E$3,C22)</f>
        <v>39953</v>
      </c>
      <c r="F22" s="12">
        <f>_xll.ciqfunctions.udf.CIQ($G$1,$F$3, , E22)</f>
        <v>6.0033200000000004</v>
      </c>
      <c r="G22" s="12">
        <f>_xll.ciqfunctions.udf.CIQ($G$1, G$3, D22)/100</f>
        <v>1.9674000000000001E-2</v>
      </c>
      <c r="H22" s="12">
        <f>_xll.ciqfunctions.udf.CIQ($G$1, H$3, B22)/100</f>
        <v>6.4624000000000001E-2</v>
      </c>
      <c r="I22" s="15">
        <f>_xll.ciqfunctions.udf.CIQ($G$1, I$3, B22)</f>
        <v>1.13717</v>
      </c>
      <c r="J22" s="18">
        <f>_xll.ciqfunctions.udf.CIQ($G$1, J$3,  B22)/100</f>
        <v>0.36311300000000002</v>
      </c>
      <c r="K22">
        <f>_xll.ciqfunctions.udf.CIQ($G$1, K$3, D22)</f>
        <v>236.9</v>
      </c>
      <c r="L22" s="6">
        <f>_xll.ciqfunctions.udf.CIQ($G$1, L$3, D22)</f>
        <v>4.6608000000000001</v>
      </c>
      <c r="M22">
        <f>_xll.ciqfunctions.udf.CIQ($G$1, M$3, B22)</f>
        <v>-47.064999999999998</v>
      </c>
      <c r="N22">
        <f>_xll.ciqfunctions.udf.CIQ($G$1, N$3, B22)</f>
        <v>728.28899999999999</v>
      </c>
      <c r="R22" s="7">
        <f>_xll.ciqfunctions.udf.CIQ($G$1, R$3, C22)</f>
        <v>0</v>
      </c>
    </row>
    <row r="23" spans="2:18">
      <c r="B23" t="s">
        <v>21</v>
      </c>
      <c r="C23">
        <v>481</v>
      </c>
      <c r="D23" s="1">
        <v>39873</v>
      </c>
      <c r="E23" s="8">
        <f>_xll.ciqfunctions.udf.CIQ($G$1, E$3,C23)</f>
        <v>40247</v>
      </c>
      <c r="F23" s="12">
        <f>_xll.ciqfunctions.udf.CIQ($G$1,$F$3, , E23)</f>
        <v>6.6739300000000004</v>
      </c>
      <c r="G23" s="12">
        <f>_xll.ciqfunctions.udf.CIQ($G$1, G$3, D23)/100</f>
        <v>1.9914000000000001E-2</v>
      </c>
      <c r="H23" s="12">
        <f>_xll.ciqfunctions.udf.CIQ($G$1, H$3, B23)/100</f>
        <v>0</v>
      </c>
      <c r="I23" s="15">
        <f>_xll.ciqfunctions.udf.CIQ($G$1, I$3, B23)</f>
        <v>0.72611000000000003</v>
      </c>
      <c r="J23" s="18">
        <f>_xll.ciqfunctions.udf.CIQ($G$1, J$3,  B23)/100</f>
        <v>0.27406400000000003</v>
      </c>
      <c r="K23">
        <f>_xll.ciqfunctions.udf.CIQ($G$1, K$3, D23)</f>
        <v>184.2</v>
      </c>
      <c r="L23" s="6">
        <f>_xll.ciqfunctions.udf.CIQ($G$1, L$3, D23)</f>
        <v>3.6681900000000001</v>
      </c>
      <c r="M23">
        <f>_xll.ciqfunctions.udf.CIQ($G$1, M$3, B23)</f>
        <v>0</v>
      </c>
      <c r="N23">
        <f>_xll.ciqfunctions.udf.CIQ($G$1, N$3, B23)</f>
        <v>656.93200000000002</v>
      </c>
      <c r="R23" s="7">
        <f>_xll.ciqfunctions.udf.CIQ($G$1, R$3, C23)</f>
        <v>-0.05</v>
      </c>
    </row>
    <row r="24" spans="2:18">
      <c r="B24" t="s">
        <v>22</v>
      </c>
      <c r="C24">
        <v>480</v>
      </c>
      <c r="D24" s="1">
        <v>39783</v>
      </c>
      <c r="E24" s="8">
        <f>_xll.ciqfunctions.udf.CIQ($G$1, E$3,C24)</f>
        <v>39783</v>
      </c>
      <c r="F24" s="12">
        <f>_xll.ciqfunctions.udf.CIQ($G$1,$F$3, , E24)</f>
        <v>5.3756199999999996</v>
      </c>
      <c r="G24" s="12">
        <f>_xll.ciqfunctions.udf.CIQ($G$1, G$3, D24)/100</f>
        <v>2.4034E-2</v>
      </c>
      <c r="H24" s="12">
        <f>_xll.ciqfunctions.udf.CIQ($G$1, H$3, B24)/100</f>
        <v>3.7041999999999999E-2</v>
      </c>
      <c r="I24" s="15">
        <f>_xll.ciqfunctions.udf.CIQ($G$1, I$3, B24)</f>
        <v>0.68974999999999997</v>
      </c>
      <c r="J24" s="18">
        <f>_xll.ciqfunctions.udf.CIQ($G$1, J$3,  B24)/100</f>
        <v>0.26271499999999998</v>
      </c>
      <c r="K24">
        <f>_xll.ciqfunctions.udf.CIQ($G$1, K$3, D24)</f>
        <v>146.5</v>
      </c>
      <c r="L24" s="6">
        <f>_xll.ciqfunctions.udf.CIQ($G$1, L$3, D24)</f>
        <v>3.5210599999999999</v>
      </c>
      <c r="M24">
        <f>_xll.ciqfunctions.udf.CIQ($G$1, M$3, B24)</f>
        <v>-25.85</v>
      </c>
      <c r="N24">
        <f>_xll.ciqfunctions.udf.CIQ($G$1, N$3, B24)</f>
        <v>697.85400000000004</v>
      </c>
      <c r="R24" s="7">
        <f>_xll.ciqfunctions.udf.CIQ($G$1, R$3, C24)</f>
        <v>0</v>
      </c>
    </row>
    <row r="26" spans="2:18">
      <c r="B26" s="9"/>
      <c r="C26" s="2"/>
      <c r="D26" s="9"/>
      <c r="F26" s="12"/>
      <c r="G26" s="14"/>
      <c r="H26" s="14"/>
      <c r="I26" s="14"/>
      <c r="J26" s="14"/>
    </row>
    <row r="27" spans="2:18">
      <c r="B27" t="s">
        <v>2</v>
      </c>
      <c r="C27">
        <v>500</v>
      </c>
      <c r="D27" s="1">
        <v>41305</v>
      </c>
      <c r="E27" s="8">
        <f>_xll.ciqfunctions.udf.CIQ($G$1, E$3,C27)</f>
        <v>41592</v>
      </c>
      <c r="F27" s="12" t="str">
        <f>_xll.ciqfunctions.udf.CIQ($H$1,$F$3, , E27)</f>
        <v>(Invalid Identifier)</v>
      </c>
      <c r="G27" s="12" t="e">
        <f>_xll.ciqfunctions.udf.CIQ($H$1, G$3, D27)/100</f>
        <v>#VALUE!</v>
      </c>
      <c r="H27" s="12" t="e">
        <f>_xll.ciqfunctions.udf.CIQ($H$1, H$3, B27)/100</f>
        <v>#VALUE!</v>
      </c>
      <c r="I27" s="15" t="str">
        <f>_xll.ciqfunctions.udf.CIQ($H$1, I$3, B27)</f>
        <v>(Invalid Identifier)</v>
      </c>
      <c r="J27" s="18" t="e">
        <f>_xll.ciqfunctions.udf.CIQ($H$1, J$3,  B27)/100</f>
        <v>#VALUE!</v>
      </c>
    </row>
    <row r="28" spans="2:18">
      <c r="B28" t="s">
        <v>3</v>
      </c>
      <c r="C28">
        <v>499</v>
      </c>
      <c r="D28" s="3">
        <v>41546</v>
      </c>
      <c r="E28" s="8">
        <f>_xll.ciqfunctions.udf.CIQ($G$1, E$3,C28)</f>
        <v>41499</v>
      </c>
      <c r="F28" s="12" t="str">
        <f>_xll.ciqfunctions.udf.CIQ($H$1,$F$3, , E28)</f>
        <v>(Invalid Identifier)</v>
      </c>
      <c r="G28" s="12" t="e">
        <f>_xll.ciqfunctions.udf.CIQ($H$1, G$3, D28)/100</f>
        <v>#VALUE!</v>
      </c>
      <c r="H28" s="12" t="e">
        <f>_xll.ciqfunctions.udf.CIQ($H$1, H$3, B28)/100</f>
        <v>#VALUE!</v>
      </c>
      <c r="I28" s="15" t="str">
        <f>_xll.ciqfunctions.udf.CIQ($H$1, I$3, B28)</f>
        <v>(Invalid Identifier)</v>
      </c>
      <c r="J28" s="18" t="e">
        <f>_xll.ciqfunctions.udf.CIQ($H$1, J$3,  B28)/100</f>
        <v>#VALUE!</v>
      </c>
    </row>
    <row r="29" spans="2:18">
      <c r="B29" t="s">
        <v>4</v>
      </c>
      <c r="C29">
        <v>498</v>
      </c>
      <c r="D29" s="3">
        <v>41426</v>
      </c>
      <c r="E29" s="8">
        <f>_xll.ciqfunctions.udf.CIQ($G$1, E$3,C29)</f>
        <v>41402</v>
      </c>
      <c r="F29" s="12" t="str">
        <f>_xll.ciqfunctions.udf.CIQ($H$1,$F$3, , E29)</f>
        <v>(Invalid Identifier)</v>
      </c>
      <c r="G29" s="12" t="e">
        <f>_xll.ciqfunctions.udf.CIQ($H$1, G$3, D29)/100</f>
        <v>#VALUE!</v>
      </c>
      <c r="H29" s="12" t="e">
        <f>_xll.ciqfunctions.udf.CIQ($H$1, H$3, B29)/100</f>
        <v>#VALUE!</v>
      </c>
      <c r="I29" s="15" t="str">
        <f>_xll.ciqfunctions.udf.CIQ($H$1, I$3, B29)</f>
        <v>(Invalid Identifier)</v>
      </c>
      <c r="J29" s="18" t="e">
        <f>_xll.ciqfunctions.udf.CIQ($H$1, J$3,  B29)/100</f>
        <v>#VALUE!</v>
      </c>
    </row>
    <row r="30" spans="2:18">
      <c r="B30" t="s">
        <v>5</v>
      </c>
      <c r="C30">
        <v>497</v>
      </c>
      <c r="D30" s="4">
        <v>41346</v>
      </c>
      <c r="E30" s="8">
        <f>_xll.ciqfunctions.udf.CIQ($G$1, E$3,C30)</f>
        <v>41346</v>
      </c>
      <c r="F30" s="12" t="str">
        <f>_xll.ciqfunctions.udf.CIQ($H$1,$F$3, , E30)</f>
        <v>(Invalid Identifier)</v>
      </c>
      <c r="G30" s="12" t="e">
        <f>_xll.ciqfunctions.udf.CIQ($H$1, G$3, D30)/100</f>
        <v>#VALUE!</v>
      </c>
      <c r="H30" s="12" t="e">
        <f>_xll.ciqfunctions.udf.CIQ($H$1, H$3, B30)/100</f>
        <v>#VALUE!</v>
      </c>
      <c r="I30" s="15" t="str">
        <f>_xll.ciqfunctions.udf.CIQ($H$1, I$3, B30)</f>
        <v>(Invalid Identifier)</v>
      </c>
      <c r="J30" s="18" t="e">
        <f>_xll.ciqfunctions.udf.CIQ($H$1, J$3,  B30)/100</f>
        <v>#VALUE!</v>
      </c>
    </row>
    <row r="31" spans="2:18">
      <c r="B31" t="s">
        <v>6</v>
      </c>
      <c r="C31">
        <v>496</v>
      </c>
      <c r="D31" s="4">
        <v>41620</v>
      </c>
      <c r="E31" s="8">
        <f>_xll.ciqfunctions.udf.CIQ($G$1, E$3,C31)</f>
        <v>41242</v>
      </c>
      <c r="F31" s="12" t="str">
        <f>_xll.ciqfunctions.udf.CIQ($H$1,$F$3, , E31)</f>
        <v>(Invalid Identifier)</v>
      </c>
      <c r="G31" s="12" t="e">
        <f>_xll.ciqfunctions.udf.CIQ($H$1, G$3, D31)/100</f>
        <v>#VALUE!</v>
      </c>
      <c r="H31" s="12" t="e">
        <f>_xll.ciqfunctions.udf.CIQ($H$1, H$3, B31)/100</f>
        <v>#VALUE!</v>
      </c>
      <c r="I31" s="15" t="str">
        <f>_xll.ciqfunctions.udf.CIQ($H$1, I$3, B31)</f>
        <v>(Invalid Identifier)</v>
      </c>
      <c r="J31" s="18" t="e">
        <f>_xll.ciqfunctions.udf.CIQ($H$1, J$3,  B31)/100</f>
        <v>#VALUE!</v>
      </c>
    </row>
    <row r="32" spans="2:18">
      <c r="B32" t="s">
        <v>7</v>
      </c>
      <c r="C32">
        <v>495</v>
      </c>
      <c r="D32" s="4">
        <v>41529</v>
      </c>
      <c r="E32" s="8">
        <f>_xll.ciqfunctions.udf.CIQ($G$1, E$3,C32)</f>
        <v>41150</v>
      </c>
      <c r="F32" s="12" t="str">
        <f>_xll.ciqfunctions.udf.CIQ($H$1,$F$3, , E32)</f>
        <v>(Invalid Identifier)</v>
      </c>
      <c r="G32" s="12" t="e">
        <f>_xll.ciqfunctions.udf.CIQ($H$1, G$3, D32)/100</f>
        <v>#VALUE!</v>
      </c>
      <c r="H32" s="12" t="e">
        <f>_xll.ciqfunctions.udf.CIQ($H$1, H$3, B32)/100</f>
        <v>#VALUE!</v>
      </c>
      <c r="I32" s="15" t="str">
        <f>_xll.ciqfunctions.udf.CIQ($H$1, I$3, B32)</f>
        <v>(Invalid Identifier)</v>
      </c>
      <c r="J32" s="18" t="e">
        <f>_xll.ciqfunctions.udf.CIQ($H$1, J$3,  B32)/100</f>
        <v>#VALUE!</v>
      </c>
    </row>
    <row r="33" spans="2:18">
      <c r="B33" t="s">
        <v>8</v>
      </c>
      <c r="C33">
        <v>494</v>
      </c>
      <c r="D33" s="4">
        <v>41437</v>
      </c>
      <c r="E33" s="8">
        <f>_xll.ciqfunctions.udf.CIQ($G$1, E$3,C33)</f>
        <v>41059</v>
      </c>
      <c r="F33" s="12" t="str">
        <f>_xll.ciqfunctions.udf.CIQ($H$1,$F$3, , E33)</f>
        <v>(Invalid Identifier)</v>
      </c>
      <c r="G33" s="12" t="e">
        <f>_xll.ciqfunctions.udf.CIQ($H$1, G$3, D33)/100</f>
        <v>#VALUE!</v>
      </c>
      <c r="H33" s="12" t="e">
        <f>_xll.ciqfunctions.udf.CIQ($H$1, H$3, B33)/100</f>
        <v>#VALUE!</v>
      </c>
      <c r="I33" s="15" t="str">
        <f>_xll.ciqfunctions.udf.CIQ($H$1, I$3, B33)</f>
        <v>(Invalid Identifier)</v>
      </c>
      <c r="J33" s="18" t="e">
        <f>_xll.ciqfunctions.udf.CIQ($H$1, J$3,  B33)/100</f>
        <v>#VALUE!</v>
      </c>
    </row>
    <row r="34" spans="2:18">
      <c r="B34" t="s">
        <v>9</v>
      </c>
      <c r="C34">
        <v>493</v>
      </c>
      <c r="D34" s="1">
        <v>40969</v>
      </c>
      <c r="E34" s="8">
        <f>_xll.ciqfunctions.udf.CIQ($G$1, E$3,C34)</f>
        <v>41346</v>
      </c>
      <c r="F34" s="12" t="str">
        <f>_xll.ciqfunctions.udf.CIQ($H$1,$F$3, , E34)</f>
        <v>(Invalid Identifier)</v>
      </c>
      <c r="G34" s="12" t="e">
        <f>_xll.ciqfunctions.udf.CIQ($H$1, G$3, D34)/100</f>
        <v>#VALUE!</v>
      </c>
      <c r="H34" s="12" t="e">
        <f>_xll.ciqfunctions.udf.CIQ($H$1, H$3, B34)/100</f>
        <v>#VALUE!</v>
      </c>
      <c r="I34" s="15" t="str">
        <f>_xll.ciqfunctions.udf.CIQ($H$1, I$3, B34)</f>
        <v>(Invalid Identifier)</v>
      </c>
      <c r="J34" s="18" t="e">
        <f>_xll.ciqfunctions.udf.CIQ($H$1, J$3,  B34)/100</f>
        <v>#VALUE!</v>
      </c>
    </row>
    <row r="35" spans="2:18">
      <c r="B35" t="s">
        <v>10</v>
      </c>
      <c r="C35">
        <v>492</v>
      </c>
      <c r="D35" s="1">
        <v>40878</v>
      </c>
      <c r="E35" s="8">
        <f>_xll.ciqfunctions.udf.CIQ($G$1, E$3,C35)</f>
        <v>41242</v>
      </c>
      <c r="F35" s="12" t="str">
        <f>_xll.ciqfunctions.udf.CIQ($H$1,$F$3, , E35)</f>
        <v>(Invalid Identifier)</v>
      </c>
      <c r="G35" s="12" t="e">
        <f>_xll.ciqfunctions.udf.CIQ($H$1, G$3, D35)/100</f>
        <v>#VALUE!</v>
      </c>
      <c r="H35" s="12" t="e">
        <f>_xll.ciqfunctions.udf.CIQ($H$1, H$3, B35)/100</f>
        <v>#VALUE!</v>
      </c>
      <c r="I35" s="15" t="str">
        <f>_xll.ciqfunctions.udf.CIQ($H$1, I$3, B35)</f>
        <v>(Invalid Identifier)</v>
      </c>
      <c r="J35" s="18" t="e">
        <f>_xll.ciqfunctions.udf.CIQ($H$1, J$3,  B35)/100</f>
        <v>#VALUE!</v>
      </c>
    </row>
    <row r="36" spans="2:18">
      <c r="B36" t="s">
        <v>11</v>
      </c>
      <c r="C36">
        <v>491</v>
      </c>
      <c r="D36" s="1">
        <v>40787</v>
      </c>
      <c r="E36" s="8">
        <f>_xll.ciqfunctions.udf.CIQ($G$1, E$3,C36)</f>
        <v>41150</v>
      </c>
      <c r="F36" s="12" t="str">
        <f>_xll.ciqfunctions.udf.CIQ($H$1,$F$3, , E36)</f>
        <v>(Invalid Identifier)</v>
      </c>
      <c r="G36" s="12" t="e">
        <f>_xll.ciqfunctions.udf.CIQ($H$1, G$3, D36)/100</f>
        <v>#VALUE!</v>
      </c>
      <c r="H36" s="12" t="e">
        <f>_xll.ciqfunctions.udf.CIQ($H$1, H$3, B36)/100</f>
        <v>#VALUE!</v>
      </c>
      <c r="I36" s="15" t="str">
        <f>_xll.ciqfunctions.udf.CIQ($H$1, I$3, B36)</f>
        <v>(Invalid Identifier)</v>
      </c>
      <c r="J36" s="18" t="e">
        <f>_xll.ciqfunctions.udf.CIQ($H$1, J$3,  B36)/100</f>
        <v>#VALUE!</v>
      </c>
    </row>
    <row r="37" spans="2:18">
      <c r="B37" t="s">
        <v>12</v>
      </c>
      <c r="C37">
        <v>490</v>
      </c>
      <c r="D37" s="1">
        <v>40695</v>
      </c>
      <c r="E37" s="8">
        <f>_xll.ciqfunctions.udf.CIQ($G$1, E$3,C37)</f>
        <v>41059</v>
      </c>
      <c r="F37" s="12" t="str">
        <f>_xll.ciqfunctions.udf.CIQ($H$1,$F$3, , E37)</f>
        <v>(Invalid Identifier)</v>
      </c>
      <c r="G37" s="12" t="e">
        <f>_xll.ciqfunctions.udf.CIQ($H$1, G$3, D37)/100</f>
        <v>#VALUE!</v>
      </c>
      <c r="H37" s="12" t="e">
        <f>_xll.ciqfunctions.udf.CIQ($H$1, H$3, B37)/100</f>
        <v>#VALUE!</v>
      </c>
      <c r="I37" s="15" t="str">
        <f>_xll.ciqfunctions.udf.CIQ($H$1, I$3, B37)</f>
        <v>(Invalid Identifier)</v>
      </c>
      <c r="J37" s="18" t="e">
        <f>_xll.ciqfunctions.udf.CIQ($H$1, J$3,  B37)/100</f>
        <v>#VALUE!</v>
      </c>
    </row>
    <row r="38" spans="2:18">
      <c r="B38" t="s">
        <v>13</v>
      </c>
      <c r="C38">
        <v>489</v>
      </c>
      <c r="D38" s="1">
        <v>40603</v>
      </c>
      <c r="E38" s="8">
        <f>_xll.ciqfunctions.udf.CIQ($G$1, E$3,C38)</f>
        <v>40982</v>
      </c>
      <c r="F38" s="12" t="str">
        <f>_xll.ciqfunctions.udf.CIQ($H$1,$F$3, , E38)</f>
        <v>(Invalid Identifier)</v>
      </c>
      <c r="G38" s="12" t="e">
        <f>_xll.ciqfunctions.udf.CIQ($H$1, G$3, D38)/100</f>
        <v>#VALUE!</v>
      </c>
      <c r="H38" s="12" t="e">
        <f>_xll.ciqfunctions.udf.CIQ($H$1, H$3, B38)/100</f>
        <v>#VALUE!</v>
      </c>
      <c r="I38" s="15" t="str">
        <f>_xll.ciqfunctions.udf.CIQ($H$1, I$3, B38)</f>
        <v>(Invalid Identifier)</v>
      </c>
      <c r="J38" s="18" t="e">
        <f>_xll.ciqfunctions.udf.CIQ($H$1, J$3,  B38)/100</f>
        <v>#VALUE!</v>
      </c>
    </row>
    <row r="39" spans="2:18">
      <c r="B39" t="s">
        <v>14</v>
      </c>
      <c r="C39">
        <v>488</v>
      </c>
      <c r="D39" s="1">
        <v>40513</v>
      </c>
      <c r="E39" s="8">
        <f>_xll.ciqfunctions.udf.CIQ($G$1, E$3,C39)</f>
        <v>40876</v>
      </c>
      <c r="F39" s="12" t="str">
        <f>_xll.ciqfunctions.udf.CIQ($H$1,$F$3, , E39)</f>
        <v>(Invalid Identifier)</v>
      </c>
      <c r="G39" s="12" t="e">
        <f>_xll.ciqfunctions.udf.CIQ($H$1, G$3, D39)/100</f>
        <v>#VALUE!</v>
      </c>
      <c r="H39" s="12" t="e">
        <f>_xll.ciqfunctions.udf.CIQ($H$1, H$3, B39)/100</f>
        <v>#VALUE!</v>
      </c>
      <c r="I39" s="15" t="str">
        <f>_xll.ciqfunctions.udf.CIQ($H$1, I$3, B39)</f>
        <v>(Invalid Identifier)</v>
      </c>
      <c r="J39" s="18" t="e">
        <f>_xll.ciqfunctions.udf.CIQ($H$1, J$3,  B39)/100</f>
        <v>#VALUE!</v>
      </c>
    </row>
    <row r="40" spans="2:18">
      <c r="B40" t="s">
        <v>15</v>
      </c>
      <c r="C40">
        <v>487</v>
      </c>
      <c r="D40" s="1">
        <v>40422</v>
      </c>
      <c r="E40" s="8">
        <f>_xll.ciqfunctions.udf.CIQ($G$1, E$3,C40)</f>
        <v>40772</v>
      </c>
      <c r="F40" s="12" t="str">
        <f>_xll.ciqfunctions.udf.CIQ($H$1,$F$3, , E40)</f>
        <v>(Invalid Identifier)</v>
      </c>
      <c r="G40" s="12" t="e">
        <f>_xll.ciqfunctions.udf.CIQ($H$1, G$3, D40)/100</f>
        <v>#VALUE!</v>
      </c>
      <c r="H40" s="12" t="e">
        <f>_xll.ciqfunctions.udf.CIQ($H$1, H$3, B40)/100</f>
        <v>#VALUE!</v>
      </c>
      <c r="I40" s="15" t="str">
        <f>_xll.ciqfunctions.udf.CIQ($H$1, I$3, B40)</f>
        <v>(Invalid Identifier)</v>
      </c>
      <c r="J40" s="18" t="e">
        <f>_xll.ciqfunctions.udf.CIQ($H$1, J$3,  B40)/100</f>
        <v>#VALUE!</v>
      </c>
    </row>
    <row r="41" spans="2:18">
      <c r="B41" t="s">
        <v>16</v>
      </c>
      <c r="C41">
        <v>486</v>
      </c>
      <c r="D41" s="1">
        <v>40330</v>
      </c>
      <c r="E41" s="8">
        <f>_xll.ciqfunctions.udf.CIQ($G$1, E$3,C41)</f>
        <v>40693</v>
      </c>
      <c r="F41" s="12" t="str">
        <f>_xll.ciqfunctions.udf.CIQ($H$1,$F$3, , E41)</f>
        <v>(Invalid Identifier)</v>
      </c>
      <c r="G41" s="12" t="e">
        <f>_xll.ciqfunctions.udf.CIQ($H$1, G$3, D41)/100</f>
        <v>#VALUE!</v>
      </c>
      <c r="H41" s="12" t="e">
        <f>_xll.ciqfunctions.udf.CIQ($H$1, H$3, B41)/100</f>
        <v>#VALUE!</v>
      </c>
      <c r="I41" s="15" t="str">
        <f>_xll.ciqfunctions.udf.CIQ($H$1, I$3, B41)</f>
        <v>(Invalid Identifier)</v>
      </c>
      <c r="J41" s="18" t="e">
        <f>_xll.ciqfunctions.udf.CIQ($H$1, J$3,  B41)/100</f>
        <v>#VALUE!</v>
      </c>
    </row>
    <row r="42" spans="2:18">
      <c r="B42" t="s">
        <v>17</v>
      </c>
      <c r="C42">
        <v>485</v>
      </c>
      <c r="D42" s="1">
        <v>40238</v>
      </c>
      <c r="E42" s="8">
        <f>_xll.ciqfunctions.udf.CIQ($G$1, E$3,C42)</f>
        <v>40617</v>
      </c>
      <c r="F42" s="12" t="str">
        <f>_xll.ciqfunctions.udf.CIQ($H$1,$F$3, , E42)</f>
        <v>(Invalid Identifier)</v>
      </c>
      <c r="G42" s="12" t="e">
        <f>_xll.ciqfunctions.udf.CIQ($H$1, G$3, D42)/100</f>
        <v>#VALUE!</v>
      </c>
      <c r="H42" s="12" t="e">
        <f>_xll.ciqfunctions.udf.CIQ($H$1, H$3, B42)/100</f>
        <v>#VALUE!</v>
      </c>
      <c r="I42" s="15" t="str">
        <f>_xll.ciqfunctions.udf.CIQ($H$1, I$3, B42)</f>
        <v>(Invalid Identifier)</v>
      </c>
      <c r="J42" s="18" t="e">
        <f>_xll.ciqfunctions.udf.CIQ($H$1, J$3,  B42)/100</f>
        <v>#VALUE!</v>
      </c>
    </row>
    <row r="43" spans="2:18">
      <c r="B43" t="s">
        <v>18</v>
      </c>
      <c r="C43">
        <v>484</v>
      </c>
      <c r="D43" s="1">
        <v>40148</v>
      </c>
      <c r="E43" s="8">
        <f>_xll.ciqfunctions.udf.CIQ($G$1, E$3,C43)</f>
        <v>40135</v>
      </c>
      <c r="F43" s="12" t="str">
        <f>_xll.ciqfunctions.udf.CIQ($H$1,$F$3, , E43)</f>
        <v>(Invalid Identifier)</v>
      </c>
      <c r="G43" s="12" t="e">
        <f>_xll.ciqfunctions.udf.CIQ($H$1, G$3, D43)/100</f>
        <v>#VALUE!</v>
      </c>
      <c r="H43" s="12" t="e">
        <f>_xll.ciqfunctions.udf.CIQ($H$1, H$3, B43)/100</f>
        <v>#VALUE!</v>
      </c>
      <c r="I43" s="15" t="str">
        <f>_xll.ciqfunctions.udf.CIQ($H$1, I$3, B43)</f>
        <v>(Invalid Identifier)</v>
      </c>
      <c r="J43" s="18" t="e">
        <f>_xll.ciqfunctions.udf.CIQ($H$1, J$3,  B43)/100</f>
        <v>#VALUE!</v>
      </c>
    </row>
    <row r="44" spans="2:18">
      <c r="B44" t="s">
        <v>19</v>
      </c>
      <c r="C44">
        <v>483</v>
      </c>
      <c r="D44" s="1">
        <v>40057</v>
      </c>
      <c r="E44" s="8">
        <f>_xll.ciqfunctions.udf.CIQ($G$1, E$3,C44)</f>
        <v>40409</v>
      </c>
      <c r="F44" s="12" t="str">
        <f>_xll.ciqfunctions.udf.CIQ($H$1,$F$3, , E44)</f>
        <v>(Invalid Identifier)</v>
      </c>
      <c r="G44" s="12" t="e">
        <f>_xll.ciqfunctions.udf.CIQ($H$1, G$3, D44)/100</f>
        <v>#VALUE!</v>
      </c>
      <c r="H44" s="12" t="e">
        <f>_xll.ciqfunctions.udf.CIQ($H$1, H$3, B44)/100</f>
        <v>#VALUE!</v>
      </c>
      <c r="I44" s="15" t="str">
        <f>_xll.ciqfunctions.udf.CIQ($H$1, I$3, B44)</f>
        <v>(Invalid Identifier)</v>
      </c>
      <c r="J44" s="18" t="e">
        <f>_xll.ciqfunctions.udf.CIQ($H$1, J$3,  B44)/100</f>
        <v>#VALUE!</v>
      </c>
      <c r="R44" s="10"/>
    </row>
    <row r="45" spans="2:18">
      <c r="B45" t="s">
        <v>20</v>
      </c>
      <c r="C45">
        <v>482</v>
      </c>
      <c r="D45" s="1">
        <v>39965</v>
      </c>
      <c r="E45" s="8">
        <f>_xll.ciqfunctions.udf.CIQ($G$1, E$3,C45)</f>
        <v>39953</v>
      </c>
      <c r="F45" s="12" t="str">
        <f>_xll.ciqfunctions.udf.CIQ($H$1,$F$3, , E45)</f>
        <v>(Invalid Identifier)</v>
      </c>
      <c r="G45" s="12" t="e">
        <f>_xll.ciqfunctions.udf.CIQ($H$1, G$3, D45)/100</f>
        <v>#VALUE!</v>
      </c>
      <c r="H45" s="12" t="e">
        <f>_xll.ciqfunctions.udf.CIQ($H$1, H$3, B45)/100</f>
        <v>#VALUE!</v>
      </c>
      <c r="I45" s="15" t="str">
        <f>_xll.ciqfunctions.udf.CIQ($H$1, I$3, B45)</f>
        <v>(Invalid Identifier)</v>
      </c>
      <c r="J45" s="18" t="e">
        <f>_xll.ciqfunctions.udf.CIQ($H$1, J$3,  B45)/100</f>
        <v>#VALUE!</v>
      </c>
    </row>
    <row r="46" spans="2:18">
      <c r="B46" t="s">
        <v>21</v>
      </c>
      <c r="C46">
        <v>481</v>
      </c>
      <c r="D46" s="1">
        <v>39873</v>
      </c>
      <c r="E46" s="8">
        <f>_xll.ciqfunctions.udf.CIQ($G$1, E$3,C46)</f>
        <v>40247</v>
      </c>
      <c r="F46" s="12" t="str">
        <f>_xll.ciqfunctions.udf.CIQ($H$1,$F$3, , E46)</f>
        <v>(Invalid Identifier)</v>
      </c>
      <c r="G46" s="12" t="e">
        <f>_xll.ciqfunctions.udf.CIQ($H$1, G$3, D46)/100</f>
        <v>#VALUE!</v>
      </c>
      <c r="H46" s="12" t="e">
        <f>_xll.ciqfunctions.udf.CIQ($H$1, H$3, B46)/100</f>
        <v>#VALUE!</v>
      </c>
      <c r="I46" s="15" t="str">
        <f>_xll.ciqfunctions.udf.CIQ($H$1, I$3, B46)</f>
        <v>(Invalid Identifier)</v>
      </c>
      <c r="J46" s="18" t="e">
        <f>_xll.ciqfunctions.udf.CIQ($H$1, J$3,  B46)/100</f>
        <v>#VALUE!</v>
      </c>
    </row>
    <row r="47" spans="2:18">
      <c r="B47" t="s">
        <v>22</v>
      </c>
      <c r="C47">
        <v>480</v>
      </c>
      <c r="D47" s="1">
        <v>39783</v>
      </c>
      <c r="E47" s="8">
        <f>_xll.ciqfunctions.udf.CIQ($G$1, E$3,C47)</f>
        <v>39783</v>
      </c>
      <c r="F47" s="12" t="str">
        <f>_xll.ciqfunctions.udf.CIQ($H$1,$F$3, , E47)</f>
        <v>(Invalid Identifier)</v>
      </c>
      <c r="G47" s="12" t="e">
        <f>_xll.ciqfunctions.udf.CIQ($H$1, G$3, D47)/100</f>
        <v>#VALUE!</v>
      </c>
      <c r="H47" s="12" t="e">
        <f>_xll.ciqfunctions.udf.CIQ($H$1, H$3, B47)/100</f>
        <v>#VALUE!</v>
      </c>
      <c r="I47" s="15" t="str">
        <f>_xll.ciqfunctions.udf.CIQ($H$1, I$3, B47)</f>
        <v>(Invalid Identifier)</v>
      </c>
      <c r="J47" s="18" t="e">
        <f>_xll.ciqfunctions.udf.CIQ($H$1, J$3,  B47)/100</f>
        <v>#VALUE!</v>
      </c>
    </row>
    <row r="51" spans="5:17">
      <c r="E51" s="12" t="s">
        <v>24</v>
      </c>
      <c r="F51" s="16">
        <f>CORREL($F$4:$F$24,G4:G24)</f>
        <v>-0.21976972549115686</v>
      </c>
      <c r="G51" s="16">
        <f t="shared" ref="G51:J51" si="0">CORREL($F$4:$F$24,H4:H24)</f>
        <v>0.12134149341623325</v>
      </c>
      <c r="H51" s="16">
        <f t="shared" si="0"/>
        <v>-0.46849307491396824</v>
      </c>
      <c r="I51" s="16">
        <f t="shared" si="0"/>
        <v>-0.56990073409383646</v>
      </c>
      <c r="J51" s="16">
        <f t="shared" si="0"/>
        <v>0.45965453717838367</v>
      </c>
      <c r="K51" s="13"/>
      <c r="L51" s="13"/>
      <c r="M51" s="13"/>
      <c r="N51" s="13"/>
      <c r="O51" s="13"/>
      <c r="P51" s="13"/>
      <c r="Q51" s="13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B1:U52"/>
  <sheetViews>
    <sheetView topLeftCell="G4" zoomScale="90" zoomScaleNormal="90" workbookViewId="0">
      <selection activeCell="H31" sqref="H31"/>
    </sheetView>
  </sheetViews>
  <sheetFormatPr defaultRowHeight="15"/>
  <cols>
    <col min="1" max="1" width="14.5703125" customWidth="1"/>
    <col min="2" max="2" width="10.5703125" customWidth="1"/>
    <col min="4" max="4" width="9.7109375" bestFit="1" customWidth="1"/>
    <col min="5" max="6" width="13.85546875" customWidth="1"/>
    <col min="7" max="12" width="18.140625" customWidth="1"/>
    <col min="13" max="13" width="18.140625" style="27" customWidth="1"/>
    <col min="14" max="14" width="9.7109375" style="27" customWidth="1"/>
    <col min="15" max="15" width="14.140625" customWidth="1"/>
    <col min="16" max="18" width="9.710937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2:21">
      <c r="G1" s="11" t="s">
        <v>26</v>
      </c>
      <c r="H1" s="11"/>
      <c r="J1" s="17"/>
      <c r="K1" s="17"/>
      <c r="L1" s="17"/>
      <c r="M1" s="30"/>
      <c r="O1" t="s">
        <v>1</v>
      </c>
      <c r="P1" t="s">
        <v>0</v>
      </c>
      <c r="Q1" t="s">
        <v>25</v>
      </c>
    </row>
    <row r="2" spans="2:21">
      <c r="G2" s="17"/>
      <c r="H2" s="17"/>
      <c r="I2" s="17"/>
      <c r="J2" s="17"/>
      <c r="K2" s="17"/>
      <c r="L2" s="17"/>
      <c r="M2" s="30"/>
    </row>
    <row r="3" spans="2:21" s="2" customFormat="1" ht="29.25" customHeight="1">
      <c r="B3" s="9" t="s">
        <v>23</v>
      </c>
      <c r="D3" s="9" t="s">
        <v>23</v>
      </c>
      <c r="E3" t="str">
        <f>"IQ_FILINGDATE_BS"</f>
        <v>IQ_FILINGDATE_BS</v>
      </c>
      <c r="F3" s="12" t="str">
        <f>"IQ_TEV_EBITDA"</f>
        <v>IQ_TEV_EBITDA</v>
      </c>
      <c r="G3" s="14" t="str">
        <f>"IQ_DIVIDEND_YIELD"</f>
        <v>IQ_DIVIDEND_YIELD</v>
      </c>
      <c r="H3" s="14" t="str">
        <f>"IQ_CAPEX_PCT_REV"</f>
        <v>IQ_CAPEX_PCT_REV</v>
      </c>
      <c r="I3" s="14" t="str">
        <f>"IQ_TOTAL_DEBT_EBITDA"</f>
        <v>IQ_TOTAL_DEBT_EBITDA</v>
      </c>
      <c r="J3" s="14" t="str">
        <f>"IQ_TOTAL_DEBT_CAPITAL"</f>
        <v>IQ_TOTAL_DEBT_CAPITAL</v>
      </c>
      <c r="K3" s="14" t="str">
        <f>"IQ_RETURN_EQUITY"</f>
        <v>IQ_RETURN_EQUITY</v>
      </c>
      <c r="L3" s="25" t="str">
        <f>L4</f>
        <v>Repurchase payout ratio</v>
      </c>
      <c r="M3" s="19" t="str">
        <f>"IQ_COMMON_REP"</f>
        <v>IQ_COMMON_REP</v>
      </c>
      <c r="N3" s="28" t="str">
        <f>"IQ_LASTSALEPRICE"</f>
        <v>IQ_LASTSALEPRICE</v>
      </c>
      <c r="O3" s="2" t="str">
        <f>"IQ_ANNUALIZED_DIVIDEND"</f>
        <v>IQ_ANNUALIZED_DIVIDEND</v>
      </c>
      <c r="P3" s="2" t="str">
        <f>"IQ_CAPEX"</f>
        <v>IQ_CAPEX</v>
      </c>
      <c r="Q3" s="2" t="str">
        <f>"IQ_TOTAL_REV"</f>
        <v>IQ_TOTAL_REV</v>
      </c>
      <c r="R3" s="2" t="str">
        <f>"IQ_NI"</f>
        <v>IQ_NI</v>
      </c>
      <c r="U3" s="2" t="str">
        <f>"IQ_COMMON_REP"</f>
        <v>IQ_COMMON_REP</v>
      </c>
    </row>
    <row r="4" spans="2:21" s="2" customFormat="1" ht="29.25" customHeight="1">
      <c r="B4" s="9"/>
      <c r="D4" s="9"/>
      <c r="E4"/>
      <c r="F4" s="12" t="s">
        <v>34</v>
      </c>
      <c r="G4" s="14" t="s">
        <v>33</v>
      </c>
      <c r="H4" s="14" t="s">
        <v>32</v>
      </c>
      <c r="I4" s="14" t="s">
        <v>31</v>
      </c>
      <c r="J4" s="14" t="s">
        <v>30</v>
      </c>
      <c r="K4" s="14" t="s">
        <v>28</v>
      </c>
      <c r="L4" s="25" t="s">
        <v>27</v>
      </c>
      <c r="M4" s="19" t="s">
        <v>29</v>
      </c>
      <c r="N4" s="28"/>
    </row>
    <row r="5" spans="2:21">
      <c r="B5" t="s">
        <v>2</v>
      </c>
      <c r="C5">
        <v>500</v>
      </c>
      <c r="D5" s="1">
        <v>41305</v>
      </c>
      <c r="E5" s="8">
        <f>_xll.ciqfunctions.udf.CIQ($G$1, E$3,C5)</f>
        <v>41695</v>
      </c>
      <c r="F5" s="12">
        <f>_xll.ciqfunctions.udf.CIQ($G$1,$F$3, , E5)</f>
        <v>8.7776099999999992</v>
      </c>
      <c r="G5" s="12">
        <f>_xll.ciqfunctions.udf.CIQ($G$1, G$3, D5)/100</f>
        <v>1.6742E-2</v>
      </c>
      <c r="H5" s="12">
        <f>_xll.ciqfunctions.udf.CIQ($G$1, H$3, B5)/100</f>
        <v>3.8412000000000002E-2</v>
      </c>
      <c r="I5" s="15">
        <f>_xll.ciqfunctions.udf.CIQ($G$1, I$3, B5)</f>
        <v>1.2255100000000001</v>
      </c>
      <c r="J5" s="18">
        <f>_xll.ciqfunctions.udf.CIQ($G$1, J$3,  B5)/100</f>
        <v>0.63407200000000008</v>
      </c>
      <c r="K5" s="21">
        <f>_xll.ciqfunctions.udf.CIQ($G$1, K$3,  C5)</f>
        <v>115.2196</v>
      </c>
      <c r="L5" s="26">
        <f t="shared" ref="L5:L25" si="0">-M5/R5</f>
        <v>0.93741914618369993</v>
      </c>
      <c r="M5" s="22">
        <f>_xll.ciqfunctions.udf.CIQ($G$1, M$3,  C5)</f>
        <v>-5797</v>
      </c>
      <c r="N5" s="27">
        <f>_xll.ciqfunctions.udf.CIQ($G$1, N$3, D5)</f>
        <v>203.07</v>
      </c>
      <c r="O5">
        <f>_xll.ciqfunctions.udf.CIQ($G$1, O$3, D5)</f>
        <v>3.4</v>
      </c>
      <c r="P5">
        <f>_xll.ciqfunctions.udf.CIQ($G$1, P$3, B5)</f>
        <v>-1064</v>
      </c>
      <c r="Q5">
        <f>_xll.ciqfunctions.udf.CIQ($G$1, Q$3, B5)</f>
        <v>27699</v>
      </c>
      <c r="R5">
        <f>_xll.ciqfunctions.udf.CIQ($G$1, R$3, C5)</f>
        <v>6184</v>
      </c>
      <c r="U5" s="7">
        <f>_xll.ciqfunctions.udf.CIQ($G$1, U$3, C5)</f>
        <v>-5797</v>
      </c>
    </row>
    <row r="6" spans="2:21">
      <c r="B6" t="s">
        <v>3</v>
      </c>
      <c r="C6">
        <v>499</v>
      </c>
      <c r="D6" s="3">
        <v>41546</v>
      </c>
      <c r="E6" s="8">
        <f>_xll.ciqfunctions.udf.CIQ($G$1, E$3,C6)</f>
        <v>41576</v>
      </c>
      <c r="F6" s="12">
        <f>_xll.ciqfunctions.udf.CIQ($G$1,$F$3, , E6)</f>
        <v>8.6276899999999994</v>
      </c>
      <c r="G6" s="31">
        <f>_xll.ciqfunctions.udf.CIQ($G$1, G$3, D6)/100</f>
        <v>2.0329E-2</v>
      </c>
      <c r="H6" s="31">
        <f>_xll.ciqfunctions.udf.CIQ($G$1, H$3, B6)/100</f>
        <v>4.1525999999999993E-2</v>
      </c>
      <c r="I6" s="15">
        <f>_xll.ciqfunctions.udf.CIQ($G$1, I$3, B6)</f>
        <v>1.5178700000000001</v>
      </c>
      <c r="J6" s="18">
        <f>_xll.ciqfunctions.udf.CIQ($G$1, J$3,  B6)/100</f>
        <v>0.64390900000000006</v>
      </c>
      <c r="K6" s="21">
        <f>_xll.ciqfunctions.udf.CIQ($G$1, K$3,  C6)</f>
        <v>85.318399999999997</v>
      </c>
      <c r="L6" s="26">
        <f t="shared" si="0"/>
        <v>0.47438752783964366</v>
      </c>
      <c r="M6" s="22">
        <f>_xll.ciqfunctions.udf.CIQ($G$1, M$3,  C6)</f>
        <v>-1917</v>
      </c>
      <c r="N6" s="27">
        <f>_xll.ciqfunctions.udf.CIQ($G$1, N$3, D6)</f>
        <v>186.92</v>
      </c>
      <c r="O6">
        <f>_xll.ciqfunctions.udf.CIQ($G$1, O$3, D6)</f>
        <v>3.8</v>
      </c>
      <c r="P6">
        <f>_xll.ciqfunctions.udf.CIQ($G$1, P$3, B6)</f>
        <v>-985</v>
      </c>
      <c r="Q6">
        <f>_xll.ciqfunctions.udf.CIQ($G$1, Q$3, B6)</f>
        <v>23720</v>
      </c>
      <c r="R6">
        <f>_xll.ciqfunctions.udf.CIQ($G$1, R$3, C6)</f>
        <v>4041</v>
      </c>
      <c r="U6" s="7">
        <f>_xll.ciqfunctions.udf.CIQ($G$1, U$3, C6)</f>
        <v>-1917</v>
      </c>
    </row>
    <row r="7" spans="2:21">
      <c r="B7" t="s">
        <v>4</v>
      </c>
      <c r="C7">
        <v>498</v>
      </c>
      <c r="D7" s="3">
        <v>41426</v>
      </c>
      <c r="E7" s="8">
        <f>_xll.ciqfunctions.udf.CIQ($G$1, E$3,C7)</f>
        <v>41486</v>
      </c>
      <c r="F7" s="12">
        <f>_xll.ciqfunctions.udf.CIQ($G$1,$F$3, , E7)</f>
        <v>9.0551999999999992</v>
      </c>
      <c r="G7" s="31">
        <f>_xll.ciqfunctions.udf.CIQ($G$1, G$3, D7)/100</f>
        <v>1.8266999999999999E-2</v>
      </c>
      <c r="H7" s="31">
        <f>_xll.ciqfunctions.udf.CIQ($G$1, H$3, B7)/100</f>
        <v>3.4504E-2</v>
      </c>
      <c r="I7" s="15">
        <f>_xll.ciqfunctions.udf.CIQ($G$1, I$3, B7)</f>
        <v>1.3794500000000001</v>
      </c>
      <c r="J7" s="18">
        <f>_xll.ciqfunctions.udf.CIQ($G$1, J$3,  B7)/100</f>
        <v>0.65612899999999996</v>
      </c>
      <c r="K7" s="21">
        <f>_xll.ciqfunctions.udf.CIQ($G$1, K$3,  C7)</f>
        <v>69.568799999999996</v>
      </c>
      <c r="L7" s="26">
        <f t="shared" si="0"/>
        <v>1.1010539367637941</v>
      </c>
      <c r="M7" s="22">
        <f>_xll.ciqfunctions.udf.CIQ($G$1, M$3,  C7)</f>
        <v>-3552</v>
      </c>
      <c r="N7" s="27">
        <f>_xll.ciqfunctions.udf.CIQ($G$1, N$3, D7)</f>
        <v>208.02</v>
      </c>
      <c r="O7">
        <f>_xll.ciqfunctions.udf.CIQ($G$1, O$3, D7)</f>
        <v>3.8</v>
      </c>
      <c r="P7">
        <f>_xll.ciqfunctions.udf.CIQ($G$1, P$3, B7)</f>
        <v>-860</v>
      </c>
      <c r="Q7">
        <f>_xll.ciqfunctions.udf.CIQ($G$1, Q$3, B7)</f>
        <v>24924</v>
      </c>
      <c r="R7">
        <f>_xll.ciqfunctions.udf.CIQ($G$1, R$3, C7)</f>
        <v>3226</v>
      </c>
      <c r="U7" s="7">
        <f>_xll.ciqfunctions.udf.CIQ($G$1, U$3, C7)</f>
        <v>-3552</v>
      </c>
    </row>
    <row r="8" spans="2:21">
      <c r="B8" t="s">
        <v>5</v>
      </c>
      <c r="C8">
        <v>497</v>
      </c>
      <c r="D8" s="4">
        <v>41346</v>
      </c>
      <c r="E8" s="8">
        <f>_xll.ciqfunctions.udf.CIQ($G$1, E$3,C8)</f>
        <v>41394</v>
      </c>
      <c r="F8" s="12">
        <f>_xll.ciqfunctions.udf.CIQ($G$1,$F$3, , E8)</f>
        <v>9.3199000000000005</v>
      </c>
      <c r="G8" s="31">
        <f>_xll.ciqfunctions.udf.CIQ($G$1, G$3, D8)/100</f>
        <v>1.6032999999999999E-2</v>
      </c>
      <c r="H8" s="31">
        <f>_xll.ciqfunctions.udf.CIQ($G$1, H$3, B8)/100</f>
        <v>3.0501999999999998E-2</v>
      </c>
      <c r="I8" s="15">
        <f>_xll.ciqfunctions.udf.CIQ($G$1, I$3, B8)</f>
        <v>1.73329</v>
      </c>
      <c r="J8" s="18">
        <f>_xll.ciqfunctions.udf.CIQ($G$1, J$3,  B8)/100</f>
        <v>0.63479099999999999</v>
      </c>
      <c r="K8" s="21">
        <f>_xll.ciqfunctions.udf.CIQ($G$1, K$3,  C8)</f>
        <v>63.500399999999999</v>
      </c>
      <c r="L8" s="26">
        <f t="shared" si="0"/>
        <v>0.85521108179419525</v>
      </c>
      <c r="M8" s="22">
        <f>_xll.ciqfunctions.udf.CIQ($G$1, M$3,  C8)</f>
        <v>-2593</v>
      </c>
      <c r="N8" s="27">
        <f>_xll.ciqfunctions.udf.CIQ($G$1, N$3, D8)</f>
        <v>212.06</v>
      </c>
      <c r="O8">
        <f>_xll.ciqfunctions.udf.CIQ($G$1, O$3, D8)</f>
        <v>3.4</v>
      </c>
      <c r="P8">
        <f>_xll.ciqfunctions.udf.CIQ($G$1, P$3, B8)</f>
        <v>-714</v>
      </c>
      <c r="Q8">
        <f>_xll.ciqfunctions.udf.CIQ($G$1, Q$3, B8)</f>
        <v>23408</v>
      </c>
      <c r="R8">
        <f>_xll.ciqfunctions.udf.CIQ($G$1, R$3, C8)</f>
        <v>3032</v>
      </c>
      <c r="U8" s="7">
        <f>_xll.ciqfunctions.udf.CIQ($G$1, U$3, C8)</f>
        <v>-2593</v>
      </c>
    </row>
    <row r="9" spans="2:21">
      <c r="B9" t="s">
        <v>6</v>
      </c>
      <c r="C9">
        <v>496</v>
      </c>
      <c r="D9" s="4">
        <v>41620</v>
      </c>
      <c r="E9" s="8">
        <f>_xll.ciqfunctions.udf.CIQ($G$1, E$3,C9)</f>
        <v>41695</v>
      </c>
      <c r="F9" s="12">
        <f>_xll.ciqfunctions.udf.CIQ($G$1,$F$3, , E9)</f>
        <v>8.7776099999999992</v>
      </c>
      <c r="G9" s="31">
        <f>_xll.ciqfunctions.udf.CIQ($G$1, G$3, D9)/100</f>
        <v>2.1918000000000003E-2</v>
      </c>
      <c r="H9" s="31">
        <f>_xll.ciqfunctions.udf.CIQ($G$1, H$3, B9)/100</f>
        <v>3.4125000000000003E-2</v>
      </c>
      <c r="I9" s="15">
        <f>_xll.ciqfunctions.udf.CIQ($G$1, I$3, B9)</f>
        <v>0.92157999999999995</v>
      </c>
      <c r="J9" s="18">
        <f>_xll.ciqfunctions.udf.CIQ($G$1, J$3,  B9)/100</f>
        <v>0.63668999999999998</v>
      </c>
      <c r="K9" s="21">
        <f>_xll.ciqfunctions.udf.CIQ($G$1, K$3,  C9)</f>
        <v>114.7944</v>
      </c>
      <c r="L9" s="26">
        <f t="shared" si="0"/>
        <v>0.51551517229555976</v>
      </c>
      <c r="M9" s="22">
        <f>_xll.ciqfunctions.udf.CIQ($G$1, M$3,  C9)</f>
        <v>-3007</v>
      </c>
      <c r="N9" s="27">
        <f>_xll.ciqfunctions.udf.CIQ($G$1, N$3, D9)</f>
        <v>173.37</v>
      </c>
      <c r="O9">
        <f>_xll.ciqfunctions.udf.CIQ($G$1, O$3, D9)</f>
        <v>3.8</v>
      </c>
      <c r="P9">
        <f>_xll.ciqfunctions.udf.CIQ($G$1, P$3, B9)</f>
        <v>-1000</v>
      </c>
      <c r="Q9">
        <f>_xll.ciqfunctions.udf.CIQ($G$1, Q$3, B9)</f>
        <v>29304</v>
      </c>
      <c r="R9">
        <f>_xll.ciqfunctions.udf.CIQ($G$1, R$3, C9)</f>
        <v>5833</v>
      </c>
      <c r="U9" s="7">
        <f>_xll.ciqfunctions.udf.CIQ($G$1, U$3, C9)</f>
        <v>-3007</v>
      </c>
    </row>
    <row r="10" spans="2:21">
      <c r="B10" t="s">
        <v>7</v>
      </c>
      <c r="C10">
        <v>495</v>
      </c>
      <c r="D10" s="4">
        <v>41529</v>
      </c>
      <c r="E10" s="8">
        <f>_xll.ciqfunctions.udf.CIQ($G$1, E$3,C10)</f>
        <v>41576</v>
      </c>
      <c r="F10" s="12">
        <f>_xll.ciqfunctions.udf.CIQ($G$1,$F$3, , E10)</f>
        <v>8.6276899999999994</v>
      </c>
      <c r="G10" s="31">
        <f>_xll.ciqfunctions.udf.CIQ($G$1, G$3, D10)/100</f>
        <v>1.9923E-2</v>
      </c>
      <c r="H10" s="31">
        <f>_xll.ciqfunctions.udf.CIQ($G$1, H$3, B10)/100</f>
        <v>3.8267000000000002E-2</v>
      </c>
      <c r="I10" s="15">
        <f>_xll.ciqfunctions.udf.CIQ($G$1, I$3, B10)</f>
        <v>1.3462499999999999</v>
      </c>
      <c r="J10" s="18">
        <f>_xll.ciqfunctions.udf.CIQ($G$1, J$3,  B10)/100</f>
        <v>0.60844299999999996</v>
      </c>
      <c r="K10" s="21">
        <f>_xll.ciqfunctions.udf.CIQ($G$1, K$3,  C10)</f>
        <v>72.441199999999995</v>
      </c>
      <c r="L10" s="26">
        <f t="shared" si="0"/>
        <v>0.78085774058577406</v>
      </c>
      <c r="M10" s="22">
        <f>_xll.ciqfunctions.udf.CIQ($G$1, M$3,  C10)</f>
        <v>-2986</v>
      </c>
      <c r="N10" s="27">
        <f>_xll.ciqfunctions.udf.CIQ($G$1, N$3, D10)</f>
        <v>190.73</v>
      </c>
      <c r="O10">
        <f>_xll.ciqfunctions.udf.CIQ($G$1, O$3, D10)</f>
        <v>3.8</v>
      </c>
      <c r="P10">
        <f>_xll.ciqfunctions.udf.CIQ($G$1, P$3, B10)</f>
        <v>-947</v>
      </c>
      <c r="Q10">
        <f>_xll.ciqfunctions.udf.CIQ($G$1, Q$3, B10)</f>
        <v>24747</v>
      </c>
      <c r="R10">
        <f>_xll.ciqfunctions.udf.CIQ($G$1, R$3, C10)</f>
        <v>3824</v>
      </c>
      <c r="U10" s="7">
        <f>_xll.ciqfunctions.udf.CIQ($G$1, U$3, C10)</f>
        <v>-2986</v>
      </c>
    </row>
    <row r="11" spans="2:21">
      <c r="B11" t="s">
        <v>8</v>
      </c>
      <c r="C11">
        <v>494</v>
      </c>
      <c r="D11" s="4">
        <v>41437</v>
      </c>
      <c r="E11" s="8">
        <f>_xll.ciqfunctions.udf.CIQ($G$1, E$3,C11)</f>
        <v>41486</v>
      </c>
      <c r="F11" s="12">
        <f>_xll.ciqfunctions.udf.CIQ($G$1,$F$3, , E11)</f>
        <v>9.0551999999999992</v>
      </c>
      <c r="G11" s="31">
        <f>_xll.ciqfunctions.udf.CIQ($G$1, G$3, D11)/100</f>
        <v>1.8886E-2</v>
      </c>
      <c r="H11" s="31">
        <f>_xll.ciqfunctions.udf.CIQ($G$1, H$3, B11)/100</f>
        <v>4.6463999999999998E-2</v>
      </c>
      <c r="I11" s="15">
        <f>_xll.ciqfunctions.udf.CIQ($G$1, I$3, B11)</f>
        <v>1.27216</v>
      </c>
      <c r="J11" s="18">
        <f>_xll.ciqfunctions.udf.CIQ($G$1, J$3,  B11)/100</f>
        <v>0.61199199999999998</v>
      </c>
      <c r="K11" s="21">
        <f>_xll.ciqfunctions.udf.CIQ($G$1, K$3,  C11)</f>
        <v>75.091200000000001</v>
      </c>
      <c r="L11" s="26">
        <f t="shared" si="0"/>
        <v>0.76964699819634119</v>
      </c>
      <c r="M11" s="22">
        <f>_xll.ciqfunctions.udf.CIQ($G$1, M$3,  C11)</f>
        <v>-2987</v>
      </c>
      <c r="N11" s="27">
        <f>_xll.ciqfunctions.udf.CIQ($G$1, N$3, D11)</f>
        <v>201.2</v>
      </c>
      <c r="O11">
        <f>_xll.ciqfunctions.udf.CIQ($G$1, O$3, D11)</f>
        <v>3.8</v>
      </c>
      <c r="P11">
        <f>_xll.ciqfunctions.udf.CIQ($G$1, P$3, B11)</f>
        <v>-1198</v>
      </c>
      <c r="Q11">
        <f>_xll.ciqfunctions.udf.CIQ($G$1, Q$3, B11)</f>
        <v>25783</v>
      </c>
      <c r="R11">
        <f>_xll.ciqfunctions.udf.CIQ($G$1, R$3, C11)</f>
        <v>3881</v>
      </c>
      <c r="U11" s="7">
        <f>_xll.ciqfunctions.udf.CIQ($G$1, U$3, C11)</f>
        <v>-2987</v>
      </c>
    </row>
    <row r="12" spans="2:21">
      <c r="B12" t="s">
        <v>9</v>
      </c>
      <c r="C12">
        <v>493</v>
      </c>
      <c r="D12" s="1">
        <v>40969</v>
      </c>
      <c r="E12" s="8">
        <f>_xll.ciqfunctions.udf.CIQ($G$1, E$3,C12)</f>
        <v>41394</v>
      </c>
      <c r="F12" s="12">
        <f>_xll.ciqfunctions.udf.CIQ($G$1,$F$3, , E12)</f>
        <v>9.3199000000000005</v>
      </c>
      <c r="G12" s="31">
        <f>_xll.ciqfunctions.udf.CIQ($G$1, G$3, D12)/100</f>
        <v>1.5186999999999999E-2</v>
      </c>
      <c r="H12" s="31">
        <f>_xll.ciqfunctions.udf.CIQ($G$1, H$3, B12)/100</f>
        <v>3.7976000000000003E-2</v>
      </c>
      <c r="I12" s="15">
        <f>_xll.ciqfunctions.udf.CIQ($G$1, I$3, B12)</f>
        <v>1.51881</v>
      </c>
      <c r="J12" s="18">
        <f>_xll.ciqfunctions.udf.CIQ($G$1, J$3,  B12)/100</f>
        <v>0.60665000000000002</v>
      </c>
      <c r="K12" s="21">
        <f>_xll.ciqfunctions.udf.CIQ($G$1, K$3,  C12)</f>
        <v>59.798000000000002</v>
      </c>
      <c r="L12" s="26">
        <f t="shared" si="0"/>
        <v>0.98336594911937381</v>
      </c>
      <c r="M12" s="22">
        <f>_xll.ciqfunctions.udf.CIQ($G$1, M$3,  C12)</f>
        <v>-3015</v>
      </c>
      <c r="N12" s="27">
        <f>_xll.ciqfunctions.udf.CIQ($G$1, N$3, D12)</f>
        <v>197.53</v>
      </c>
      <c r="O12" s="6">
        <f>_xll.ciqfunctions.udf.CIQ($G$1, O$3, D12)</f>
        <v>3</v>
      </c>
      <c r="P12">
        <f>_xll.ciqfunctions.udf.CIQ($G$1, P$3, B12)</f>
        <v>-937</v>
      </c>
      <c r="Q12">
        <f>_xll.ciqfunctions.udf.CIQ($G$1, Q$3, B12)</f>
        <v>24673</v>
      </c>
      <c r="R12">
        <f>_xll.ciqfunctions.udf.CIQ($G$1, R$3, C12)</f>
        <v>3066</v>
      </c>
      <c r="U12" s="7">
        <f>_xll.ciqfunctions.udf.CIQ($G$1, U$3, C12)</f>
        <v>-3015</v>
      </c>
    </row>
    <row r="13" spans="2:21">
      <c r="B13" t="s">
        <v>10</v>
      </c>
      <c r="C13">
        <v>492</v>
      </c>
      <c r="D13" s="1">
        <v>40878</v>
      </c>
      <c r="E13" s="8">
        <f>_xll.ciqfunctions.udf.CIQ($G$1, E$3,C13)</f>
        <v>41331</v>
      </c>
      <c r="F13" s="12">
        <f>_xll.ciqfunctions.udf.CIQ($G$1,$F$3, , E13)</f>
        <v>9.0930300000000006</v>
      </c>
      <c r="G13" s="31">
        <f>_xll.ciqfunctions.udf.CIQ($G$1, G$3, D13)/100</f>
        <v>1.5834999999999998E-2</v>
      </c>
      <c r="H13" s="31">
        <f>_xll.ciqfunctions.udf.CIQ($G$1, H$3, B13)/100</f>
        <v>3.5541999999999997E-2</v>
      </c>
      <c r="I13" s="15">
        <f>_xll.ciqfunctions.udf.CIQ($G$1, I$3, B13)</f>
        <v>0.94898000000000005</v>
      </c>
      <c r="J13" s="18">
        <f>_xll.ciqfunctions.udf.CIQ($G$1, J$3,  B13)/100</f>
        <v>0.60750599999999999</v>
      </c>
      <c r="K13" s="21">
        <f>_xll.ciqfunctions.udf.CIQ($G$1, K$3,  C13)</f>
        <v>103.0668</v>
      </c>
      <c r="L13" s="26">
        <f t="shared" si="0"/>
        <v>0.65227686703096543</v>
      </c>
      <c r="M13" s="22">
        <f>_xll.ciqfunctions.udf.CIQ($G$1, M$3,  C13)</f>
        <v>-3581</v>
      </c>
      <c r="N13" s="27">
        <f>_xll.ciqfunctions.udf.CIQ($G$1, N$3, D13)</f>
        <v>189.45</v>
      </c>
      <c r="O13" s="6">
        <f>_xll.ciqfunctions.udf.CIQ($G$1, O$3, D13)</f>
        <v>3</v>
      </c>
      <c r="P13">
        <f>_xll.ciqfunctions.udf.CIQ($G$1, P$3, B13)</f>
        <v>-1048</v>
      </c>
      <c r="Q13">
        <f>_xll.ciqfunctions.udf.CIQ($G$1, Q$3, B13)</f>
        <v>29486</v>
      </c>
      <c r="R13">
        <f>_xll.ciqfunctions.udf.CIQ($G$1, R$3, C13)</f>
        <v>5490</v>
      </c>
      <c r="U13" s="7">
        <f>_xll.ciqfunctions.udf.CIQ($G$1, U$3, C13)</f>
        <v>-3581</v>
      </c>
    </row>
    <row r="14" spans="2:21">
      <c r="B14" t="s">
        <v>11</v>
      </c>
      <c r="C14">
        <v>491</v>
      </c>
      <c r="D14" s="1">
        <v>40787</v>
      </c>
      <c r="E14" s="8">
        <f>_xll.ciqfunctions.udf.CIQ($G$1, E$3,C14)</f>
        <v>41212</v>
      </c>
      <c r="F14" s="12">
        <f>_xll.ciqfunctions.udf.CIQ($G$1,$F$3, , E14)</f>
        <v>8.9924700000000009</v>
      </c>
      <c r="G14" s="31">
        <f>_xll.ciqfunctions.udf.CIQ($G$1, G$3, D14)/100</f>
        <v>1.7612000000000003E-2</v>
      </c>
      <c r="H14" s="31">
        <f>_xll.ciqfunctions.udf.CIQ($G$1, H$3, B14)/100</f>
        <v>3.8191999999999997E-2</v>
      </c>
      <c r="I14" s="15">
        <f>_xll.ciqfunctions.udf.CIQ($G$1, I$3, B14)</f>
        <v>1.1634</v>
      </c>
      <c r="J14" s="18">
        <f>_xll.ciqfunctions.udf.CIQ($G$1, J$3,  B14)/100</f>
        <v>0.57406000000000001</v>
      </c>
      <c r="K14" s="21">
        <f>_xll.ciqfunctions.udf.CIQ($G$1, K$3,  C14)</f>
        <v>67.366799999999998</v>
      </c>
      <c r="L14" s="26">
        <f t="shared" si="0"/>
        <v>0.89710862203698882</v>
      </c>
      <c r="M14" s="22">
        <f>_xll.ciqfunctions.udf.CIQ($G$1, M$3,  C14)</f>
        <v>-3444</v>
      </c>
      <c r="N14" s="27">
        <f>_xll.ciqfunctions.udf.CIQ($G$1, N$3, D14)</f>
        <v>170.33</v>
      </c>
      <c r="O14" s="6">
        <f>_xll.ciqfunctions.udf.CIQ($G$1, O$3, D14)</f>
        <v>3</v>
      </c>
      <c r="P14">
        <f>_xll.ciqfunctions.udf.CIQ($G$1, P$3, B14)</f>
        <v>-999</v>
      </c>
      <c r="Q14">
        <f>_xll.ciqfunctions.udf.CIQ($G$1, Q$3, B14)</f>
        <v>26157</v>
      </c>
      <c r="R14">
        <f>_xll.ciqfunctions.udf.CIQ($G$1, R$3, C14)</f>
        <v>3839</v>
      </c>
      <c r="U14" s="7">
        <f>_xll.ciqfunctions.udf.CIQ($G$1, U$3, C14)</f>
        <v>-3444</v>
      </c>
    </row>
    <row r="15" spans="2:21">
      <c r="B15" t="s">
        <v>12</v>
      </c>
      <c r="C15">
        <v>490</v>
      </c>
      <c r="D15" s="1">
        <v>40695</v>
      </c>
      <c r="E15" s="8">
        <f>_xll.ciqfunctions.udf.CIQ($G$1, E$3,C15)</f>
        <v>41121</v>
      </c>
      <c r="F15" s="12">
        <f>_xll.ciqfunctions.udf.CIQ($G$1,$F$3, , E15)</f>
        <v>9.1514199999999999</v>
      </c>
      <c r="G15" s="31">
        <f>_xll.ciqfunctions.udf.CIQ($G$1, G$3, D15)/100</f>
        <v>1.8010999999999999E-2</v>
      </c>
      <c r="H15" s="31">
        <f>_xll.ciqfunctions.udf.CIQ($G$1, H$3, B15)/100</f>
        <v>3.9712999999999998E-2</v>
      </c>
      <c r="I15" s="15">
        <f>_xll.ciqfunctions.udf.CIQ($G$1, I$3, B15)</f>
        <v>1.15096</v>
      </c>
      <c r="J15" s="18">
        <f>_xll.ciqfunctions.udf.CIQ($G$1, J$3,  B15)/100</f>
        <v>0.56192399999999998</v>
      </c>
      <c r="K15" s="21">
        <f>_xll.ciqfunctions.udf.CIQ($G$1, K$3,  C15)</f>
        <v>63.7408</v>
      </c>
      <c r="L15" s="26">
        <f t="shared" si="0"/>
        <v>1.0851528384279476</v>
      </c>
      <c r="M15" s="22">
        <f>_xll.ciqfunctions.udf.CIQ($G$1, M$3,  C15)</f>
        <v>-3976</v>
      </c>
      <c r="N15" s="27">
        <f>_xll.ciqfunctions.udf.CIQ($G$1, N$3, D15)</f>
        <v>166.56</v>
      </c>
      <c r="O15" s="6">
        <f>_xll.ciqfunctions.udf.CIQ($G$1, O$3, D15)</f>
        <v>3</v>
      </c>
      <c r="P15">
        <f>_xll.ciqfunctions.udf.CIQ($G$1, P$3, B15)</f>
        <v>-1059</v>
      </c>
      <c r="Q15">
        <f>_xll.ciqfunctions.udf.CIQ($G$1, Q$3, B15)</f>
        <v>26666</v>
      </c>
      <c r="R15">
        <f>_xll.ciqfunctions.udf.CIQ($G$1, R$3, C15)</f>
        <v>3664</v>
      </c>
      <c r="U15" s="7">
        <f>_xll.ciqfunctions.udf.CIQ($G$1, U$3, C15)</f>
        <v>-3976</v>
      </c>
    </row>
    <row r="16" spans="2:21">
      <c r="B16" t="s">
        <v>13</v>
      </c>
      <c r="C16">
        <v>489</v>
      </c>
      <c r="D16" s="1">
        <v>40603</v>
      </c>
      <c r="E16" s="8">
        <f>_xll.ciqfunctions.udf.CIQ($G$1, E$3,C16)</f>
        <v>41023</v>
      </c>
      <c r="F16" s="12">
        <f>_xll.ciqfunctions.udf.CIQ($G$1,$F$3, , E16)</f>
        <v>9.3500399999999999</v>
      </c>
      <c r="G16" s="31">
        <f>_xll.ciqfunctions.udf.CIQ($G$1, G$3, D16)/100</f>
        <v>1.6253E-2</v>
      </c>
      <c r="H16" s="31">
        <f>_xll.ciqfunctions.udf.CIQ($G$1, H$3, B16)/100</f>
        <v>4.0719999999999999E-2</v>
      </c>
      <c r="I16" s="15">
        <f>_xll.ciqfunctions.udf.CIQ($G$1, I$3, B16)</f>
        <v>1.46566</v>
      </c>
      <c r="J16" s="18">
        <f>_xll.ciqfunctions.udf.CIQ($G$1, J$3,  B16)/100</f>
        <v>0.57054199999999999</v>
      </c>
      <c r="K16" s="21">
        <f>_xll.ciqfunctions.udf.CIQ($G$1, K$3,  C16)</f>
        <v>49.848399999999998</v>
      </c>
      <c r="L16" s="26">
        <f t="shared" si="0"/>
        <v>1.4128536500174642</v>
      </c>
      <c r="M16" s="22">
        <f>_xll.ciqfunctions.udf.CIQ($G$1, M$3,  C16)</f>
        <v>-4045</v>
      </c>
      <c r="N16" s="27">
        <f>_xll.ciqfunctions.udf.CIQ($G$1, N$3, D16)</f>
        <v>159.97</v>
      </c>
      <c r="O16" s="6">
        <f>_xll.ciqfunctions.udf.CIQ($G$1, O$3, D16)</f>
        <v>2.6</v>
      </c>
      <c r="P16">
        <f>_xll.ciqfunctions.udf.CIQ($G$1, P$3, B16)</f>
        <v>-1002</v>
      </c>
      <c r="Q16">
        <f>_xll.ciqfunctions.udf.CIQ($G$1, Q$3, B16)</f>
        <v>24607</v>
      </c>
      <c r="R16">
        <f>_xll.ciqfunctions.udf.CIQ($G$1, R$3, C16)</f>
        <v>2863</v>
      </c>
      <c r="U16" s="7">
        <f>_xll.ciqfunctions.udf.CIQ($G$1, U$3, C16)</f>
        <v>-4045</v>
      </c>
    </row>
    <row r="17" spans="2:21">
      <c r="B17" t="s">
        <v>14</v>
      </c>
      <c r="C17">
        <v>488</v>
      </c>
      <c r="D17" s="1">
        <v>40513</v>
      </c>
      <c r="E17" s="8">
        <f>_xll.ciqfunctions.udf.CIQ($G$1, E$3,C17)</f>
        <v>40967</v>
      </c>
      <c r="F17" s="12">
        <f>_xll.ciqfunctions.udf.CIQ($G$1,$F$3, , E17)</f>
        <v>9.3334399999999995</v>
      </c>
      <c r="G17" s="31">
        <f>_xll.ciqfunctions.udf.CIQ($G$1, G$3, D17)/100</f>
        <v>1.8003999999999999E-2</v>
      </c>
      <c r="H17" s="31">
        <f>_xll.ciqfunctions.udf.CIQ($G$1, H$3, B17)/100</f>
        <v>3.9698000000000004E-2</v>
      </c>
      <c r="I17" s="15">
        <f>_xll.ciqfunctions.udf.CIQ($G$1, I$3, B17)</f>
        <v>0.86102999999999996</v>
      </c>
      <c r="J17" s="18">
        <f>_xll.ciqfunctions.udf.CIQ($G$1, J$3,  B17)/100</f>
        <v>0.55262900000000004</v>
      </c>
      <c r="K17" s="21">
        <f>_xll.ciqfunctions.udf.CIQ($G$1, K$3,  C17)</f>
        <v>92.367599999999996</v>
      </c>
      <c r="L17" s="26">
        <f t="shared" si="0"/>
        <v>0.68499143998478218</v>
      </c>
      <c r="M17" s="22">
        <f>_xll.ciqfunctions.udf.CIQ($G$1, M$3,  C17)</f>
        <v>-3601</v>
      </c>
      <c r="N17" s="27">
        <f>_xll.ciqfunctions.udf.CIQ($G$1, N$3, D17)</f>
        <v>144.41</v>
      </c>
      <c r="O17" s="6">
        <f>_xll.ciqfunctions.udf.CIQ($G$1, O$3, D17)</f>
        <v>2.6</v>
      </c>
      <c r="P17">
        <f>_xll.ciqfunctions.udf.CIQ($G$1, P$3, B17)</f>
        <v>-1152</v>
      </c>
      <c r="Q17">
        <f>_xll.ciqfunctions.udf.CIQ($G$1, Q$3, B17)</f>
        <v>29019</v>
      </c>
      <c r="R17">
        <f>_xll.ciqfunctions.udf.CIQ($G$1, R$3, C17)</f>
        <v>5257</v>
      </c>
      <c r="U17" s="7">
        <f>_xll.ciqfunctions.udf.CIQ($G$1, U$3, C17)</f>
        <v>-3601</v>
      </c>
    </row>
    <row r="18" spans="2:21">
      <c r="B18" t="s">
        <v>15</v>
      </c>
      <c r="C18">
        <v>487</v>
      </c>
      <c r="D18" s="1">
        <v>40422</v>
      </c>
      <c r="E18" s="8">
        <f>_xll.ciqfunctions.udf.CIQ($G$1, E$3,C18)</f>
        <v>40841</v>
      </c>
      <c r="F18" s="12">
        <f>_xll.ciqfunctions.udf.CIQ($G$1,$F$3, , E18)</f>
        <v>8.7604000000000006</v>
      </c>
      <c r="G18" s="31">
        <f>_xll.ciqfunctions.udf.CIQ($G$1, G$3, D18)/100</f>
        <v>2.0672000000000003E-2</v>
      </c>
      <c r="H18" s="31">
        <f>_xll.ciqfunctions.udf.CIQ($G$1, H$3, B18)/100</f>
        <v>5.9618000000000004E-2</v>
      </c>
      <c r="I18" s="15">
        <f>_xll.ciqfunctions.udf.CIQ($G$1, I$3, B18)</f>
        <v>1.1619699999999999</v>
      </c>
      <c r="J18" s="18">
        <f>_xll.ciqfunctions.udf.CIQ($G$1, J$3,  B18)/100</f>
        <v>0.55115000000000003</v>
      </c>
      <c r="K18" s="21">
        <f>_xll.ciqfunctions.udf.CIQ($G$1, K$3,  C18)</f>
        <v>65.9512</v>
      </c>
      <c r="L18" s="26">
        <f t="shared" si="0"/>
        <v>1.0178322652549456</v>
      </c>
      <c r="M18" s="22">
        <f>_xll.ciqfunctions.udf.CIQ($G$1, M$3,  C18)</f>
        <v>-3653</v>
      </c>
      <c r="N18" s="27">
        <f>_xll.ciqfunctions.udf.CIQ($G$1, N$3, D18)</f>
        <v>125.77</v>
      </c>
      <c r="O18" s="6">
        <f>_xll.ciqfunctions.udf.CIQ($G$1, O$3, D18)</f>
        <v>2.6</v>
      </c>
      <c r="P18">
        <f>_xll.ciqfunctions.udf.CIQ($G$1, P$3, B18)</f>
        <v>-1447</v>
      </c>
      <c r="Q18">
        <f>_xll.ciqfunctions.udf.CIQ($G$1, Q$3, B18)</f>
        <v>24271</v>
      </c>
      <c r="R18">
        <f>_xll.ciqfunctions.udf.CIQ($G$1, R$3, C18)</f>
        <v>3589</v>
      </c>
      <c r="U18" s="7">
        <f>_xll.ciqfunctions.udf.CIQ($G$1, U$3, C18)</f>
        <v>-3653</v>
      </c>
    </row>
    <row r="19" spans="2:21">
      <c r="B19" t="s">
        <v>16</v>
      </c>
      <c r="C19">
        <v>486</v>
      </c>
      <c r="D19" s="1">
        <v>40330</v>
      </c>
      <c r="E19" s="8">
        <f>_xll.ciqfunctions.udf.CIQ($G$1, E$3,C19)</f>
        <v>40750</v>
      </c>
      <c r="F19" s="12">
        <f>_xll.ciqfunctions.udf.CIQ($G$1,$F$3, , E19)</f>
        <v>9.1502599999999994</v>
      </c>
      <c r="G19" s="31">
        <f>_xll.ciqfunctions.udf.CIQ($G$1, G$3, D19)/100</f>
        <v>2.0910000000000002E-2</v>
      </c>
      <c r="H19" s="31">
        <f>_xll.ciqfunctions.udf.CIQ($G$1, H$3, B19)/100</f>
        <v>3.4902000000000002E-2</v>
      </c>
      <c r="I19" s="15">
        <f>_xll.ciqfunctions.udf.CIQ($G$1, I$3, B19)</f>
        <v>1.1534800000000001</v>
      </c>
      <c r="J19" s="18">
        <f>_xll.ciqfunctions.udf.CIQ($G$1, J$3,  B19)/100</f>
        <v>0.55722799999999995</v>
      </c>
      <c r="K19" s="21">
        <f>_xll.ciqfunctions.udf.CIQ($G$1, K$3,  C19)</f>
        <v>62.522399999999998</v>
      </c>
      <c r="L19" s="26">
        <f t="shared" si="0"/>
        <v>1.2120496160661547</v>
      </c>
      <c r="M19" s="22">
        <f>_xll.ciqfunctions.udf.CIQ($G$1, M$3,  C19)</f>
        <v>-4104</v>
      </c>
      <c r="N19" s="27">
        <f>_xll.ciqfunctions.udf.CIQ($G$1, N$3, D19)</f>
        <v>124.34</v>
      </c>
      <c r="O19" s="6">
        <f>_xll.ciqfunctions.udf.CIQ($G$1, O$3, D19)</f>
        <v>2.6</v>
      </c>
      <c r="P19">
        <f>_xll.ciqfunctions.udf.CIQ($G$1, P$3, B19)</f>
        <v>-828</v>
      </c>
      <c r="Q19">
        <f>_xll.ciqfunctions.udf.CIQ($G$1, Q$3, B19)</f>
        <v>23723</v>
      </c>
      <c r="R19">
        <f>_xll.ciqfunctions.udf.CIQ($G$1, R$3, C19)</f>
        <v>3386</v>
      </c>
      <c r="U19" s="7">
        <f>_xll.ciqfunctions.udf.CIQ($G$1, U$3, C19)</f>
        <v>-4104</v>
      </c>
    </row>
    <row r="20" spans="2:21">
      <c r="B20" t="s">
        <v>17</v>
      </c>
      <c r="C20">
        <v>485</v>
      </c>
      <c r="D20" s="1">
        <v>40238</v>
      </c>
      <c r="E20" s="8">
        <f>_xll.ciqfunctions.udf.CIQ($G$1, E$3,C20)</f>
        <v>40659</v>
      </c>
      <c r="F20" s="12">
        <f>_xll.ciqfunctions.udf.CIQ($G$1,$F$3, , E20)</f>
        <v>8.7991200000000003</v>
      </c>
      <c r="G20" s="31">
        <f>_xll.ciqfunctions.udf.CIQ($G$1, G$3, D20)/100</f>
        <v>1.7111000000000001E-2</v>
      </c>
      <c r="H20" s="31">
        <f>_xll.ciqfunctions.udf.CIQ($G$1, H$3, B20)/100</f>
        <v>3.3161000000000003E-2</v>
      </c>
      <c r="I20" s="15">
        <f>_xll.ciqfunctions.udf.CIQ($G$1, I$3, B20)</f>
        <v>1.3762300000000001</v>
      </c>
      <c r="J20" s="18">
        <f>_xll.ciqfunctions.udf.CIQ($G$1, J$3,  B20)/100</f>
        <v>0.543018</v>
      </c>
      <c r="K20" s="21">
        <f>_xll.ciqfunctions.udf.CIQ($G$1, K$3,  C20)</f>
        <v>46.338799999999999</v>
      </c>
      <c r="L20" s="26">
        <f t="shared" si="0"/>
        <v>1.544405997693195</v>
      </c>
      <c r="M20" s="22">
        <f>_xll.ciqfunctions.udf.CIQ($G$1, M$3,  C20)</f>
        <v>-4017</v>
      </c>
      <c r="N20" s="27">
        <f>_xll.ciqfunctions.udf.CIQ($G$1, N$3, D20)</f>
        <v>128.57</v>
      </c>
      <c r="O20" s="6">
        <f>_xll.ciqfunctions.udf.CIQ($G$1, O$3, D20)</f>
        <v>2.2000000000000002</v>
      </c>
      <c r="P20">
        <f>_xll.ciqfunctions.udf.CIQ($G$1, P$3, B20)</f>
        <v>-758</v>
      </c>
      <c r="Q20">
        <f>_xll.ciqfunctions.udf.CIQ($G$1, Q$3, B20)</f>
        <v>22858</v>
      </c>
      <c r="R20">
        <f>_xll.ciqfunctions.udf.CIQ($G$1, R$3, C20)</f>
        <v>2601</v>
      </c>
      <c r="U20" s="7">
        <f>_xll.ciqfunctions.udf.CIQ($G$1, U$3, C20)</f>
        <v>-4017</v>
      </c>
    </row>
    <row r="21" spans="2:21">
      <c r="B21" t="s">
        <v>18</v>
      </c>
      <c r="C21">
        <v>484</v>
      </c>
      <c r="D21" s="1">
        <v>40148</v>
      </c>
      <c r="E21" s="8">
        <f>_xll.ciqfunctions.udf.CIQ($G$1, E$3,C21)</f>
        <v>40596</v>
      </c>
      <c r="F21" s="12">
        <f>_xll.ciqfunctions.udf.CIQ($G$1,$F$3, , E21)</f>
        <v>8.6446900000000007</v>
      </c>
      <c r="G21" s="31">
        <f>_xll.ciqfunctions.udf.CIQ($G$1, G$3, D21)/100</f>
        <v>1.7195000000000002E-2</v>
      </c>
      <c r="H21" s="31">
        <f>_xll.ciqfunctions.udf.CIQ($G$1, H$3, B21)/100</f>
        <v>4.8693999999999994E-2</v>
      </c>
      <c r="I21" s="15">
        <f>_xll.ciqfunctions.udf.CIQ($G$1, I$3, B21)</f>
        <v>0.83477999999999997</v>
      </c>
      <c r="J21" s="18">
        <f>_xll.ciqfunctions.udf.CIQ($G$1, J$3,  B21)/100</f>
        <v>0.53425299999999998</v>
      </c>
      <c r="K21" s="21">
        <f>_xll.ciqfunctions.udf.CIQ($G$1, K$3,  C21)</f>
        <v>93.345200000000006</v>
      </c>
      <c r="L21" s="26">
        <f t="shared" si="0"/>
        <v>0.63660918346145856</v>
      </c>
      <c r="M21" s="22">
        <f>_xll.ciqfunctions.udf.CIQ($G$1, M$3,  C21)</f>
        <v>-3064</v>
      </c>
      <c r="N21" s="27">
        <f>_xll.ciqfunctions.udf.CIQ($G$1, N$3, D21)</f>
        <v>127.94</v>
      </c>
      <c r="O21" s="6">
        <f>_xll.ciqfunctions.udf.CIQ($G$1, O$3, D21)</f>
        <v>2.2000000000000002</v>
      </c>
      <c r="P21">
        <f>_xll.ciqfunctions.udf.CIQ($G$1, P$3, B21)</f>
        <v>-1326</v>
      </c>
      <c r="Q21">
        <f>_xll.ciqfunctions.udf.CIQ($G$1, Q$3, B21)</f>
        <v>27231</v>
      </c>
      <c r="R21">
        <f>_xll.ciqfunctions.udf.CIQ($G$1, R$3, C21)</f>
        <v>4813</v>
      </c>
      <c r="U21" s="7">
        <f>_xll.ciqfunctions.udf.CIQ($G$1, U$3, C21)</f>
        <v>-3064</v>
      </c>
    </row>
    <row r="22" spans="2:21">
      <c r="B22" t="s">
        <v>19</v>
      </c>
      <c r="C22">
        <v>483</v>
      </c>
      <c r="D22" s="1">
        <v>40057</v>
      </c>
      <c r="E22" s="8">
        <f>_xll.ciqfunctions.udf.CIQ($G$1, E$3,C22)</f>
        <v>40477</v>
      </c>
      <c r="F22" s="12">
        <f>_xll.ciqfunctions.udf.CIQ($G$1,$F$3, , E22)</f>
        <v>7.87202</v>
      </c>
      <c r="G22" s="31">
        <f>_xll.ciqfunctions.udf.CIQ($G$1, G$3, D22)/100</f>
        <v>1.8852999999999998E-2</v>
      </c>
      <c r="H22" s="31">
        <f>_xll.ciqfunctions.udf.CIQ($G$1, H$3, B22)/100</f>
        <v>3.4668000000000004E-2</v>
      </c>
      <c r="I22" s="15">
        <f>_xll.ciqfunctions.udf.CIQ($G$1, I$3, B22)</f>
        <v>1.10615</v>
      </c>
      <c r="J22" s="18">
        <f>_xll.ciqfunctions.udf.CIQ($G$1, J$3,  B22)/100</f>
        <v>0.579318</v>
      </c>
      <c r="K22" s="21">
        <f>_xll.ciqfunctions.udf.CIQ($G$1, K$3,  C22)</f>
        <v>75.694400000000002</v>
      </c>
      <c r="L22" s="26">
        <f t="shared" si="0"/>
        <v>0.28904791537025515</v>
      </c>
      <c r="M22" s="22">
        <f>_xll.ciqfunctions.udf.CIQ($G$1, M$3,  C22)</f>
        <v>-929</v>
      </c>
      <c r="N22" s="27">
        <f>_xll.ciqfunctions.udf.CIQ($G$1, N$3, D22)</f>
        <v>116.69</v>
      </c>
      <c r="O22" s="6">
        <f>_xll.ciqfunctions.udf.CIQ($G$1, O$3, D22)</f>
        <v>2.2000000000000002</v>
      </c>
      <c r="P22">
        <f>_xll.ciqfunctions.udf.CIQ($G$1, P$3, B22)</f>
        <v>-817</v>
      </c>
      <c r="Q22">
        <f>_xll.ciqfunctions.udf.CIQ($G$1, Q$3, B22)</f>
        <v>23566</v>
      </c>
      <c r="R22">
        <f>_xll.ciqfunctions.udf.CIQ($G$1, R$3, C22)</f>
        <v>3214</v>
      </c>
      <c r="U22" s="7">
        <f>_xll.ciqfunctions.udf.CIQ($G$1, U$3, C22)</f>
        <v>-929</v>
      </c>
    </row>
    <row r="23" spans="2:21">
      <c r="B23" t="s">
        <v>20</v>
      </c>
      <c r="C23">
        <v>482</v>
      </c>
      <c r="D23" s="1">
        <v>39965</v>
      </c>
      <c r="E23" s="8">
        <f>_xll.ciqfunctions.udf.CIQ($G$1, E$3,C23)</f>
        <v>40386</v>
      </c>
      <c r="F23" s="12">
        <f>_xll.ciqfunctions.udf.CIQ($G$1,$F$3, , E23)</f>
        <v>7.31677</v>
      </c>
      <c r="G23" s="31">
        <f>_xll.ciqfunctions.udf.CIQ($G$1, G$3, D23)/100</f>
        <v>2.0299999999999999E-2</v>
      </c>
      <c r="H23" s="31">
        <f>_xll.ciqfunctions.udf.CIQ($G$1, H$3, B23)/100</f>
        <v>3.0320999999999997E-2</v>
      </c>
      <c r="I23" s="15">
        <f>_xll.ciqfunctions.udf.CIQ($G$1, I$3, B23)</f>
        <v>1.3008299999999999</v>
      </c>
      <c r="J23" s="18">
        <f>_xll.ciqfunctions.udf.CIQ($G$1, J$3,  B23)/100</f>
        <v>0.65499799999999997</v>
      </c>
      <c r="K23" s="21">
        <f>_xll.ciqfunctions.udf.CIQ($G$1, K$3,  C23)</f>
        <v>85.1096</v>
      </c>
      <c r="L23" s="26">
        <f t="shared" si="0"/>
        <v>0.53851111827263942</v>
      </c>
      <c r="M23" s="22">
        <f>_xll.ciqfunctions.udf.CIQ($G$1, M$3,  C23)</f>
        <v>-1671</v>
      </c>
      <c r="N23" s="27">
        <f>_xll.ciqfunctions.udf.CIQ($G$1, N$3, D23)</f>
        <v>108.37</v>
      </c>
      <c r="O23" s="6">
        <f>_xll.ciqfunctions.udf.CIQ($G$1, O$3, D23)</f>
        <v>2.2000000000000002</v>
      </c>
      <c r="P23">
        <f>_xll.ciqfunctions.udf.CIQ($G$1, P$3, B23)</f>
        <v>-705</v>
      </c>
      <c r="Q23">
        <f>_xll.ciqfunctions.udf.CIQ($G$1, Q$3, B23)</f>
        <v>23251</v>
      </c>
      <c r="R23">
        <f>_xll.ciqfunctions.udf.CIQ($G$1, R$3, C23)</f>
        <v>3103</v>
      </c>
      <c r="U23" s="7">
        <f>_xll.ciqfunctions.udf.CIQ($G$1, U$3, C23)</f>
        <v>-1671</v>
      </c>
    </row>
    <row r="24" spans="2:21">
      <c r="B24" t="s">
        <v>21</v>
      </c>
      <c r="C24">
        <v>481</v>
      </c>
      <c r="D24" s="1">
        <v>39873</v>
      </c>
      <c r="E24" s="8">
        <f>_xll.ciqfunctions.udf.CIQ($G$1, E$3,C24)</f>
        <v>40295</v>
      </c>
      <c r="F24" s="12">
        <f>_xll.ciqfunctions.udf.CIQ($G$1,$F$3, , E24)</f>
        <v>7.3918400000000002</v>
      </c>
      <c r="G24" s="31">
        <f>_xll.ciqfunctions.udf.CIQ($G$1, G$3, D24)/100</f>
        <v>2.1732000000000001E-2</v>
      </c>
      <c r="H24" s="31">
        <f>_xll.ciqfunctions.udf.CIQ($G$1, H$3, B24)/100</f>
        <v>2.7589000000000002E-2</v>
      </c>
      <c r="I24" s="15">
        <f>_xll.ciqfunctions.udf.CIQ($G$1, I$3, B24)</f>
        <v>1.7410099999999999</v>
      </c>
      <c r="J24" s="18">
        <f>_xll.ciqfunctions.udf.CIQ($G$1, J$3,  B24)/100</f>
        <v>0.69345600000000007</v>
      </c>
      <c r="K24" s="21">
        <f>_xll.ciqfunctions.udf.CIQ($G$1, K$3,  C24)</f>
        <v>67.309200000000004</v>
      </c>
      <c r="L24" s="26">
        <f t="shared" si="0"/>
        <v>0.76906318082788672</v>
      </c>
      <c r="M24" s="22">
        <f>_xll.ciqfunctions.udf.CIQ($G$1, M$3,  C24)</f>
        <v>-1765</v>
      </c>
      <c r="N24" s="27">
        <f>_xll.ciqfunctions.udf.CIQ($G$1, N$3, D24)</f>
        <v>92.03</v>
      </c>
      <c r="O24" s="6">
        <f>_xll.ciqfunctions.udf.CIQ($G$1, O$3, D24)</f>
        <v>2</v>
      </c>
      <c r="P24">
        <f>_xll.ciqfunctions.udf.CIQ($G$1, P$3, B24)</f>
        <v>-599</v>
      </c>
      <c r="Q24">
        <f>_xll.ciqfunctions.udf.CIQ($G$1, Q$3, B24)</f>
        <v>21711</v>
      </c>
      <c r="R24">
        <f>_xll.ciqfunctions.udf.CIQ($G$1, R$3, C24)</f>
        <v>2295</v>
      </c>
      <c r="U24" s="7">
        <f>_xll.ciqfunctions.udf.CIQ($G$1, U$3, C24)</f>
        <v>-1765</v>
      </c>
    </row>
    <row r="25" spans="2:21">
      <c r="B25" t="s">
        <v>22</v>
      </c>
      <c r="C25">
        <v>480</v>
      </c>
      <c r="D25" s="1">
        <v>39783</v>
      </c>
      <c r="E25" s="8">
        <f>_xll.ciqfunctions.udf.CIQ($G$1, E$3,C25)</f>
        <v>40232</v>
      </c>
      <c r="F25" s="12">
        <f>_xll.ciqfunctions.udf.CIQ($G$1,$F$3, , E25)</f>
        <v>7.4587899999999996</v>
      </c>
      <c r="G25" s="31">
        <f>_xll.ciqfunctions.udf.CIQ($G$1, G$3, D25)/100</f>
        <v>2.6006999999999999E-2</v>
      </c>
      <c r="H25" s="31">
        <f>_xll.ciqfunctions.udf.CIQ($G$1, H$3, B25)/100</f>
        <v>4.5175E-2</v>
      </c>
      <c r="I25" s="15">
        <f>_xll.ciqfunctions.udf.CIQ($G$1, I$3, B25)</f>
        <v>1.0993200000000001</v>
      </c>
      <c r="J25" s="18">
        <f>_xll.ciqfunctions.udf.CIQ($G$1, J$3,  B25)/100</f>
        <v>0.71407500000000002</v>
      </c>
      <c r="K25" s="21">
        <f>_xll.ciqfunctions.udf.CIQ($G$1, K$3,  C25)</f>
        <v>86.164000000000001</v>
      </c>
      <c r="L25" s="26">
        <f t="shared" si="0"/>
        <v>0.16715608764400272</v>
      </c>
      <c r="M25" s="22">
        <f>_xll.ciqfunctions.udf.CIQ($G$1, M$3,  C25)</f>
        <v>-740</v>
      </c>
      <c r="N25" s="27">
        <f>_xll.ciqfunctions.udf.CIQ($G$1, N$3, D25)</f>
        <v>76.900000000000006</v>
      </c>
      <c r="O25" s="6">
        <f>_xll.ciqfunctions.udf.CIQ($G$1, O$3, D25)</f>
        <v>2</v>
      </c>
      <c r="P25">
        <f>_xll.ciqfunctions.udf.CIQ($G$1, P$3, B25)</f>
        <v>-1220</v>
      </c>
      <c r="Q25">
        <f>_xll.ciqfunctions.udf.CIQ($G$1, Q$3, B25)</f>
        <v>27006</v>
      </c>
      <c r="R25">
        <f>_xll.ciqfunctions.udf.CIQ($G$1, R$3, C25)</f>
        <v>4427</v>
      </c>
      <c r="U25" s="7">
        <f>_xll.ciqfunctions.udf.CIQ($G$1, U$3, C25)</f>
        <v>-740</v>
      </c>
    </row>
    <row r="27" spans="2:21">
      <c r="B27" s="9"/>
      <c r="C27" s="2"/>
      <c r="D27" s="9"/>
      <c r="F27" s="12"/>
      <c r="G27" s="14"/>
      <c r="H27" s="14"/>
      <c r="I27" s="14"/>
      <c r="J27" s="14"/>
      <c r="K27" s="19"/>
      <c r="L27" s="19"/>
      <c r="M27" s="19"/>
    </row>
    <row r="28" spans="2:21">
      <c r="B28" t="s">
        <v>2</v>
      </c>
      <c r="C28">
        <v>500</v>
      </c>
      <c r="D28" s="1">
        <v>41305</v>
      </c>
      <c r="E28" s="8">
        <f>_xll.ciqfunctions.udf.CIQ($G$1, E$3,C28)</f>
        <v>41695</v>
      </c>
      <c r="F28" s="12" t="str">
        <f>_xll.ciqfunctions.udf.CIQ($H$1,$F$3, , E28)</f>
        <v>(Invalid Identifier)</v>
      </c>
      <c r="G28" s="12" t="e">
        <f>_xll.ciqfunctions.udf.CIQ($H$1, G$3, D28)/100</f>
        <v>#VALUE!</v>
      </c>
      <c r="H28" s="12" t="e">
        <f>_xll.ciqfunctions.udf.CIQ($H$1, H$3, B28)/100</f>
        <v>#VALUE!</v>
      </c>
      <c r="I28" s="15" t="str">
        <f>_xll.ciqfunctions.udf.CIQ($H$1, I$3, B28)</f>
        <v>(Invalid Identifier)</v>
      </c>
      <c r="J28" s="18" t="e">
        <f>_xll.ciqfunctions.udf.CIQ($H$1, J$3,  B28)/100</f>
        <v>#VALUE!</v>
      </c>
      <c r="K28" s="20"/>
      <c r="L28" s="20"/>
      <c r="M28" s="20"/>
    </row>
    <row r="29" spans="2:21">
      <c r="B29" t="s">
        <v>3</v>
      </c>
      <c r="C29">
        <v>499</v>
      </c>
      <c r="D29" s="3">
        <v>41546</v>
      </c>
      <c r="E29" s="8">
        <f>_xll.ciqfunctions.udf.CIQ($G$1, E$3,C29)</f>
        <v>41576</v>
      </c>
      <c r="F29" s="12" t="str">
        <f>_xll.ciqfunctions.udf.CIQ($H$1,$F$3, , E29)</f>
        <v>(Invalid Identifier)</v>
      </c>
      <c r="G29" s="12" t="e">
        <f>_xll.ciqfunctions.udf.CIQ($H$1, G$3, D29)/100</f>
        <v>#VALUE!</v>
      </c>
      <c r="H29" s="12" t="e">
        <f>_xll.ciqfunctions.udf.CIQ($H$1, H$3, B29)/100</f>
        <v>#VALUE!</v>
      </c>
      <c r="I29" s="15" t="str">
        <f>_xll.ciqfunctions.udf.CIQ($H$1, I$3, B29)</f>
        <v>(Invalid Identifier)</v>
      </c>
      <c r="J29" s="18" t="e">
        <f>_xll.ciqfunctions.udf.CIQ($H$1, J$3,  B29)/100</f>
        <v>#VALUE!</v>
      </c>
      <c r="K29" s="20"/>
      <c r="L29" s="20"/>
      <c r="M29" s="20"/>
    </row>
    <row r="30" spans="2:21">
      <c r="B30" t="s">
        <v>4</v>
      </c>
      <c r="C30">
        <v>498</v>
      </c>
      <c r="D30" s="3">
        <v>41426</v>
      </c>
      <c r="E30" s="8">
        <f>_xll.ciqfunctions.udf.CIQ($G$1, E$3,C30)</f>
        <v>41486</v>
      </c>
      <c r="F30" s="12" t="str">
        <f>_xll.ciqfunctions.udf.CIQ($H$1,$F$3, , E30)</f>
        <v>(Invalid Identifier)</v>
      </c>
      <c r="G30" s="12" t="e">
        <f>_xll.ciqfunctions.udf.CIQ($H$1, G$3, D30)/100</f>
        <v>#VALUE!</v>
      </c>
      <c r="H30" s="12" t="e">
        <f>_xll.ciqfunctions.udf.CIQ($H$1, H$3, B30)/100</f>
        <v>#VALUE!</v>
      </c>
      <c r="I30" s="15" t="str">
        <f>_xll.ciqfunctions.udf.CIQ($H$1, I$3, B30)</f>
        <v>(Invalid Identifier)</v>
      </c>
      <c r="J30" s="18" t="e">
        <f>_xll.ciqfunctions.udf.CIQ($H$1, J$3,  B30)/100</f>
        <v>#VALUE!</v>
      </c>
      <c r="K30" s="20"/>
      <c r="L30" s="20"/>
      <c r="M30" s="20"/>
    </row>
    <row r="31" spans="2:21">
      <c r="B31" t="s">
        <v>5</v>
      </c>
      <c r="C31">
        <v>497</v>
      </c>
      <c r="D31" s="4">
        <v>41346</v>
      </c>
      <c r="E31" s="8">
        <f>_xll.ciqfunctions.udf.CIQ($G$1, E$3,C31)</f>
        <v>41394</v>
      </c>
      <c r="F31" s="12" t="str">
        <f>_xll.ciqfunctions.udf.CIQ($H$1,$F$3, , E31)</f>
        <v>(Invalid Identifier)</v>
      </c>
      <c r="G31" s="12" t="e">
        <f>_xll.ciqfunctions.udf.CIQ($H$1, G$3, D31)/100</f>
        <v>#VALUE!</v>
      </c>
      <c r="H31" s="12" t="e">
        <f>_xll.ciqfunctions.udf.CIQ($H$1, H$3, B31)/100</f>
        <v>#VALUE!</v>
      </c>
      <c r="I31" s="15" t="str">
        <f>_xll.ciqfunctions.udf.CIQ($H$1, I$3, B31)</f>
        <v>(Invalid Identifier)</v>
      </c>
      <c r="J31" s="18" t="e">
        <f>_xll.ciqfunctions.udf.CIQ($H$1, J$3,  B31)/100</f>
        <v>#VALUE!</v>
      </c>
      <c r="K31" s="20"/>
      <c r="L31" s="20"/>
      <c r="M31" s="20"/>
    </row>
    <row r="32" spans="2:21">
      <c r="B32" t="s">
        <v>6</v>
      </c>
      <c r="C32">
        <v>496</v>
      </c>
      <c r="D32" s="4">
        <v>41620</v>
      </c>
      <c r="E32" s="8">
        <f>_xll.ciqfunctions.udf.CIQ($G$1, E$3,C32)</f>
        <v>41695</v>
      </c>
      <c r="F32" s="12" t="str">
        <f>_xll.ciqfunctions.udf.CIQ($H$1,$F$3, , E32)</f>
        <v>(Invalid Identifier)</v>
      </c>
      <c r="G32" s="12" t="e">
        <f>_xll.ciqfunctions.udf.CIQ($H$1, G$3, D32)/100</f>
        <v>#VALUE!</v>
      </c>
      <c r="H32" s="12" t="e">
        <f>_xll.ciqfunctions.udf.CIQ($H$1, H$3, B32)/100</f>
        <v>#VALUE!</v>
      </c>
      <c r="I32" s="15" t="str">
        <f>_xll.ciqfunctions.udf.CIQ($H$1, I$3, B32)</f>
        <v>(Invalid Identifier)</v>
      </c>
      <c r="J32" s="18" t="e">
        <f>_xll.ciqfunctions.udf.CIQ($H$1, J$3,  B32)/100</f>
        <v>#VALUE!</v>
      </c>
      <c r="K32" s="20"/>
      <c r="L32" s="20"/>
      <c r="M32" s="20"/>
    </row>
    <row r="33" spans="2:21">
      <c r="B33" t="s">
        <v>7</v>
      </c>
      <c r="C33">
        <v>495</v>
      </c>
      <c r="D33" s="4">
        <v>41529</v>
      </c>
      <c r="E33" s="8">
        <f>_xll.ciqfunctions.udf.CIQ($G$1, E$3,C33)</f>
        <v>41576</v>
      </c>
      <c r="F33" s="12" t="str">
        <f>_xll.ciqfunctions.udf.CIQ($H$1,$F$3, , E33)</f>
        <v>(Invalid Identifier)</v>
      </c>
      <c r="G33" s="12" t="e">
        <f>_xll.ciqfunctions.udf.CIQ($H$1, G$3, D33)/100</f>
        <v>#VALUE!</v>
      </c>
      <c r="H33" s="12" t="e">
        <f>_xll.ciqfunctions.udf.CIQ($H$1, H$3, B33)/100</f>
        <v>#VALUE!</v>
      </c>
      <c r="I33" s="15" t="str">
        <f>_xll.ciqfunctions.udf.CIQ($H$1, I$3, B33)</f>
        <v>(Invalid Identifier)</v>
      </c>
      <c r="J33" s="18" t="e">
        <f>_xll.ciqfunctions.udf.CIQ($H$1, J$3,  B33)/100</f>
        <v>#VALUE!</v>
      </c>
      <c r="K33" s="20"/>
      <c r="L33" s="20"/>
      <c r="M33" s="20"/>
    </row>
    <row r="34" spans="2:21">
      <c r="B34" t="s">
        <v>8</v>
      </c>
      <c r="C34">
        <v>494</v>
      </c>
      <c r="D34" s="4">
        <v>41437</v>
      </c>
      <c r="E34" s="8">
        <f>_xll.ciqfunctions.udf.CIQ($G$1, E$3,C34)</f>
        <v>41486</v>
      </c>
      <c r="F34" s="12" t="str">
        <f>_xll.ciqfunctions.udf.CIQ($H$1,$F$3, , E34)</f>
        <v>(Invalid Identifier)</v>
      </c>
      <c r="G34" s="12" t="e">
        <f>_xll.ciqfunctions.udf.CIQ($H$1, G$3, D34)/100</f>
        <v>#VALUE!</v>
      </c>
      <c r="H34" s="12" t="e">
        <f>_xll.ciqfunctions.udf.CIQ($H$1, H$3, B34)/100</f>
        <v>#VALUE!</v>
      </c>
      <c r="I34" s="15" t="str">
        <f>_xll.ciqfunctions.udf.CIQ($H$1, I$3, B34)</f>
        <v>(Invalid Identifier)</v>
      </c>
      <c r="J34" s="18" t="e">
        <f>_xll.ciqfunctions.udf.CIQ($H$1, J$3,  B34)/100</f>
        <v>#VALUE!</v>
      </c>
      <c r="K34" s="20"/>
      <c r="L34" s="20"/>
      <c r="M34" s="20"/>
    </row>
    <row r="35" spans="2:21">
      <c r="B35" t="s">
        <v>9</v>
      </c>
      <c r="C35">
        <v>493</v>
      </c>
      <c r="D35" s="1">
        <v>40969</v>
      </c>
      <c r="E35" s="8">
        <f>_xll.ciqfunctions.udf.CIQ($G$1, E$3,C35)</f>
        <v>41394</v>
      </c>
      <c r="F35" s="12" t="str">
        <f>_xll.ciqfunctions.udf.CIQ($H$1,$F$3, , E35)</f>
        <v>(Invalid Identifier)</v>
      </c>
      <c r="G35" s="12" t="e">
        <f>_xll.ciqfunctions.udf.CIQ($H$1, G$3, D35)/100</f>
        <v>#VALUE!</v>
      </c>
      <c r="H35" s="12" t="e">
        <f>_xll.ciqfunctions.udf.CIQ($H$1, H$3, B35)/100</f>
        <v>#VALUE!</v>
      </c>
      <c r="I35" s="15" t="str">
        <f>_xll.ciqfunctions.udf.CIQ($H$1, I$3, B35)</f>
        <v>(Invalid Identifier)</v>
      </c>
      <c r="J35" s="18" t="e">
        <f>_xll.ciqfunctions.udf.CIQ($H$1, J$3,  B35)/100</f>
        <v>#VALUE!</v>
      </c>
      <c r="K35" s="20"/>
      <c r="L35" s="20"/>
      <c r="M35" s="20"/>
    </row>
    <row r="36" spans="2:21">
      <c r="B36" t="s">
        <v>10</v>
      </c>
      <c r="C36">
        <v>492</v>
      </c>
      <c r="D36" s="1">
        <v>40878</v>
      </c>
      <c r="E36" s="8">
        <f>_xll.ciqfunctions.udf.CIQ($G$1, E$3,C36)</f>
        <v>41331</v>
      </c>
      <c r="F36" s="12" t="str">
        <f>_xll.ciqfunctions.udf.CIQ($H$1,$F$3, , E36)</f>
        <v>(Invalid Identifier)</v>
      </c>
      <c r="G36" s="12" t="e">
        <f>_xll.ciqfunctions.udf.CIQ($H$1, G$3, D36)/100</f>
        <v>#VALUE!</v>
      </c>
      <c r="H36" s="12" t="e">
        <f>_xll.ciqfunctions.udf.CIQ($H$1, H$3, B36)/100</f>
        <v>#VALUE!</v>
      </c>
      <c r="I36" s="15" t="str">
        <f>_xll.ciqfunctions.udf.CIQ($H$1, I$3, B36)</f>
        <v>(Invalid Identifier)</v>
      </c>
      <c r="J36" s="18" t="e">
        <f>_xll.ciqfunctions.udf.CIQ($H$1, J$3,  B36)/100</f>
        <v>#VALUE!</v>
      </c>
      <c r="K36" s="20"/>
      <c r="L36" s="20"/>
      <c r="M36" s="20"/>
    </row>
    <row r="37" spans="2:21">
      <c r="B37" t="s">
        <v>11</v>
      </c>
      <c r="C37">
        <v>491</v>
      </c>
      <c r="D37" s="1">
        <v>40787</v>
      </c>
      <c r="E37" s="8">
        <f>_xll.ciqfunctions.udf.CIQ($G$1, E$3,C37)</f>
        <v>41212</v>
      </c>
      <c r="F37" s="12" t="str">
        <f>_xll.ciqfunctions.udf.CIQ($H$1,$F$3, , E37)</f>
        <v>(Invalid Identifier)</v>
      </c>
      <c r="G37" s="12" t="e">
        <f>_xll.ciqfunctions.udf.CIQ($H$1, G$3, D37)/100</f>
        <v>#VALUE!</v>
      </c>
      <c r="H37" s="12" t="e">
        <f>_xll.ciqfunctions.udf.CIQ($H$1, H$3, B37)/100</f>
        <v>#VALUE!</v>
      </c>
      <c r="I37" s="15" t="str">
        <f>_xll.ciqfunctions.udf.CIQ($H$1, I$3, B37)</f>
        <v>(Invalid Identifier)</v>
      </c>
      <c r="J37" s="18" t="e">
        <f>_xll.ciqfunctions.udf.CIQ($H$1, J$3,  B37)/100</f>
        <v>#VALUE!</v>
      </c>
      <c r="K37" s="20"/>
      <c r="L37" s="20"/>
      <c r="M37" s="20"/>
    </row>
    <row r="38" spans="2:21">
      <c r="B38" t="s">
        <v>12</v>
      </c>
      <c r="C38">
        <v>490</v>
      </c>
      <c r="D38" s="1">
        <v>40695</v>
      </c>
      <c r="E38" s="8">
        <f>_xll.ciqfunctions.udf.CIQ($G$1, E$3,C38)</f>
        <v>41121</v>
      </c>
      <c r="F38" s="12" t="str">
        <f>_xll.ciqfunctions.udf.CIQ($H$1,$F$3, , E38)</f>
        <v>(Invalid Identifier)</v>
      </c>
      <c r="G38" s="12" t="e">
        <f>_xll.ciqfunctions.udf.CIQ($H$1, G$3, D38)/100</f>
        <v>#VALUE!</v>
      </c>
      <c r="H38" s="12" t="e">
        <f>_xll.ciqfunctions.udf.CIQ($H$1, H$3, B38)/100</f>
        <v>#VALUE!</v>
      </c>
      <c r="I38" s="15" t="str">
        <f>_xll.ciqfunctions.udf.CIQ($H$1, I$3, B38)</f>
        <v>(Invalid Identifier)</v>
      </c>
      <c r="J38" s="18" t="e">
        <f>_xll.ciqfunctions.udf.CIQ($H$1, J$3,  B38)/100</f>
        <v>#VALUE!</v>
      </c>
      <c r="K38" s="20"/>
      <c r="L38" s="20"/>
      <c r="M38" s="20"/>
    </row>
    <row r="39" spans="2:21">
      <c r="B39" t="s">
        <v>13</v>
      </c>
      <c r="C39">
        <v>489</v>
      </c>
      <c r="D39" s="1">
        <v>40603</v>
      </c>
      <c r="E39" s="8">
        <f>_xll.ciqfunctions.udf.CIQ($G$1, E$3,C39)</f>
        <v>41023</v>
      </c>
      <c r="F39" s="12" t="str">
        <f>_xll.ciqfunctions.udf.CIQ($H$1,$F$3, , E39)</f>
        <v>(Invalid Identifier)</v>
      </c>
      <c r="G39" s="12" t="e">
        <f>_xll.ciqfunctions.udf.CIQ($H$1, G$3, D39)/100</f>
        <v>#VALUE!</v>
      </c>
      <c r="H39" s="12" t="e">
        <f>_xll.ciqfunctions.udf.CIQ($H$1, H$3, B39)/100</f>
        <v>#VALUE!</v>
      </c>
      <c r="I39" s="15" t="str">
        <f>_xll.ciqfunctions.udf.CIQ($H$1, I$3, B39)</f>
        <v>(Invalid Identifier)</v>
      </c>
      <c r="J39" s="18" t="e">
        <f>_xll.ciqfunctions.udf.CIQ($H$1, J$3,  B39)/100</f>
        <v>#VALUE!</v>
      </c>
      <c r="K39" s="20"/>
      <c r="L39" s="20"/>
      <c r="M39" s="20"/>
    </row>
    <row r="40" spans="2:21">
      <c r="B40" t="s">
        <v>14</v>
      </c>
      <c r="C40">
        <v>488</v>
      </c>
      <c r="D40" s="1">
        <v>40513</v>
      </c>
      <c r="E40" s="8">
        <f>_xll.ciqfunctions.udf.CIQ($G$1, E$3,C40)</f>
        <v>40967</v>
      </c>
      <c r="F40" s="12" t="str">
        <f>_xll.ciqfunctions.udf.CIQ($H$1,$F$3, , E40)</f>
        <v>(Invalid Identifier)</v>
      </c>
      <c r="G40" s="12" t="e">
        <f>_xll.ciqfunctions.udf.CIQ($H$1, G$3, D40)/100</f>
        <v>#VALUE!</v>
      </c>
      <c r="H40" s="12" t="e">
        <f>_xll.ciqfunctions.udf.CIQ($H$1, H$3, B40)/100</f>
        <v>#VALUE!</v>
      </c>
      <c r="I40" s="15" t="str">
        <f>_xll.ciqfunctions.udf.CIQ($H$1, I$3, B40)</f>
        <v>(Invalid Identifier)</v>
      </c>
      <c r="J40" s="18" t="e">
        <f>_xll.ciqfunctions.udf.CIQ($H$1, J$3,  B40)/100</f>
        <v>#VALUE!</v>
      </c>
      <c r="K40" s="20"/>
      <c r="L40" s="20"/>
      <c r="M40" s="20"/>
    </row>
    <row r="41" spans="2:21">
      <c r="B41" t="s">
        <v>15</v>
      </c>
      <c r="C41">
        <v>487</v>
      </c>
      <c r="D41" s="1">
        <v>40422</v>
      </c>
      <c r="E41" s="8">
        <f>_xll.ciqfunctions.udf.CIQ($G$1, E$3,C41)</f>
        <v>40841</v>
      </c>
      <c r="F41" s="12" t="str">
        <f>_xll.ciqfunctions.udf.CIQ($H$1,$F$3, , E41)</f>
        <v>(Invalid Identifier)</v>
      </c>
      <c r="G41" s="12" t="e">
        <f>_xll.ciqfunctions.udf.CIQ($H$1, G$3, D41)/100</f>
        <v>#VALUE!</v>
      </c>
      <c r="H41" s="12" t="e">
        <f>_xll.ciqfunctions.udf.CIQ($H$1, H$3, B41)/100</f>
        <v>#VALUE!</v>
      </c>
      <c r="I41" s="15" t="str">
        <f>_xll.ciqfunctions.udf.CIQ($H$1, I$3, B41)</f>
        <v>(Invalid Identifier)</v>
      </c>
      <c r="J41" s="18" t="e">
        <f>_xll.ciqfunctions.udf.CIQ($H$1, J$3,  B41)/100</f>
        <v>#VALUE!</v>
      </c>
      <c r="K41" s="20"/>
      <c r="L41" s="20"/>
      <c r="M41" s="20"/>
    </row>
    <row r="42" spans="2:21">
      <c r="B42" t="s">
        <v>16</v>
      </c>
      <c r="C42">
        <v>486</v>
      </c>
      <c r="D42" s="1">
        <v>40330</v>
      </c>
      <c r="E42" s="8">
        <f>_xll.ciqfunctions.udf.CIQ($G$1, E$3,C42)</f>
        <v>40750</v>
      </c>
      <c r="F42" s="12" t="str">
        <f>_xll.ciqfunctions.udf.CIQ($H$1,$F$3, , E42)</f>
        <v>(Invalid Identifier)</v>
      </c>
      <c r="G42" s="12" t="e">
        <f>_xll.ciqfunctions.udf.CIQ($H$1, G$3, D42)/100</f>
        <v>#VALUE!</v>
      </c>
      <c r="H42" s="12" t="e">
        <f>_xll.ciqfunctions.udf.CIQ($H$1, H$3, B42)/100</f>
        <v>#VALUE!</v>
      </c>
      <c r="I42" s="15" t="str">
        <f>_xll.ciqfunctions.udf.CIQ($H$1, I$3, B42)</f>
        <v>(Invalid Identifier)</v>
      </c>
      <c r="J42" s="18" t="e">
        <f>_xll.ciqfunctions.udf.CIQ($H$1, J$3,  B42)/100</f>
        <v>#VALUE!</v>
      </c>
      <c r="K42" s="20"/>
      <c r="L42" s="20"/>
      <c r="M42" s="20"/>
    </row>
    <row r="43" spans="2:21">
      <c r="B43" t="s">
        <v>17</v>
      </c>
      <c r="C43">
        <v>485</v>
      </c>
      <c r="D43" s="1">
        <v>40238</v>
      </c>
      <c r="E43" s="8">
        <f>_xll.ciqfunctions.udf.CIQ($G$1, E$3,C43)</f>
        <v>40659</v>
      </c>
      <c r="F43" s="12" t="str">
        <f>_xll.ciqfunctions.udf.CIQ($H$1,$F$3, , E43)</f>
        <v>(Invalid Identifier)</v>
      </c>
      <c r="G43" s="12" t="e">
        <f>_xll.ciqfunctions.udf.CIQ($H$1, G$3, D43)/100</f>
        <v>#VALUE!</v>
      </c>
      <c r="H43" s="12" t="e">
        <f>_xll.ciqfunctions.udf.CIQ($H$1, H$3, B43)/100</f>
        <v>#VALUE!</v>
      </c>
      <c r="I43" s="15" t="str">
        <f>_xll.ciqfunctions.udf.CIQ($H$1, I$3, B43)</f>
        <v>(Invalid Identifier)</v>
      </c>
      <c r="J43" s="18" t="e">
        <f>_xll.ciqfunctions.udf.CIQ($H$1, J$3,  B43)/100</f>
        <v>#VALUE!</v>
      </c>
      <c r="K43" s="20"/>
      <c r="L43" s="20"/>
      <c r="M43" s="20"/>
    </row>
    <row r="44" spans="2:21">
      <c r="B44" t="s">
        <v>18</v>
      </c>
      <c r="C44">
        <v>484</v>
      </c>
      <c r="D44" s="1">
        <v>40148</v>
      </c>
      <c r="E44" s="8">
        <f>_xll.ciqfunctions.udf.CIQ($G$1, E$3,C44)</f>
        <v>40596</v>
      </c>
      <c r="F44" s="12" t="str">
        <f>_xll.ciqfunctions.udf.CIQ($H$1,$F$3, , E44)</f>
        <v>(Invalid Identifier)</v>
      </c>
      <c r="G44" s="12" t="e">
        <f>_xll.ciqfunctions.udf.CIQ($H$1, G$3, D44)/100</f>
        <v>#VALUE!</v>
      </c>
      <c r="H44" s="12" t="e">
        <f>_xll.ciqfunctions.udf.CIQ($H$1, H$3, B44)/100</f>
        <v>#VALUE!</v>
      </c>
      <c r="I44" s="15" t="str">
        <f>_xll.ciqfunctions.udf.CIQ($H$1, I$3, B44)</f>
        <v>(Invalid Identifier)</v>
      </c>
      <c r="J44" s="18" t="e">
        <f>_xll.ciqfunctions.udf.CIQ($H$1, J$3,  B44)/100</f>
        <v>#VALUE!</v>
      </c>
      <c r="K44" s="20"/>
      <c r="L44" s="20"/>
      <c r="M44" s="20"/>
    </row>
    <row r="45" spans="2:21">
      <c r="B45" t="s">
        <v>19</v>
      </c>
      <c r="C45">
        <v>483</v>
      </c>
      <c r="D45" s="1">
        <v>40057</v>
      </c>
      <c r="E45" s="8">
        <f>_xll.ciqfunctions.udf.CIQ($G$1, E$3,C45)</f>
        <v>40477</v>
      </c>
      <c r="F45" s="12" t="str">
        <f>_xll.ciqfunctions.udf.CIQ($H$1,$F$3, , E45)</f>
        <v>(Invalid Identifier)</v>
      </c>
      <c r="G45" s="12" t="e">
        <f>_xll.ciqfunctions.udf.CIQ($H$1, G$3, D45)/100</f>
        <v>#VALUE!</v>
      </c>
      <c r="H45" s="12" t="e">
        <f>_xll.ciqfunctions.udf.CIQ($H$1, H$3, B45)/100</f>
        <v>#VALUE!</v>
      </c>
      <c r="I45" s="15" t="str">
        <f>_xll.ciqfunctions.udf.CIQ($H$1, I$3, B45)</f>
        <v>(Invalid Identifier)</v>
      </c>
      <c r="J45" s="18" t="e">
        <f>_xll.ciqfunctions.udf.CIQ($H$1, J$3,  B45)/100</f>
        <v>#VALUE!</v>
      </c>
      <c r="K45" s="20"/>
      <c r="L45" s="20"/>
      <c r="M45" s="20"/>
      <c r="U45" s="10"/>
    </row>
    <row r="46" spans="2:21">
      <c r="B46" t="s">
        <v>20</v>
      </c>
      <c r="C46">
        <v>482</v>
      </c>
      <c r="D46" s="1">
        <v>39965</v>
      </c>
      <c r="E46" s="8">
        <f>_xll.ciqfunctions.udf.CIQ($G$1, E$3,C46)</f>
        <v>40386</v>
      </c>
      <c r="F46" s="12" t="str">
        <f>_xll.ciqfunctions.udf.CIQ($H$1,$F$3, , E46)</f>
        <v>(Invalid Identifier)</v>
      </c>
      <c r="G46" s="12" t="e">
        <f>_xll.ciqfunctions.udf.CIQ($H$1, G$3, D46)/100</f>
        <v>#VALUE!</v>
      </c>
      <c r="H46" s="12" t="e">
        <f>_xll.ciqfunctions.udf.CIQ($H$1, H$3, B46)/100</f>
        <v>#VALUE!</v>
      </c>
      <c r="I46" s="15" t="str">
        <f>_xll.ciqfunctions.udf.CIQ($H$1, I$3, B46)</f>
        <v>(Invalid Identifier)</v>
      </c>
      <c r="J46" s="18" t="e">
        <f>_xll.ciqfunctions.udf.CIQ($H$1, J$3,  B46)/100</f>
        <v>#VALUE!</v>
      </c>
      <c r="K46" s="20"/>
      <c r="L46" s="20"/>
      <c r="M46" s="20"/>
    </row>
    <row r="47" spans="2:21">
      <c r="B47" t="s">
        <v>21</v>
      </c>
      <c r="C47">
        <v>481</v>
      </c>
      <c r="D47" s="1">
        <v>39873</v>
      </c>
      <c r="E47" s="8">
        <f>_xll.ciqfunctions.udf.CIQ($G$1, E$3,C47)</f>
        <v>40295</v>
      </c>
      <c r="F47" s="12" t="str">
        <f>_xll.ciqfunctions.udf.CIQ($H$1,$F$3, , E47)</f>
        <v>(Invalid Identifier)</v>
      </c>
      <c r="G47" s="12" t="e">
        <f>_xll.ciqfunctions.udf.CIQ($H$1, G$3, D47)/100</f>
        <v>#VALUE!</v>
      </c>
      <c r="H47" s="12" t="e">
        <f>_xll.ciqfunctions.udf.CIQ($H$1, H$3, B47)/100</f>
        <v>#VALUE!</v>
      </c>
      <c r="I47" s="15" t="str">
        <f>_xll.ciqfunctions.udf.CIQ($H$1, I$3, B47)</f>
        <v>(Invalid Identifier)</v>
      </c>
      <c r="J47" s="18" t="e">
        <f>_xll.ciqfunctions.udf.CIQ($H$1, J$3,  B47)/100</f>
        <v>#VALUE!</v>
      </c>
      <c r="K47" s="20"/>
      <c r="L47" s="20"/>
      <c r="M47" s="20"/>
    </row>
    <row r="48" spans="2:21">
      <c r="B48" t="s">
        <v>22</v>
      </c>
      <c r="C48">
        <v>480</v>
      </c>
      <c r="D48" s="1">
        <v>39783</v>
      </c>
      <c r="E48" s="8">
        <f>_xll.ciqfunctions.udf.CIQ($G$1, E$3,C48)</f>
        <v>40232</v>
      </c>
      <c r="F48" s="12" t="str">
        <f>_xll.ciqfunctions.udf.CIQ($H$1,$F$3, , E48)</f>
        <v>(Invalid Identifier)</v>
      </c>
      <c r="G48" s="12" t="e">
        <f>_xll.ciqfunctions.udf.CIQ($H$1, G$3, D48)/100</f>
        <v>#VALUE!</v>
      </c>
      <c r="H48" s="12" t="e">
        <f>_xll.ciqfunctions.udf.CIQ($H$1, H$3, B48)/100</f>
        <v>#VALUE!</v>
      </c>
      <c r="I48" s="15" t="str">
        <f>_xll.ciqfunctions.udf.CIQ($H$1, I$3, B48)</f>
        <v>(Invalid Identifier)</v>
      </c>
      <c r="J48" s="18" t="e">
        <f>_xll.ciqfunctions.udf.CIQ($H$1, J$3,  B48)/100</f>
        <v>#VALUE!</v>
      </c>
      <c r="K48" s="20"/>
      <c r="L48" s="20"/>
      <c r="M48" s="20"/>
    </row>
    <row r="52" spans="5:20">
      <c r="E52" s="12" t="s">
        <v>24</v>
      </c>
      <c r="F52" s="16">
        <f>CORREL($F$5:$F$25,G5:G25)</f>
        <v>-0.66517334193601629</v>
      </c>
      <c r="G52" s="16">
        <f t="shared" ref="G52:K52" si="1">CORREL($F$5:$F$25,H5:H25)</f>
        <v>0.17372806786433251</v>
      </c>
      <c r="H52" s="16">
        <f t="shared" si="1"/>
        <v>-7.4899600171369984E-2</v>
      </c>
      <c r="I52" s="16">
        <f t="shared" si="1"/>
        <v>-0.56451914802741354</v>
      </c>
      <c r="J52" s="16">
        <f t="shared" si="1"/>
        <v>-0.1753587889897692</v>
      </c>
      <c r="K52" s="16">
        <f t="shared" si="1"/>
        <v>0.57894277249681669</v>
      </c>
      <c r="L52" s="16"/>
      <c r="M52" s="24"/>
      <c r="N52" s="29">
        <f t="shared" ref="N52" si="2">CORREL($F$5:$F$25,O5:O25)</f>
        <v>0.51761535727253305</v>
      </c>
      <c r="O52" s="16">
        <f t="shared" ref="O52" si="3">CORREL($F$5:$F$25,P5:P25)</f>
        <v>-0.24712052698440001</v>
      </c>
      <c r="P52" s="16">
        <f t="shared" ref="P52" si="4">CORREL($F$5:$F$25,Q5:Q25)</f>
        <v>0.32069093774496177</v>
      </c>
      <c r="Q52" s="13"/>
      <c r="R52" s="13"/>
      <c r="S52" s="13"/>
      <c r="T52" s="13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G14"/>
  <sheetViews>
    <sheetView workbookViewId="0">
      <selection activeCell="E11" sqref="E11"/>
    </sheetView>
  </sheetViews>
  <sheetFormatPr defaultRowHeight="15"/>
  <sheetData>
    <row r="1" spans="1:7">
      <c r="A1" t="s">
        <v>85</v>
      </c>
      <c r="B1" t="s">
        <v>86</v>
      </c>
      <c r="C1" t="s">
        <v>87</v>
      </c>
      <c r="D1" t="s">
        <v>88</v>
      </c>
    </row>
    <row r="2" spans="1:7">
      <c r="A2" t="s">
        <v>89</v>
      </c>
      <c r="B2" t="s">
        <v>90</v>
      </c>
      <c r="C2" t="s">
        <v>91</v>
      </c>
      <c r="D2" t="s">
        <v>92</v>
      </c>
      <c r="E2">
        <v>-1997</v>
      </c>
      <c r="F2" t="s">
        <v>93</v>
      </c>
      <c r="G2" t="s">
        <v>94</v>
      </c>
    </row>
    <row r="3" spans="1:7">
      <c r="A3" t="s">
        <v>95</v>
      </c>
      <c r="B3" t="s">
        <v>96</v>
      </c>
      <c r="C3" t="s">
        <v>86</v>
      </c>
      <c r="D3" t="s">
        <v>87</v>
      </c>
      <c r="E3" t="s">
        <v>97</v>
      </c>
    </row>
    <row r="4" spans="1:7">
      <c r="A4" t="s">
        <v>98</v>
      </c>
      <c r="B4" t="s">
        <v>99</v>
      </c>
      <c r="C4" t="s">
        <v>87</v>
      </c>
      <c r="D4" t="s">
        <v>100</v>
      </c>
    </row>
    <row r="5" spans="1:7">
      <c r="A5" t="s">
        <v>101</v>
      </c>
      <c r="B5" t="s">
        <v>86</v>
      </c>
      <c r="C5" t="s">
        <v>102</v>
      </c>
      <c r="D5" t="s">
        <v>103</v>
      </c>
      <c r="E5" t="s">
        <v>104</v>
      </c>
    </row>
    <row r="6" spans="1:7">
      <c r="A6" t="s">
        <v>105</v>
      </c>
      <c r="B6" t="s">
        <v>106</v>
      </c>
      <c r="C6" t="s">
        <v>107</v>
      </c>
      <c r="D6" t="s">
        <v>87</v>
      </c>
      <c r="E6" t="s">
        <v>108</v>
      </c>
    </row>
    <row r="7" spans="1:7">
      <c r="A7" t="s">
        <v>109</v>
      </c>
      <c r="B7" t="s">
        <v>110</v>
      </c>
      <c r="C7" t="s">
        <v>87</v>
      </c>
      <c r="D7" t="s">
        <v>111</v>
      </c>
    </row>
    <row r="10" spans="1:7">
      <c r="A10" t="s">
        <v>112</v>
      </c>
      <c r="B10" t="s">
        <v>113</v>
      </c>
    </row>
    <row r="11" spans="1:7">
      <c r="A11" t="s">
        <v>114</v>
      </c>
      <c r="B11" t="s">
        <v>115</v>
      </c>
      <c r="C11" t="s">
        <v>116</v>
      </c>
      <c r="D11" t="s">
        <v>87</v>
      </c>
      <c r="E11" t="s">
        <v>129</v>
      </c>
    </row>
    <row r="12" spans="1:7">
      <c r="A12" t="s">
        <v>117</v>
      </c>
      <c r="B12" t="s">
        <v>118</v>
      </c>
      <c r="C12" t="s">
        <v>99</v>
      </c>
      <c r="D12" t="s">
        <v>87</v>
      </c>
      <c r="E12" t="s">
        <v>119</v>
      </c>
    </row>
    <row r="13" spans="1:7">
      <c r="A13" t="s">
        <v>120</v>
      </c>
      <c r="B13" t="s">
        <v>121</v>
      </c>
      <c r="C13" t="s">
        <v>122</v>
      </c>
      <c r="D13" t="s">
        <v>123</v>
      </c>
      <c r="E13" t="s">
        <v>124</v>
      </c>
      <c r="F13" t="s">
        <v>125</v>
      </c>
    </row>
    <row r="14" spans="1:7">
      <c r="A14" t="s">
        <v>126</v>
      </c>
      <c r="B14" t="s">
        <v>127</v>
      </c>
      <c r="C14" t="s">
        <v>87</v>
      </c>
      <c r="D14" t="s">
        <v>128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U111"/>
  <sheetViews>
    <sheetView topLeftCell="A70" zoomScale="66" zoomScaleNormal="66" workbookViewId="0">
      <selection activeCell="F60" sqref="F60"/>
    </sheetView>
  </sheetViews>
  <sheetFormatPr defaultRowHeight="15"/>
  <cols>
    <col min="1" max="1" width="29.140625" customWidth="1"/>
    <col min="2" max="2" width="10.5703125" customWidth="1"/>
    <col min="3" max="3" width="10.28515625" customWidth="1"/>
    <col min="4" max="5" width="13.85546875" customWidth="1"/>
    <col min="6" max="11" width="18.140625" customWidth="1"/>
    <col min="12" max="13" width="18.140625" style="27" customWidth="1"/>
    <col min="14" max="14" width="9.7109375" style="27" customWidth="1"/>
    <col min="15" max="15" width="14.140625" customWidth="1"/>
    <col min="16" max="18" width="9.7109375" customWidth="1"/>
    <col min="19" max="19" width="12.5703125" customWidth="1"/>
    <col min="20" max="20" width="13.42578125" customWidth="1"/>
    <col min="21" max="21" width="11.7109375" customWidth="1"/>
    <col min="22" max="22" width="9.7109375" customWidth="1"/>
    <col min="23" max="23" width="8.5703125" customWidth="1"/>
  </cols>
  <sheetData>
    <row r="1" spans="1:21">
      <c r="A1" t="s">
        <v>38</v>
      </c>
      <c r="F1" t="s">
        <v>0</v>
      </c>
      <c r="G1" t="s">
        <v>37</v>
      </c>
    </row>
    <row r="2" spans="1:21">
      <c r="F2" t="s">
        <v>35</v>
      </c>
    </row>
    <row r="3" spans="1:21">
      <c r="F3" t="s">
        <v>36</v>
      </c>
    </row>
    <row r="4" spans="1:21">
      <c r="F4" s="11">
        <v>500570</v>
      </c>
      <c r="G4" s="11"/>
      <c r="I4" s="17"/>
      <c r="J4" s="17"/>
      <c r="K4" s="17"/>
      <c r="L4" s="30"/>
      <c r="M4" s="30"/>
      <c r="O4" t="s">
        <v>1</v>
      </c>
      <c r="P4" t="s">
        <v>0</v>
      </c>
      <c r="Q4" t="s">
        <v>25</v>
      </c>
    </row>
    <row r="5" spans="1:21">
      <c r="F5" s="17"/>
      <c r="G5" s="17"/>
      <c r="H5" s="17"/>
      <c r="I5" s="17"/>
      <c r="J5" s="17"/>
      <c r="K5" s="17"/>
      <c r="L5" s="30"/>
      <c r="M5" s="30"/>
    </row>
    <row r="6" spans="1:21" s="2" customFormat="1" ht="29.25" customHeight="1">
      <c r="B6" s="9"/>
      <c r="D6" t="s">
        <v>57</v>
      </c>
      <c r="E6" s="12" t="s">
        <v>58</v>
      </c>
      <c r="F6" s="14" t="s">
        <v>59</v>
      </c>
      <c r="G6" s="14" t="s">
        <v>60</v>
      </c>
      <c r="H6" s="14" t="s">
        <v>61</v>
      </c>
      <c r="I6" s="14" t="s">
        <v>62</v>
      </c>
      <c r="J6" s="14" t="s">
        <v>63</v>
      </c>
      <c r="K6" s="25" t="s">
        <v>27</v>
      </c>
      <c r="L6" s="19" t="s">
        <v>64</v>
      </c>
      <c r="M6" s="2" t="s">
        <v>65</v>
      </c>
      <c r="N6" s="28" t="s">
        <v>66</v>
      </c>
      <c r="O6" s="2" t="s">
        <v>67</v>
      </c>
      <c r="P6" s="2" t="s">
        <v>68</v>
      </c>
      <c r="Q6" s="2" t="s">
        <v>69</v>
      </c>
    </row>
    <row r="7" spans="1:21" s="2" customFormat="1" ht="29.25" customHeight="1">
      <c r="B7" s="9"/>
      <c r="D7"/>
      <c r="E7" s="12" t="s">
        <v>34</v>
      </c>
      <c r="F7" s="14" t="s">
        <v>33</v>
      </c>
      <c r="G7" s="14" t="s">
        <v>32</v>
      </c>
      <c r="H7" s="14" t="s">
        <v>31</v>
      </c>
      <c r="I7" s="14" t="s">
        <v>30</v>
      </c>
      <c r="J7" s="14" t="s">
        <v>28</v>
      </c>
      <c r="K7" s="25" t="s">
        <v>27</v>
      </c>
      <c r="L7" s="19" t="s">
        <v>29</v>
      </c>
      <c r="N7" s="28"/>
    </row>
    <row r="8" spans="1:21">
      <c r="C8">
        <v>500</v>
      </c>
      <c r="D8" s="8">
        <v>41680</v>
      </c>
      <c r="E8" s="12">
        <v>4.9174699999999998</v>
      </c>
      <c r="F8" s="12">
        <v>5.4939999999999998E-3</v>
      </c>
      <c r="G8" s="12">
        <v>0</v>
      </c>
      <c r="H8" s="15">
        <v>1.7057500000000001</v>
      </c>
      <c r="I8" s="18">
        <v>0.497861</v>
      </c>
      <c r="J8" s="21">
        <v>34.586399999999998</v>
      </c>
      <c r="K8" s="26">
        <v>0</v>
      </c>
      <c r="L8" s="22">
        <v>0</v>
      </c>
      <c r="M8">
        <v>48048</v>
      </c>
      <c r="N8" s="27">
        <v>364</v>
      </c>
      <c r="O8">
        <v>2</v>
      </c>
      <c r="P8">
        <v>0</v>
      </c>
      <c r="Q8">
        <v>635360.6</v>
      </c>
      <c r="U8" s="7"/>
    </row>
    <row r="9" spans="1:21">
      <c r="C9">
        <v>499</v>
      </c>
      <c r="D9" s="8">
        <v>41586</v>
      </c>
      <c r="E9" s="12">
        <v>5.9828599999999996</v>
      </c>
      <c r="F9" s="12">
        <v>5.1939999999999998E-3</v>
      </c>
      <c r="G9" s="12">
        <v>0</v>
      </c>
      <c r="H9" s="15">
        <v>1.9999400000000001</v>
      </c>
      <c r="I9" s="18">
        <v>0.497861</v>
      </c>
      <c r="J9" s="21">
        <v>30.338799999999999</v>
      </c>
      <c r="K9" s="26">
        <v>0</v>
      </c>
      <c r="L9" s="22">
        <v>0</v>
      </c>
      <c r="M9">
        <v>35418.6</v>
      </c>
      <c r="N9" s="27">
        <v>385</v>
      </c>
      <c r="O9">
        <v>2</v>
      </c>
      <c r="P9">
        <v>0</v>
      </c>
      <c r="Q9">
        <v>557012.19999999995</v>
      </c>
      <c r="U9" s="7"/>
    </row>
    <row r="10" spans="1:21">
      <c r="C10">
        <v>498</v>
      </c>
      <c r="D10" s="8">
        <v>41493</v>
      </c>
      <c r="E10" s="12">
        <v>5.2137900000000004</v>
      </c>
      <c r="F10" s="12">
        <v>7.1719999999999996E-3</v>
      </c>
      <c r="G10" s="12">
        <v>0</v>
      </c>
      <c r="H10" s="15">
        <v>2.8311000000000002</v>
      </c>
      <c r="I10" s="18">
        <v>0.59175500000000003</v>
      </c>
      <c r="J10" s="21">
        <v>18.3736</v>
      </c>
      <c r="K10" s="26">
        <v>0</v>
      </c>
      <c r="L10" s="22">
        <v>0</v>
      </c>
      <c r="M10">
        <v>17260.7</v>
      </c>
      <c r="N10" s="27">
        <v>278.85000000000002</v>
      </c>
      <c r="O10">
        <v>2</v>
      </c>
      <c r="P10">
        <v>0</v>
      </c>
      <c r="Q10">
        <v>467512.6</v>
      </c>
      <c r="U10" s="7"/>
    </row>
    <row r="11" spans="1:21">
      <c r="C11">
        <v>497</v>
      </c>
      <c r="D11" s="8">
        <v>41449</v>
      </c>
      <c r="E11" s="12">
        <v>5.25014</v>
      </c>
      <c r="F11" s="12">
        <v>7.0499999999999998E-3</v>
      </c>
      <c r="G11" s="12">
        <v>0</v>
      </c>
      <c r="H11" s="15">
        <v>2.1334399999999998</v>
      </c>
      <c r="I11" s="18">
        <v>0.59175500000000003</v>
      </c>
      <c r="J11" s="21">
        <v>40.281999999999996</v>
      </c>
      <c r="K11" s="26">
        <v>0</v>
      </c>
      <c r="L11" s="22">
        <v>0</v>
      </c>
      <c r="M11">
        <v>39454.699999999997</v>
      </c>
      <c r="N11" s="27">
        <v>283.64999999999998</v>
      </c>
      <c r="O11">
        <v>2</v>
      </c>
      <c r="P11">
        <v>0</v>
      </c>
      <c r="Q11">
        <v>570062.9</v>
      </c>
      <c r="U11" s="7"/>
    </row>
    <row r="12" spans="1:21">
      <c r="C12">
        <v>496</v>
      </c>
      <c r="D12" s="8">
        <v>41319</v>
      </c>
      <c r="E12" s="12">
        <v>5.3992199999999997</v>
      </c>
      <c r="F12" s="12">
        <v>1.3481E-2</v>
      </c>
      <c r="G12" s="12">
        <v>0</v>
      </c>
      <c r="H12" s="15">
        <v>2.35806</v>
      </c>
      <c r="I12" s="18">
        <v>0.50619700000000001</v>
      </c>
      <c r="J12" s="21">
        <v>16.1432</v>
      </c>
      <c r="K12" s="26">
        <v>0</v>
      </c>
      <c r="L12" s="22">
        <v>0</v>
      </c>
      <c r="M12">
        <v>16275</v>
      </c>
      <c r="N12" s="27">
        <v>296.7</v>
      </c>
      <c r="O12">
        <v>4</v>
      </c>
      <c r="P12">
        <v>0</v>
      </c>
      <c r="Q12">
        <v>458213.1</v>
      </c>
      <c r="U12" s="7"/>
    </row>
    <row r="13" spans="1:21">
      <c r="C13">
        <v>495</v>
      </c>
      <c r="D13" s="8">
        <v>41220</v>
      </c>
      <c r="E13" s="12">
        <v>4.6510899999999999</v>
      </c>
      <c r="F13" s="12">
        <v>1.4856000000000001E-2</v>
      </c>
      <c r="G13" s="12">
        <v>0</v>
      </c>
      <c r="H13" s="15">
        <v>2.2797700000000001</v>
      </c>
      <c r="I13" s="18">
        <v>0.50619700000000001</v>
      </c>
      <c r="J13" s="21">
        <v>22.6296</v>
      </c>
      <c r="K13" s="26">
        <v>0</v>
      </c>
      <c r="L13" s="22">
        <v>0</v>
      </c>
      <c r="M13">
        <v>20747.3</v>
      </c>
      <c r="N13" s="27">
        <v>269.25</v>
      </c>
      <c r="O13">
        <v>4</v>
      </c>
      <c r="P13">
        <v>0</v>
      </c>
      <c r="Q13">
        <v>428189</v>
      </c>
      <c r="U13" s="7"/>
    </row>
    <row r="14" spans="1:21">
      <c r="C14">
        <v>494</v>
      </c>
      <c r="D14" s="8">
        <v>41130</v>
      </c>
      <c r="E14" s="12">
        <v>4.5370600000000003</v>
      </c>
      <c r="F14" s="12">
        <v>1.6711E-2</v>
      </c>
      <c r="G14" s="12">
        <v>0</v>
      </c>
      <c r="H14" s="15">
        <v>2.40794</v>
      </c>
      <c r="I14" s="18">
        <v>0.59128599999999998</v>
      </c>
      <c r="J14" s="21">
        <v>27.1692</v>
      </c>
      <c r="K14" s="26">
        <v>0</v>
      </c>
      <c r="L14" s="22">
        <v>0</v>
      </c>
      <c r="M14">
        <v>22449.1</v>
      </c>
      <c r="N14" s="27">
        <v>239.35</v>
      </c>
      <c r="O14">
        <v>4</v>
      </c>
      <c r="P14">
        <v>0</v>
      </c>
      <c r="Q14">
        <v>431711.3</v>
      </c>
      <c r="U14" s="7"/>
    </row>
    <row r="15" spans="1:21">
      <c r="C15">
        <v>493</v>
      </c>
      <c r="D15" s="8">
        <v>41449</v>
      </c>
      <c r="E15" s="12">
        <v>5.25014</v>
      </c>
      <c r="F15" s="12">
        <v>7.0499999999999998E-3</v>
      </c>
      <c r="G15" s="12">
        <v>0</v>
      </c>
      <c r="H15" s="15">
        <v>2.00163</v>
      </c>
      <c r="I15" s="18">
        <v>0.59456500000000001</v>
      </c>
      <c r="J15" s="21">
        <v>88.641999999999996</v>
      </c>
      <c r="K15" s="26">
        <v>0</v>
      </c>
      <c r="L15" s="22">
        <v>0</v>
      </c>
      <c r="M15">
        <v>62340</v>
      </c>
      <c r="N15" s="27">
        <v>283.64999999999998</v>
      </c>
      <c r="O15">
        <v>2</v>
      </c>
      <c r="P15">
        <v>0</v>
      </c>
      <c r="Q15">
        <v>514086.1</v>
      </c>
      <c r="U15" s="7"/>
    </row>
    <row r="16" spans="1:21">
      <c r="C16">
        <v>492</v>
      </c>
      <c r="D16" s="8">
        <v>40953</v>
      </c>
      <c r="E16" s="12">
        <v>5.6076499999999996</v>
      </c>
      <c r="F16" s="12">
        <v>1.4930000000000001E-2</v>
      </c>
      <c r="G16" s="12">
        <v>0</v>
      </c>
      <c r="H16" s="15">
        <v>1.83128</v>
      </c>
      <c r="I16" s="18">
        <v>0.65197900000000009</v>
      </c>
      <c r="J16" s="21">
        <v>58.391599999999997</v>
      </c>
      <c r="K16" s="26">
        <v>0</v>
      </c>
      <c r="L16" s="22">
        <v>0</v>
      </c>
      <c r="M16">
        <v>34055.5</v>
      </c>
      <c r="N16" s="27">
        <v>267.89999999999998</v>
      </c>
      <c r="O16">
        <v>4</v>
      </c>
      <c r="P16">
        <v>0</v>
      </c>
      <c r="Q16">
        <v>451992.9</v>
      </c>
      <c r="U16" s="7"/>
    </row>
    <row r="17" spans="3:21">
      <c r="C17">
        <v>491</v>
      </c>
      <c r="D17" s="8">
        <v>40861</v>
      </c>
      <c r="E17" s="12">
        <v>4.7240700000000002</v>
      </c>
      <c r="F17" s="12">
        <v>2.2484000000000001E-2</v>
      </c>
      <c r="G17" s="12">
        <v>0</v>
      </c>
      <c r="H17" s="15">
        <v>2.7724799999999998</v>
      </c>
      <c r="I17" s="18">
        <v>0.65197900000000009</v>
      </c>
      <c r="J17" s="21">
        <v>35.641199999999998</v>
      </c>
      <c r="K17" s="26">
        <v>0</v>
      </c>
      <c r="L17" s="22">
        <v>0</v>
      </c>
      <c r="M17">
        <v>18773.3</v>
      </c>
      <c r="N17" s="27">
        <v>177.9</v>
      </c>
      <c r="O17">
        <v>4</v>
      </c>
      <c r="P17">
        <v>0</v>
      </c>
      <c r="Q17">
        <v>359384.7</v>
      </c>
      <c r="U17" s="7"/>
    </row>
    <row r="18" spans="3:21">
      <c r="C18">
        <v>490</v>
      </c>
      <c r="D18" s="8">
        <v>40766</v>
      </c>
      <c r="E18" s="12">
        <v>4.25678</v>
      </c>
      <c r="F18" s="12">
        <v>2.3650999999999998E-2</v>
      </c>
      <c r="G18" s="12">
        <v>0</v>
      </c>
      <c r="H18" s="15">
        <v>2.1107399999999998</v>
      </c>
      <c r="I18" s="18">
        <v>0.62812000000000001</v>
      </c>
      <c r="J18" s="21">
        <v>41.2712</v>
      </c>
      <c r="K18" s="26">
        <v>0</v>
      </c>
      <c r="L18" s="22">
        <v>0</v>
      </c>
      <c r="M18">
        <v>19996.2</v>
      </c>
      <c r="N18" s="27">
        <v>169.12</v>
      </c>
      <c r="O18">
        <v>4</v>
      </c>
      <c r="P18">
        <v>0</v>
      </c>
      <c r="Q18">
        <v>333917.8</v>
      </c>
      <c r="U18" s="7"/>
    </row>
    <row r="19" spans="3:21">
      <c r="C19">
        <v>489</v>
      </c>
      <c r="D19" s="8">
        <v>41081</v>
      </c>
      <c r="E19" s="12">
        <v>4.9344900000000003</v>
      </c>
      <c r="F19" s="12">
        <v>1.6122000000000001E-2</v>
      </c>
      <c r="G19" s="12">
        <v>0</v>
      </c>
      <c r="H19" s="15">
        <v>2.1725400000000001</v>
      </c>
      <c r="I19" s="18">
        <v>0.63428600000000002</v>
      </c>
      <c r="J19" s="21">
        <v>66.196799999999996</v>
      </c>
      <c r="K19" s="26">
        <v>0</v>
      </c>
      <c r="L19" s="22">
        <v>0</v>
      </c>
      <c r="M19">
        <v>26375.200000000001</v>
      </c>
      <c r="N19" s="27">
        <v>248.1</v>
      </c>
      <c r="O19">
        <v>4</v>
      </c>
      <c r="P19">
        <v>0</v>
      </c>
      <c r="Q19">
        <v>351728</v>
      </c>
      <c r="U19" s="7"/>
    </row>
    <row r="20" spans="3:21">
      <c r="C20">
        <v>488</v>
      </c>
      <c r="D20" s="8">
        <v>40585</v>
      </c>
      <c r="E20" s="12">
        <v>5.7114799999999999</v>
      </c>
      <c r="F20" s="12">
        <v>1.3103999999999999E-2</v>
      </c>
      <c r="G20" s="12">
        <v>0</v>
      </c>
      <c r="H20" s="15">
        <v>2.1659000000000002</v>
      </c>
      <c r="I20" s="18">
        <v>0.74220399999999997</v>
      </c>
      <c r="J20" s="21">
        <v>76.697199999999995</v>
      </c>
      <c r="K20" s="26">
        <v>0</v>
      </c>
      <c r="L20" s="22">
        <v>0</v>
      </c>
      <c r="M20">
        <v>24243.8</v>
      </c>
      <c r="N20" s="27">
        <v>228.93</v>
      </c>
      <c r="O20">
        <v>3</v>
      </c>
      <c r="P20">
        <v>0</v>
      </c>
      <c r="Q20">
        <v>315063.3</v>
      </c>
      <c r="U20" s="7"/>
    </row>
    <row r="21" spans="3:21">
      <c r="C21">
        <v>487</v>
      </c>
      <c r="D21" s="8">
        <v>40491</v>
      </c>
      <c r="E21" s="12">
        <v>6.83453</v>
      </c>
      <c r="F21" s="12">
        <v>1.1805000000000001E-2</v>
      </c>
      <c r="G21" s="12">
        <v>0</v>
      </c>
      <c r="H21" s="15">
        <v>2.3575400000000002</v>
      </c>
      <c r="I21" s="18">
        <v>0.74220399999999997</v>
      </c>
      <c r="J21" s="21">
        <v>84.63</v>
      </c>
      <c r="K21" s="26">
        <v>0</v>
      </c>
      <c r="L21" s="22">
        <v>0</v>
      </c>
      <c r="M21">
        <v>22229.9</v>
      </c>
      <c r="N21" s="27">
        <v>254.11</v>
      </c>
      <c r="O21">
        <v>3</v>
      </c>
      <c r="P21">
        <v>0</v>
      </c>
      <c r="Q21">
        <v>285727.09999999998</v>
      </c>
      <c r="U21" s="7"/>
    </row>
    <row r="22" spans="3:21">
      <c r="C22">
        <v>486</v>
      </c>
      <c r="D22" s="8">
        <v>40400</v>
      </c>
      <c r="E22" s="12">
        <v>6.4754899999999997</v>
      </c>
      <c r="F22" s="12">
        <v>1.5668999999999999E-2</v>
      </c>
      <c r="G22" s="12">
        <v>0</v>
      </c>
      <c r="H22" s="15">
        <v>2.3064800000000001</v>
      </c>
      <c r="I22" s="18">
        <v>0.80693499999999996</v>
      </c>
      <c r="J22" s="21">
        <v>94.7744</v>
      </c>
      <c r="K22" s="26">
        <v>0</v>
      </c>
      <c r="L22" s="22">
        <v>0</v>
      </c>
      <c r="M22">
        <v>19887.3</v>
      </c>
      <c r="N22" s="27">
        <v>191.46</v>
      </c>
      <c r="O22">
        <v>3</v>
      </c>
      <c r="P22">
        <v>0</v>
      </c>
      <c r="Q22">
        <v>268760.8</v>
      </c>
      <c r="U22" s="7"/>
    </row>
    <row r="23" spans="3:21">
      <c r="C23">
        <v>485</v>
      </c>
      <c r="D23" s="8">
        <v>40730</v>
      </c>
      <c r="E23" s="12">
        <v>4.9801700000000002</v>
      </c>
      <c r="F23" s="12">
        <v>1.9368E-2</v>
      </c>
      <c r="G23" s="12">
        <v>0</v>
      </c>
      <c r="H23" s="15">
        <v>3.8119000000000001</v>
      </c>
      <c r="I23" s="18">
        <v>0.80664800000000003</v>
      </c>
      <c r="J23" s="21">
        <v>0</v>
      </c>
      <c r="K23" s="26">
        <v>0</v>
      </c>
      <c r="L23" s="22">
        <v>0</v>
      </c>
      <c r="M23">
        <v>22278</v>
      </c>
      <c r="N23" s="27">
        <v>206.52</v>
      </c>
      <c r="O23">
        <v>4</v>
      </c>
      <c r="P23">
        <v>0</v>
      </c>
      <c r="Q23">
        <v>293606</v>
      </c>
      <c r="U23" s="7"/>
    </row>
    <row r="24" spans="3:21">
      <c r="C24">
        <v>484</v>
      </c>
      <c r="D24" s="8">
        <v>40235</v>
      </c>
      <c r="E24" s="12">
        <v>21.24174</v>
      </c>
      <c r="F24" s="12">
        <v>8.4379999999999993E-3</v>
      </c>
      <c r="G24" s="12">
        <v>0</v>
      </c>
      <c r="H24" s="15">
        <v>0</v>
      </c>
      <c r="I24" s="18">
        <v>0</v>
      </c>
      <c r="J24" s="21">
        <v>0</v>
      </c>
      <c r="K24" s="26">
        <v>0</v>
      </c>
      <c r="L24" s="22">
        <v>0</v>
      </c>
      <c r="M24">
        <v>6502.6</v>
      </c>
      <c r="N24" s="27">
        <v>142.21</v>
      </c>
      <c r="O24">
        <v>1.2</v>
      </c>
      <c r="P24">
        <v>0</v>
      </c>
      <c r="Q24">
        <v>259796.1</v>
      </c>
      <c r="U24" s="7"/>
    </row>
    <row r="25" spans="3:21">
      <c r="C25">
        <v>483</v>
      </c>
      <c r="D25" s="8">
        <v>40144</v>
      </c>
      <c r="E25" s="12" t="s">
        <v>70</v>
      </c>
      <c r="F25" s="12">
        <v>9.5309999999999995E-3</v>
      </c>
      <c r="G25" s="12">
        <v>0</v>
      </c>
      <c r="H25" s="15">
        <v>0</v>
      </c>
      <c r="I25" s="18">
        <v>0</v>
      </c>
      <c r="J25" s="21">
        <v>0</v>
      </c>
      <c r="K25" s="26">
        <v>0</v>
      </c>
      <c r="L25" s="22">
        <v>0</v>
      </c>
      <c r="M25">
        <v>217.8</v>
      </c>
      <c r="N25" s="27">
        <v>125.9</v>
      </c>
      <c r="O25">
        <v>1.2</v>
      </c>
      <c r="P25">
        <v>0</v>
      </c>
      <c r="Q25">
        <v>208894.4</v>
      </c>
      <c r="U25" s="7"/>
    </row>
    <row r="26" spans="3:21">
      <c r="C26">
        <v>482</v>
      </c>
      <c r="D26" s="8">
        <v>40056</v>
      </c>
      <c r="E26" s="12" t="s">
        <v>70</v>
      </c>
      <c r="F26" s="12">
        <v>1.2260999999999999E-2</v>
      </c>
      <c r="G26" s="12">
        <v>0</v>
      </c>
      <c r="H26" s="15">
        <v>41.341709999999999</v>
      </c>
      <c r="I26" s="18">
        <v>0.84646500000000002</v>
      </c>
      <c r="J26" s="21">
        <v>0</v>
      </c>
      <c r="K26" s="26">
        <v>0</v>
      </c>
      <c r="L26" s="22">
        <v>0</v>
      </c>
      <c r="M26">
        <v>-3287.8</v>
      </c>
      <c r="N26" s="27">
        <v>97.87</v>
      </c>
      <c r="O26">
        <v>1.2</v>
      </c>
      <c r="P26">
        <v>0</v>
      </c>
      <c r="Q26">
        <v>162896</v>
      </c>
      <c r="U26" s="7"/>
    </row>
    <row r="27" spans="3:21">
      <c r="C27">
        <v>481</v>
      </c>
      <c r="D27" s="8">
        <v>40375</v>
      </c>
      <c r="E27" s="12">
        <v>8.2777499999999993</v>
      </c>
      <c r="F27" s="12">
        <v>1.8037000000000001E-2</v>
      </c>
      <c r="G27" s="12">
        <v>0</v>
      </c>
      <c r="H27" s="15" t="s">
        <v>70</v>
      </c>
      <c r="I27" s="18">
        <v>0.84646500000000002</v>
      </c>
      <c r="J27" s="21">
        <v>0</v>
      </c>
      <c r="K27" s="26">
        <v>0</v>
      </c>
      <c r="L27" s="22">
        <v>0</v>
      </c>
      <c r="M27">
        <v>3156.4</v>
      </c>
      <c r="N27" s="27">
        <v>166.32</v>
      </c>
      <c r="O27">
        <v>3</v>
      </c>
      <c r="P27">
        <v>0</v>
      </c>
      <c r="Q27">
        <v>159689.20000000001</v>
      </c>
      <c r="U27" s="7"/>
    </row>
    <row r="28" spans="3:21">
      <c r="C28">
        <v>480</v>
      </c>
      <c r="D28" s="8">
        <v>40235</v>
      </c>
      <c r="E28" s="12">
        <v>21.24174</v>
      </c>
      <c r="F28" s="12">
        <v>8.4379999999999993E-3</v>
      </c>
      <c r="G28" s="12">
        <v>0</v>
      </c>
      <c r="H28" s="15">
        <v>0</v>
      </c>
      <c r="I28" s="18">
        <v>0</v>
      </c>
      <c r="J28" s="21">
        <v>0</v>
      </c>
      <c r="K28" s="26">
        <v>0</v>
      </c>
      <c r="L28" s="22">
        <v>0</v>
      </c>
      <c r="M28">
        <v>-25988.3</v>
      </c>
      <c r="N28" s="27">
        <v>142.21</v>
      </c>
      <c r="O28">
        <v>1.2</v>
      </c>
      <c r="P28">
        <v>0</v>
      </c>
      <c r="Q28">
        <v>175353.60000000001</v>
      </c>
      <c r="U28" s="7"/>
    </row>
    <row r="29" spans="3:21">
      <c r="D29" s="8"/>
      <c r="E29" s="27"/>
      <c r="F29" s="27"/>
      <c r="G29" s="27"/>
      <c r="H29" s="32"/>
      <c r="I29" s="20"/>
      <c r="J29" s="22"/>
      <c r="K29" s="24"/>
      <c r="L29" s="22"/>
      <c r="M29"/>
      <c r="O29" s="6"/>
      <c r="U29" s="7"/>
    </row>
    <row r="30" spans="3:21">
      <c r="D30" s="12" t="s">
        <v>24</v>
      </c>
      <c r="E30" s="16">
        <v>-0.35964912280701755</v>
      </c>
      <c r="F30" s="16">
        <v>-0.83245614035087723</v>
      </c>
      <c r="G30" s="16">
        <v>-0.39834881320949433</v>
      </c>
      <c r="H30" s="16">
        <v>3.3333333333333333E-2</v>
      </c>
      <c r="I30" s="16">
        <v>-1.7543859649122807E-3</v>
      </c>
      <c r="J30" s="16">
        <v>-0.83245614035087723</v>
      </c>
      <c r="K30" s="16"/>
      <c r="L30" s="22"/>
      <c r="M30"/>
      <c r="O30" s="6"/>
      <c r="U30" s="7"/>
    </row>
    <row r="31" spans="3:21">
      <c r="D31" s="27"/>
      <c r="E31" s="24"/>
      <c r="F31" s="24"/>
      <c r="G31" s="24"/>
      <c r="H31" s="24"/>
      <c r="I31" s="24"/>
      <c r="J31" s="24"/>
      <c r="K31" s="24"/>
      <c r="L31" s="22"/>
      <c r="M31"/>
      <c r="O31" s="6"/>
      <c r="U31" s="7"/>
    </row>
    <row r="33" spans="1:17" ht="30">
      <c r="A33" t="s">
        <v>143</v>
      </c>
      <c r="B33" s="9"/>
      <c r="C33" s="2"/>
      <c r="D33" t="s">
        <v>57</v>
      </c>
      <c r="E33" s="12" t="s">
        <v>58</v>
      </c>
      <c r="F33" s="14" t="s">
        <v>59</v>
      </c>
      <c r="G33" s="14" t="s">
        <v>60</v>
      </c>
      <c r="H33" s="14" t="s">
        <v>61</v>
      </c>
      <c r="I33" s="14" t="s">
        <v>62</v>
      </c>
      <c r="J33" s="14" t="s">
        <v>63</v>
      </c>
      <c r="K33" s="25" t="s">
        <v>27</v>
      </c>
      <c r="L33" s="19" t="s">
        <v>64</v>
      </c>
      <c r="M33" s="2" t="s">
        <v>65</v>
      </c>
      <c r="N33" s="28" t="s">
        <v>66</v>
      </c>
      <c r="O33" s="2" t="s">
        <v>67</v>
      </c>
      <c r="P33" s="2" t="s">
        <v>68</v>
      </c>
      <c r="Q33" s="2" t="s">
        <v>69</v>
      </c>
    </row>
    <row r="34" spans="1:17" ht="30">
      <c r="A34" t="s">
        <v>139</v>
      </c>
      <c r="C34" s="2"/>
      <c r="E34" s="12" t="s">
        <v>34</v>
      </c>
      <c r="F34" s="14" t="s">
        <v>33</v>
      </c>
      <c r="G34" s="14" t="s">
        <v>32</v>
      </c>
      <c r="H34" s="14" t="s">
        <v>31</v>
      </c>
      <c r="I34" s="14" t="s">
        <v>30</v>
      </c>
      <c r="J34" s="14" t="s">
        <v>28</v>
      </c>
      <c r="K34" s="25" t="s">
        <v>27</v>
      </c>
      <c r="L34" s="19" t="s">
        <v>29</v>
      </c>
      <c r="M34" s="2"/>
      <c r="N34" s="28"/>
      <c r="O34" s="2"/>
      <c r="P34" s="2"/>
      <c r="Q34" s="2"/>
    </row>
    <row r="35" spans="1:17">
      <c r="A35" s="12" t="s">
        <v>144</v>
      </c>
      <c r="B35" t="s">
        <v>0</v>
      </c>
      <c r="C35" t="s">
        <v>53</v>
      </c>
      <c r="D35" s="8">
        <v>41684</v>
      </c>
      <c r="E35" s="12">
        <v>9.8698200000000007</v>
      </c>
      <c r="F35" s="12">
        <v>3.2660000000000002E-2</v>
      </c>
      <c r="G35" s="12">
        <v>1.8430999999999999E-2</v>
      </c>
      <c r="H35" s="15">
        <v>1.1516299999999999</v>
      </c>
      <c r="I35" s="18">
        <v>0.55573600000000001</v>
      </c>
      <c r="J35" s="21">
        <v>119.0236</v>
      </c>
      <c r="K35" s="26">
        <v>0.59107681985910765</v>
      </c>
      <c r="L35" s="22">
        <v>-1762</v>
      </c>
      <c r="M35">
        <v>2981</v>
      </c>
      <c r="N35" s="27">
        <v>164.03</v>
      </c>
      <c r="O35">
        <v>5.32</v>
      </c>
      <c r="P35">
        <v>-836</v>
      </c>
      <c r="Q35">
        <v>45358</v>
      </c>
    </row>
    <row r="36" spans="1:17">
      <c r="A36" s="12" t="s">
        <v>145</v>
      </c>
      <c r="B36" t="s">
        <v>35</v>
      </c>
      <c r="C36" t="s">
        <v>53</v>
      </c>
      <c r="D36" s="8">
        <v>41684</v>
      </c>
      <c r="E36" s="12">
        <v>11.17309</v>
      </c>
      <c r="F36" s="12">
        <v>2.2433000000000002E-2</v>
      </c>
      <c r="G36" s="12">
        <v>2.4219000000000001E-2</v>
      </c>
      <c r="H36" s="15">
        <v>1.17903</v>
      </c>
      <c r="I36" s="18">
        <v>0.39115699999999998</v>
      </c>
      <c r="J36" s="21">
        <v>43.751100000000001</v>
      </c>
      <c r="K36" s="26">
        <v>0.61090512540894215</v>
      </c>
      <c r="L36" s="22">
        <v>-2801</v>
      </c>
      <c r="M36">
        <v>4585</v>
      </c>
      <c r="N36" s="27">
        <v>124.6401</v>
      </c>
      <c r="O36">
        <v>2.92</v>
      </c>
      <c r="P36">
        <v>-2098</v>
      </c>
      <c r="Q36">
        <v>86623</v>
      </c>
    </row>
    <row r="37" spans="1:17">
      <c r="A37" s="12" t="s">
        <v>146</v>
      </c>
      <c r="B37" t="s">
        <v>36</v>
      </c>
      <c r="C37" t="s">
        <v>53</v>
      </c>
      <c r="D37" s="8">
        <v>41681</v>
      </c>
      <c r="E37" s="12">
        <v>9.0744000000000007</v>
      </c>
      <c r="F37" s="12">
        <v>2.3332000000000002E-2</v>
      </c>
      <c r="G37" s="12">
        <v>1.1811E-2</v>
      </c>
      <c r="H37" s="15">
        <v>1.4199200000000001</v>
      </c>
      <c r="I37" s="18">
        <v>0.29715599999999998</v>
      </c>
      <c r="J37" s="21">
        <v>20.106200000000001</v>
      </c>
      <c r="K37" s="26">
        <v>0.53857715430861719</v>
      </c>
      <c r="L37" s="22">
        <v>-1075</v>
      </c>
      <c r="M37">
        <v>1996</v>
      </c>
      <c r="N37" s="27">
        <v>100.9</v>
      </c>
      <c r="O37">
        <v>2.2000000000000002</v>
      </c>
      <c r="P37">
        <v>-280</v>
      </c>
      <c r="Q37">
        <v>23706</v>
      </c>
    </row>
    <row r="38" spans="1:17">
      <c r="A38" s="12" t="s">
        <v>147</v>
      </c>
      <c r="B38" t="s">
        <v>37</v>
      </c>
      <c r="C38" t="s">
        <v>53</v>
      </c>
      <c r="D38" s="8">
        <v>41449</v>
      </c>
      <c r="E38" s="12">
        <v>5.25014</v>
      </c>
      <c r="F38" s="12">
        <v>2.9287999999999998E-2</v>
      </c>
      <c r="G38" s="12">
        <v>1.4094000000000001E-2</v>
      </c>
      <c r="H38" s="15">
        <v>0.92147999999999997</v>
      </c>
      <c r="I38" s="18">
        <v>0.212287</v>
      </c>
      <c r="J38" s="21">
        <v>19.203499999999998</v>
      </c>
      <c r="K38" s="26">
        <v>0.31395842172252864</v>
      </c>
      <c r="L38" s="22">
        <v>-740</v>
      </c>
      <c r="M38">
        <v>2357</v>
      </c>
      <c r="N38" s="27">
        <v>109.21</v>
      </c>
      <c r="O38">
        <v>2.48</v>
      </c>
      <c r="P38">
        <v>-440</v>
      </c>
      <c r="Q38">
        <v>31218</v>
      </c>
    </row>
    <row r="39" spans="1:17">
      <c r="A39" s="12"/>
      <c r="D39" s="8"/>
      <c r="E39" s="33"/>
      <c r="F39" s="33"/>
      <c r="G39" s="33"/>
      <c r="H39" s="34"/>
      <c r="I39" s="35"/>
      <c r="J39" s="20"/>
      <c r="K39" s="20"/>
      <c r="L39" s="20"/>
      <c r="M39" s="20"/>
    </row>
    <row r="40" spans="1:17">
      <c r="A40" s="12"/>
      <c r="D40" s="36"/>
      <c r="E40" s="27"/>
      <c r="F40" s="27"/>
      <c r="G40" s="27"/>
      <c r="H40" s="32"/>
      <c r="I40" s="20"/>
      <c r="J40" s="20"/>
      <c r="K40" s="20"/>
      <c r="L40" s="20"/>
      <c r="M40" s="20"/>
    </row>
    <row r="41" spans="1:17">
      <c r="A41" s="12"/>
      <c r="D41" s="12" t="s">
        <v>24</v>
      </c>
      <c r="E41" s="16">
        <v>-0.4</v>
      </c>
      <c r="F41" s="16">
        <v>0.8</v>
      </c>
      <c r="G41" s="16">
        <v>0.4</v>
      </c>
      <c r="H41" s="16">
        <v>0.8</v>
      </c>
      <c r="I41" s="16">
        <v>0.8</v>
      </c>
      <c r="J41" s="37">
        <v>1</v>
      </c>
      <c r="K41" s="20"/>
      <c r="L41" s="20"/>
      <c r="M41" s="20"/>
    </row>
    <row r="42" spans="1:17">
      <c r="D42" s="36"/>
      <c r="E42" s="27"/>
      <c r="F42" s="27"/>
      <c r="G42" s="27"/>
      <c r="H42" s="32"/>
      <c r="I42" s="20"/>
      <c r="J42" s="20"/>
      <c r="K42" s="20"/>
      <c r="L42" s="20"/>
      <c r="M42" s="20"/>
    </row>
    <row r="43" spans="1:17">
      <c r="D43" s="36"/>
      <c r="E43" s="27"/>
      <c r="F43" s="27"/>
      <c r="G43" s="27"/>
      <c r="H43" s="32"/>
      <c r="I43" s="20"/>
      <c r="J43" s="20"/>
      <c r="K43" s="20"/>
      <c r="L43" s="20"/>
      <c r="M43" s="20"/>
    </row>
    <row r="44" spans="1:17">
      <c r="A44" t="s">
        <v>39</v>
      </c>
      <c r="D44" s="36"/>
      <c r="E44" s="27"/>
      <c r="F44" s="27"/>
      <c r="G44" s="27"/>
      <c r="H44" s="32"/>
      <c r="I44" s="20"/>
      <c r="J44" s="20"/>
      <c r="K44" s="20"/>
      <c r="L44" s="20"/>
      <c r="M44" s="20"/>
    </row>
    <row r="45" spans="1:17">
      <c r="D45" s="36"/>
      <c r="E45" s="27"/>
      <c r="F45" s="27"/>
      <c r="G45" s="27"/>
      <c r="H45" s="32"/>
      <c r="I45" s="20"/>
      <c r="J45" s="20"/>
      <c r="K45" s="20"/>
      <c r="L45" s="20"/>
      <c r="M45" s="20"/>
    </row>
    <row r="46" spans="1:17">
      <c r="B46" t="s">
        <v>56</v>
      </c>
      <c r="D46" s="36"/>
      <c r="E46" s="27"/>
      <c r="F46" s="27"/>
      <c r="G46" s="27"/>
      <c r="H46" s="32"/>
      <c r="I46" s="20"/>
      <c r="J46" s="20"/>
      <c r="K46" s="20"/>
      <c r="L46" s="20"/>
      <c r="M46" s="20"/>
    </row>
    <row r="47" spans="1:17">
      <c r="B47" t="s">
        <v>55</v>
      </c>
      <c r="D47" s="36"/>
      <c r="E47" s="27"/>
      <c r="F47" s="27"/>
      <c r="G47" s="27"/>
      <c r="H47" s="32"/>
      <c r="I47" s="20"/>
      <c r="J47" s="20"/>
      <c r="K47" s="20"/>
      <c r="L47" s="20"/>
      <c r="M47" s="20"/>
    </row>
    <row r="48" spans="1:17">
      <c r="B48" t="s">
        <v>54</v>
      </c>
      <c r="D48" s="36"/>
      <c r="E48" s="27"/>
      <c r="F48" s="27"/>
      <c r="G48" s="27"/>
      <c r="H48" s="32"/>
      <c r="I48" s="20"/>
      <c r="J48" s="20"/>
      <c r="K48" s="20"/>
      <c r="L48" s="20"/>
      <c r="M48" s="20"/>
    </row>
    <row r="49" spans="1:21">
      <c r="A49" s="38" t="s">
        <v>46</v>
      </c>
      <c r="B49" s="38" t="s">
        <v>49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</row>
    <row r="50" spans="1:21">
      <c r="A50" s="38" t="s">
        <v>43</v>
      </c>
      <c r="B50" s="41" t="s">
        <v>52</v>
      </c>
      <c r="C50" s="39"/>
      <c r="D50" s="38"/>
      <c r="E50" s="38"/>
      <c r="G50" s="39"/>
      <c r="H50" t="s">
        <v>50</v>
      </c>
      <c r="I50" s="39"/>
      <c r="J50" s="39"/>
      <c r="K50" s="39"/>
      <c r="L50" s="39"/>
      <c r="M50" s="2"/>
      <c r="N50" s="28"/>
      <c r="O50" s="2"/>
      <c r="P50" s="2"/>
      <c r="Q50" s="2"/>
    </row>
    <row r="51" spans="1:21">
      <c r="A51" s="40" t="s">
        <v>45</v>
      </c>
      <c r="B51" s="38" t="s">
        <v>48</v>
      </c>
      <c r="C51" s="39"/>
      <c r="D51" s="38"/>
      <c r="E51" s="38"/>
      <c r="F51" s="39"/>
      <c r="G51" s="39"/>
      <c r="H51" s="39"/>
      <c r="I51" s="39"/>
      <c r="J51" s="39"/>
      <c r="K51" s="39"/>
      <c r="L51" s="39"/>
      <c r="M51" s="2"/>
      <c r="N51" s="28"/>
      <c r="O51" s="2"/>
      <c r="P51" s="2"/>
      <c r="Q51" s="2"/>
      <c r="U51" s="10"/>
    </row>
    <row r="52" spans="1:21">
      <c r="A52" t="s">
        <v>47</v>
      </c>
      <c r="B52" t="s">
        <v>51</v>
      </c>
    </row>
    <row r="53" spans="1:21" ht="30">
      <c r="A53" t="s">
        <v>143</v>
      </c>
      <c r="B53" s="9"/>
      <c r="C53" s="2"/>
      <c r="D53" t="s">
        <v>57</v>
      </c>
      <c r="E53" s="12" t="s">
        <v>58</v>
      </c>
      <c r="F53" s="14" t="s">
        <v>59</v>
      </c>
      <c r="G53" s="14" t="s">
        <v>63</v>
      </c>
      <c r="H53" s="14" t="s">
        <v>61</v>
      </c>
      <c r="I53" s="14" t="s">
        <v>62</v>
      </c>
      <c r="J53" s="12"/>
      <c r="K53" s="42"/>
      <c r="L53" s="19" t="s">
        <v>64</v>
      </c>
      <c r="M53" s="2" t="s">
        <v>65</v>
      </c>
      <c r="N53" s="28" t="s">
        <v>66</v>
      </c>
      <c r="O53" s="2" t="s">
        <v>67</v>
      </c>
      <c r="P53" s="2" t="s">
        <v>68</v>
      </c>
      <c r="Q53" s="2" t="s">
        <v>69</v>
      </c>
    </row>
    <row r="54" spans="1:21" ht="19.5" customHeight="1">
      <c r="A54" t="s">
        <v>139</v>
      </c>
      <c r="C54" s="2" t="s">
        <v>140</v>
      </c>
      <c r="D54" t="s">
        <v>141</v>
      </c>
      <c r="E54" s="12" t="s">
        <v>34</v>
      </c>
      <c r="F54" s="14" t="s">
        <v>33</v>
      </c>
      <c r="G54" s="14" t="s">
        <v>28</v>
      </c>
      <c r="H54" s="14" t="s">
        <v>31</v>
      </c>
      <c r="I54" s="14" t="s">
        <v>30</v>
      </c>
      <c r="J54" s="44" t="s">
        <v>32</v>
      </c>
      <c r="K54" s="42"/>
      <c r="L54" s="19" t="s">
        <v>29</v>
      </c>
      <c r="M54" s="2"/>
      <c r="N54" s="28"/>
      <c r="O54" s="2"/>
      <c r="P54" s="2"/>
      <c r="Q54" s="2"/>
    </row>
    <row r="55" spans="1:21">
      <c r="A55" s="12" t="s">
        <v>148</v>
      </c>
      <c r="B55">
        <v>500049</v>
      </c>
      <c r="C55" t="s">
        <v>53</v>
      </c>
      <c r="D55" s="8">
        <v>41505</v>
      </c>
      <c r="E55" s="12">
        <v>6.1894299999999998</v>
      </c>
      <c r="F55" s="12">
        <v>1.4175</v>
      </c>
      <c r="G55" s="21">
        <v>14.8409</v>
      </c>
      <c r="H55" s="15">
        <v>8.5999999999999998E-4</v>
      </c>
      <c r="I55" s="18">
        <v>8.8999999999999995E-5</v>
      </c>
      <c r="J55" s="18">
        <v>0.42652895140834574</v>
      </c>
      <c r="K55" s="43"/>
      <c r="L55" s="22">
        <v>0</v>
      </c>
      <c r="M55">
        <v>9107.7780000000002</v>
      </c>
      <c r="N55" s="27">
        <v>1024.45</v>
      </c>
      <c r="O55">
        <v>22.3</v>
      </c>
      <c r="P55">
        <v>-3884.7310000000002</v>
      </c>
      <c r="Q55">
        <v>62213.195</v>
      </c>
    </row>
    <row r="56" spans="1:21">
      <c r="A56" s="12" t="s">
        <v>149</v>
      </c>
      <c r="B56">
        <v>500520</v>
      </c>
      <c r="C56" t="s">
        <v>53</v>
      </c>
      <c r="D56" s="8">
        <v>41435</v>
      </c>
      <c r="E56" s="12">
        <v>9.01187</v>
      </c>
      <c r="F56" s="12">
        <v>1.2794000000000001</v>
      </c>
      <c r="G56" s="21">
        <v>17.764800000000001</v>
      </c>
      <c r="H56" s="15">
        <v>3.2042600000000001</v>
      </c>
      <c r="I56" s="18">
        <v>0.53199399999999997</v>
      </c>
      <c r="J56" s="18">
        <v>0.80293471896955504</v>
      </c>
      <c r="K56" s="43"/>
      <c r="L56" s="22">
        <v>0</v>
      </c>
      <c r="M56">
        <v>40992</v>
      </c>
      <c r="N56" s="27">
        <v>1010.25</v>
      </c>
      <c r="O56">
        <v>12.5</v>
      </c>
      <c r="P56">
        <v>-32913.9</v>
      </c>
      <c r="Q56">
        <v>675133.5</v>
      </c>
      <c r="S56" s="27"/>
      <c r="T56" s="27"/>
    </row>
    <row r="57" spans="1:21">
      <c r="A57" s="12" t="s">
        <v>150</v>
      </c>
      <c r="B57">
        <v>500164</v>
      </c>
      <c r="C57" t="s">
        <v>53</v>
      </c>
      <c r="D57" s="8">
        <v>41466</v>
      </c>
      <c r="E57" s="12">
        <v>21.243259999999999</v>
      </c>
      <c r="F57" s="12">
        <v>1.1625000000000001</v>
      </c>
      <c r="G57" s="21">
        <v>13.643000000000001</v>
      </c>
      <c r="H57" s="15">
        <v>6.5389299999999997</v>
      </c>
      <c r="I57" s="18">
        <v>0.42273899999999998</v>
      </c>
      <c r="J57" s="18">
        <v>1.7700547062733269</v>
      </c>
      <c r="K57" s="43"/>
      <c r="L57" s="22">
        <v>0</v>
      </c>
      <c r="M57">
        <v>3911.8</v>
      </c>
      <c r="N57" s="27">
        <v>292.2</v>
      </c>
      <c r="O57">
        <v>3.5</v>
      </c>
      <c r="P57">
        <v>-6924.1</v>
      </c>
      <c r="Q57">
        <v>70171.399999999994</v>
      </c>
      <c r="S57" s="27"/>
      <c r="T57" s="27"/>
    </row>
    <row r="58" spans="1:21">
      <c r="A58" s="12" t="s">
        <v>151</v>
      </c>
      <c r="B58">
        <v>500570</v>
      </c>
      <c r="C58" t="s">
        <v>53</v>
      </c>
      <c r="D58" s="8">
        <v>41449</v>
      </c>
      <c r="E58" s="12">
        <v>5.25014</v>
      </c>
      <c r="F58" s="12">
        <v>0.70499999999999996</v>
      </c>
      <c r="G58" s="21">
        <v>28.096800000000002</v>
      </c>
      <c r="H58" s="15">
        <v>2.6295199999999999</v>
      </c>
      <c r="I58" s="18">
        <v>0.59175500000000003</v>
      </c>
      <c r="J58" s="18">
        <v>1.8960648403201983</v>
      </c>
      <c r="K58" s="43"/>
      <c r="L58" s="22">
        <v>0</v>
      </c>
      <c r="M58">
        <v>98926.1</v>
      </c>
      <c r="N58" s="27">
        <v>381.4</v>
      </c>
      <c r="O58">
        <v>2</v>
      </c>
      <c r="P58">
        <v>-187570.3</v>
      </c>
      <c r="Q58">
        <v>1888176.3</v>
      </c>
      <c r="S58" s="23"/>
      <c r="T58" s="23"/>
    </row>
    <row r="59" spans="1:21">
      <c r="A59" s="12" t="s">
        <v>152</v>
      </c>
      <c r="B59">
        <v>500366</v>
      </c>
      <c r="C59" t="s">
        <v>53</v>
      </c>
      <c r="D59" s="8">
        <v>41577</v>
      </c>
      <c r="E59" s="12">
        <v>4.4769399999999999</v>
      </c>
      <c r="F59" s="12">
        <v>4.8426</v>
      </c>
      <c r="G59" s="21">
        <v>-43.496200000000002</v>
      </c>
      <c r="H59" s="15">
        <v>4.06616</v>
      </c>
      <c r="I59" s="18">
        <v>0.65312399999999993</v>
      </c>
      <c r="J59" s="18">
        <v>-1.7894040682086298</v>
      </c>
      <c r="K59" s="20"/>
      <c r="L59" s="22">
        <v>0</v>
      </c>
      <c r="M59">
        <v>-8391.9</v>
      </c>
      <c r="N59" s="27">
        <v>71.5</v>
      </c>
      <c r="O59">
        <v>3</v>
      </c>
      <c r="P59">
        <v>-15016.5</v>
      </c>
      <c r="Q59">
        <v>21890</v>
      </c>
      <c r="S59" s="27"/>
      <c r="T59" s="27"/>
    </row>
    <row r="60" spans="1:21">
      <c r="A60" s="12" t="s">
        <v>153</v>
      </c>
      <c r="B60">
        <v>500477</v>
      </c>
      <c r="C60" t="s">
        <v>53</v>
      </c>
      <c r="D60" s="8">
        <v>41404</v>
      </c>
      <c r="E60" s="12">
        <v>12.016730000000001</v>
      </c>
      <c r="F60" s="12">
        <v>2.6785000000000001</v>
      </c>
      <c r="G60" s="21">
        <v>10.0077</v>
      </c>
      <c r="H60" s="15">
        <v>5.0806699999999996</v>
      </c>
      <c r="I60" s="18">
        <v>0.49434299999999998</v>
      </c>
      <c r="J60" s="18">
        <v>1.4967767387499433</v>
      </c>
      <c r="K60" s="20"/>
      <c r="L60" s="22">
        <v>0</v>
      </c>
      <c r="M60">
        <v>4337.067</v>
      </c>
      <c r="N60" s="27">
        <v>17.5</v>
      </c>
      <c r="O60">
        <v>0.6</v>
      </c>
      <c r="P60">
        <v>-6491.6210000000001</v>
      </c>
      <c r="Q60">
        <v>124812</v>
      </c>
      <c r="S60" s="27"/>
      <c r="T60" s="27"/>
    </row>
    <row r="61" spans="1:21">
      <c r="A61" s="12" t="s">
        <v>154</v>
      </c>
      <c r="B61" s="47">
        <v>532493</v>
      </c>
      <c r="C61" t="s">
        <v>53</v>
      </c>
      <c r="D61" s="8">
        <v>41393</v>
      </c>
      <c r="E61" s="12">
        <v>3.7385899999999999</v>
      </c>
      <c r="F61" s="12">
        <v>1.889</v>
      </c>
      <c r="G61" s="21">
        <v>19.982099999999999</v>
      </c>
      <c r="H61" s="15">
        <v>0.67579</v>
      </c>
      <c r="I61" s="18">
        <v>0.18739999999999998</v>
      </c>
      <c r="J61" s="18">
        <v>0.72859556201757247</v>
      </c>
      <c r="K61" s="20"/>
      <c r="L61" s="22">
        <v>0</v>
      </c>
      <c r="M61">
        <v>371.85500999999999</v>
      </c>
      <c r="N61" s="27">
        <v>47.45</v>
      </c>
      <c r="O61">
        <v>0.8</v>
      </c>
      <c r="P61">
        <v>-270.93191000000002</v>
      </c>
      <c r="Q61">
        <v>2278.7793700000002</v>
      </c>
      <c r="S61" s="27"/>
      <c r="T61" s="27"/>
    </row>
    <row r="62" spans="1:21">
      <c r="A62" s="12" t="s">
        <v>155</v>
      </c>
      <c r="B62" s="47">
        <v>533339</v>
      </c>
      <c r="C62" t="s">
        <v>53</v>
      </c>
      <c r="D62" s="8">
        <v>41489</v>
      </c>
      <c r="E62" s="12">
        <v>5.4350699999999996</v>
      </c>
      <c r="F62" s="12">
        <v>9.4751999999999992</v>
      </c>
      <c r="G62" s="21">
        <v>4.4428999999999998</v>
      </c>
      <c r="H62" s="15">
        <v>2.6157699999999999</v>
      </c>
      <c r="I62" s="18">
        <v>0.11042500000000001</v>
      </c>
      <c r="J62" s="18">
        <v>1.075469438492622</v>
      </c>
      <c r="K62" s="20"/>
      <c r="L62" s="22">
        <v>0</v>
      </c>
      <c r="M62">
        <v>46.843730000000001</v>
      </c>
      <c r="N62" s="27">
        <v>71.45</v>
      </c>
      <c r="O62">
        <v>1</v>
      </c>
      <c r="P62">
        <v>-50.378999999999998</v>
      </c>
      <c r="Q62">
        <v>371.37229000000002</v>
      </c>
      <c r="S62" s="27"/>
      <c r="T62" s="27"/>
    </row>
    <row r="63" spans="1:21">
      <c r="A63" s="12" t="s">
        <v>156</v>
      </c>
      <c r="B63">
        <v>523606</v>
      </c>
      <c r="C63" t="s">
        <v>53</v>
      </c>
      <c r="D63" s="8">
        <v>41498</v>
      </c>
      <c r="E63" s="12">
        <v>6.83725</v>
      </c>
      <c r="F63" s="12">
        <v>2.5916999999999999</v>
      </c>
      <c r="G63" s="21">
        <v>1.9035</v>
      </c>
      <c r="H63" s="15">
        <v>1.89086</v>
      </c>
      <c r="I63" s="18">
        <v>6.1635000000000002E-2</v>
      </c>
      <c r="J63" s="18">
        <v>0.78000098032996745</v>
      </c>
      <c r="K63" s="20"/>
      <c r="L63" s="22">
        <v>0</v>
      </c>
      <c r="M63">
        <v>6.9364400000000002</v>
      </c>
      <c r="N63" s="27">
        <v>38.4</v>
      </c>
      <c r="O63">
        <v>0.6</v>
      </c>
      <c r="P63">
        <v>-5.4104299999999999</v>
      </c>
      <c r="Q63">
        <v>74.021730000000005</v>
      </c>
      <c r="S63" s="27"/>
      <c r="T63" s="27"/>
    </row>
    <row r="64" spans="1:21">
      <c r="A64" s="12" t="s">
        <v>157</v>
      </c>
      <c r="B64" s="48">
        <v>522229</v>
      </c>
      <c r="C64" s="48" t="s">
        <v>53</v>
      </c>
      <c r="D64" s="49">
        <v>41491</v>
      </c>
      <c r="E64" s="50">
        <v>8.6838999999999995</v>
      </c>
      <c r="F64" s="50">
        <v>0</v>
      </c>
      <c r="G64" s="51">
        <v>-0.21890000000000001</v>
      </c>
      <c r="H64" s="52">
        <v>5.3308</v>
      </c>
      <c r="I64" s="53">
        <v>0.26802799999999999</v>
      </c>
      <c r="J64" s="53">
        <v>-21.921576939381094</v>
      </c>
      <c r="K64" s="20"/>
      <c r="L64" s="22">
        <v>0</v>
      </c>
      <c r="M64">
        <v>-2.359</v>
      </c>
      <c r="N64" s="27">
        <v>29.4</v>
      </c>
      <c r="O64">
        <v>0</v>
      </c>
      <c r="P64">
        <v>-51.713000000000001</v>
      </c>
      <c r="Q64">
        <v>536.66399999999999</v>
      </c>
      <c r="S64" s="27"/>
      <c r="T64" s="27"/>
    </row>
    <row r="65" spans="1:20">
      <c r="D65" s="12" t="s">
        <v>24</v>
      </c>
      <c r="E65" s="16">
        <v>-0.23333333333333334</v>
      </c>
      <c r="F65" s="16">
        <v>-0.13333333333333333</v>
      </c>
      <c r="G65" s="16">
        <v>0.53333333333333333</v>
      </c>
      <c r="H65" s="16">
        <v>-0.13333333333333333</v>
      </c>
      <c r="I65" s="16">
        <v>0.46666666666666667</v>
      </c>
      <c r="J65" s="16"/>
      <c r="K65" s="20"/>
      <c r="L65" s="20"/>
      <c r="M65" s="20"/>
      <c r="S65" s="27"/>
      <c r="T65" s="27"/>
    </row>
    <row r="66" spans="1:20">
      <c r="D66" s="36"/>
      <c r="E66" s="27"/>
      <c r="F66" s="27"/>
      <c r="G66" s="27"/>
      <c r="H66" s="32"/>
      <c r="I66" s="20"/>
      <c r="J66" s="20"/>
      <c r="K66" s="20"/>
      <c r="L66" s="20"/>
      <c r="M66" s="20"/>
      <c r="S66" s="27"/>
      <c r="T66" s="27"/>
    </row>
    <row r="67" spans="1:20">
      <c r="A67" t="s">
        <v>81</v>
      </c>
      <c r="D67" s="36"/>
      <c r="E67" s="27"/>
      <c r="F67" s="27"/>
      <c r="G67" s="27"/>
      <c r="H67" s="32"/>
      <c r="I67" s="20"/>
      <c r="J67" s="20"/>
      <c r="K67" s="20"/>
      <c r="L67" s="20"/>
      <c r="M67" s="20"/>
      <c r="S67" s="27"/>
      <c r="T67" s="27"/>
    </row>
    <row r="68" spans="1:20">
      <c r="A68" t="s">
        <v>82</v>
      </c>
      <c r="D68" s="36"/>
      <c r="E68" s="27"/>
      <c r="F68" s="27"/>
      <c r="G68" s="27"/>
      <c r="H68" s="32"/>
      <c r="I68" s="20"/>
      <c r="J68" s="20"/>
      <c r="K68" s="20"/>
      <c r="L68" s="20"/>
      <c r="M68" s="20"/>
      <c r="S68" s="27"/>
      <c r="T68" s="27"/>
    </row>
    <row r="69" spans="1:20">
      <c r="A69" t="s">
        <v>83</v>
      </c>
      <c r="D69" s="36"/>
      <c r="E69" s="27"/>
      <c r="F69" s="27"/>
      <c r="G69" s="27"/>
      <c r="H69" s="32"/>
      <c r="I69" s="20"/>
      <c r="J69" s="20"/>
      <c r="K69" s="20"/>
      <c r="L69" s="20"/>
      <c r="M69" s="20"/>
    </row>
    <row r="70" spans="1:20">
      <c r="A70" t="s">
        <v>84</v>
      </c>
      <c r="D70" s="36"/>
      <c r="E70" s="27"/>
      <c r="F70" s="27"/>
      <c r="G70" s="27"/>
      <c r="H70" s="32"/>
      <c r="I70" s="20"/>
      <c r="J70" s="20"/>
      <c r="K70" s="20"/>
      <c r="L70" s="20"/>
      <c r="M70" s="20"/>
    </row>
    <row r="71" spans="1:20">
      <c r="C71" t="s">
        <v>1</v>
      </c>
      <c r="D71" t="s">
        <v>40</v>
      </c>
      <c r="E71" t="s">
        <v>41</v>
      </c>
      <c r="F71" t="s">
        <v>42</v>
      </c>
      <c r="G71" s="27"/>
      <c r="H71" s="32"/>
      <c r="I71" s="20"/>
      <c r="J71" s="20"/>
      <c r="K71" s="20"/>
      <c r="L71" s="20"/>
      <c r="M71" s="20"/>
    </row>
    <row r="72" spans="1:20">
      <c r="D72" s="36"/>
      <c r="E72" s="27"/>
      <c r="F72" s="27"/>
      <c r="G72" s="27"/>
      <c r="H72" s="32"/>
      <c r="I72" s="20"/>
      <c r="J72" s="20"/>
      <c r="K72" s="20"/>
      <c r="L72" s="20"/>
      <c r="M72" s="20"/>
    </row>
    <row r="73" spans="1:20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</row>
    <row r="74" spans="1:20" ht="30">
      <c r="A74" t="s">
        <v>143</v>
      </c>
      <c r="B74" s="9"/>
      <c r="C74" s="2"/>
      <c r="D74" t="s">
        <v>57</v>
      </c>
      <c r="E74" s="12" t="s">
        <v>58</v>
      </c>
      <c r="F74" s="14" t="s">
        <v>59</v>
      </c>
      <c r="G74" s="14" t="s">
        <v>63</v>
      </c>
      <c r="H74" s="14" t="s">
        <v>61</v>
      </c>
      <c r="I74" s="14" t="s">
        <v>62</v>
      </c>
      <c r="J74" s="12"/>
      <c r="K74" s="42"/>
      <c r="L74" s="19" t="s">
        <v>64</v>
      </c>
      <c r="M74" s="2" t="s">
        <v>65</v>
      </c>
      <c r="N74" s="28" t="s">
        <v>66</v>
      </c>
      <c r="O74" s="2" t="s">
        <v>67</v>
      </c>
      <c r="P74" s="2" t="s">
        <v>68</v>
      </c>
      <c r="Q74" s="2" t="s">
        <v>69</v>
      </c>
    </row>
    <row r="75" spans="1:20">
      <c r="C75" s="2"/>
      <c r="E75" s="12" t="s">
        <v>34</v>
      </c>
      <c r="F75" s="14" t="s">
        <v>33</v>
      </c>
      <c r="G75" s="14" t="s">
        <v>28</v>
      </c>
      <c r="H75" s="14" t="s">
        <v>31</v>
      </c>
      <c r="I75" s="14" t="s">
        <v>30</v>
      </c>
      <c r="J75" s="44" t="s">
        <v>32</v>
      </c>
      <c r="K75" s="42"/>
      <c r="L75" s="19" t="s">
        <v>29</v>
      </c>
      <c r="M75" s="2"/>
      <c r="N75" s="28"/>
      <c r="O75" s="2"/>
      <c r="P75" s="2"/>
      <c r="Q75" s="2"/>
    </row>
    <row r="76" spans="1:20">
      <c r="A76" s="12" t="s">
        <v>158</v>
      </c>
      <c r="B76" t="s">
        <v>130</v>
      </c>
      <c r="C76" t="s">
        <v>132</v>
      </c>
      <c r="D76" s="8">
        <v>41346</v>
      </c>
      <c r="E76" s="12">
        <v>5.8387700000000002</v>
      </c>
      <c r="F76" s="12">
        <v>3.0733999999999999</v>
      </c>
      <c r="G76" s="21">
        <v>17.297499999999999</v>
      </c>
      <c r="H76" s="15">
        <v>1.96753</v>
      </c>
      <c r="I76" s="18">
        <v>0.39031100000000002</v>
      </c>
      <c r="J76" s="18">
        <v>0.4862847646221386</v>
      </c>
      <c r="K76" s="43"/>
      <c r="L76" s="22">
        <v>-26.006</v>
      </c>
      <c r="M76">
        <v>167.87899999999999</v>
      </c>
      <c r="N76" s="27">
        <v>211.4</v>
      </c>
      <c r="O76">
        <v>4.1503199999999998</v>
      </c>
      <c r="P76">
        <v>-81.637</v>
      </c>
      <c r="Q76">
        <v>2888.607</v>
      </c>
    </row>
    <row r="77" spans="1:20">
      <c r="A77" s="12" t="s">
        <v>159</v>
      </c>
      <c r="B77" t="s">
        <v>131</v>
      </c>
      <c r="C77" t="s">
        <v>132</v>
      </c>
      <c r="D77" s="8">
        <v>41366</v>
      </c>
      <c r="E77" s="12">
        <v>5.0549499999999998</v>
      </c>
      <c r="F77" s="12">
        <v>0</v>
      </c>
      <c r="G77" s="21">
        <v>20.095500000000001</v>
      </c>
      <c r="H77" s="15">
        <v>0</v>
      </c>
      <c r="I77" s="18">
        <v>0</v>
      </c>
      <c r="J77" s="18">
        <v>0</v>
      </c>
      <c r="K77" s="43"/>
      <c r="L77" s="22">
        <v>0</v>
      </c>
      <c r="M77">
        <v>36.347999999999999</v>
      </c>
      <c r="N77" s="27">
        <v>7.8490000000000002</v>
      </c>
      <c r="O77">
        <v>0</v>
      </c>
      <c r="P77">
        <v>0</v>
      </c>
      <c r="Q77">
        <v>303.39400000000001</v>
      </c>
    </row>
    <row r="78" spans="1:20">
      <c r="A78" s="12" t="s">
        <v>160</v>
      </c>
      <c r="B78" t="s">
        <v>133</v>
      </c>
      <c r="C78" t="s">
        <v>132</v>
      </c>
      <c r="D78" s="8">
        <v>41354</v>
      </c>
      <c r="E78" s="12">
        <v>8.3144899999999993</v>
      </c>
      <c r="F78" s="12">
        <v>0</v>
      </c>
      <c r="G78" s="21">
        <v>3.2170000000000001</v>
      </c>
      <c r="H78" s="15">
        <v>1.20059</v>
      </c>
      <c r="I78" s="18">
        <v>7.4664999999999995E-2</v>
      </c>
      <c r="J78" s="18">
        <v>1.8968749999999999</v>
      </c>
      <c r="K78" s="43"/>
      <c r="L78" s="22">
        <v>-3.7999999999999999E-2</v>
      </c>
      <c r="M78">
        <v>0.32</v>
      </c>
      <c r="N78" s="27">
        <v>1.95</v>
      </c>
      <c r="O78">
        <v>0</v>
      </c>
      <c r="P78">
        <v>-0.60699999999999998</v>
      </c>
      <c r="Q78">
        <v>19.367999999999999</v>
      </c>
    </row>
    <row r="79" spans="1:20">
      <c r="A79" s="12" t="s">
        <v>161</v>
      </c>
      <c r="B79" t="s">
        <v>135</v>
      </c>
      <c r="C79" t="s">
        <v>132</v>
      </c>
      <c r="D79" s="8">
        <v>41354</v>
      </c>
      <c r="E79" s="12">
        <v>5.2729999999999997</v>
      </c>
      <c r="F79" s="12">
        <v>54.098100000000002</v>
      </c>
      <c r="G79" s="21">
        <v>12.5861</v>
      </c>
      <c r="H79" s="15">
        <v>0.20946999999999999</v>
      </c>
      <c r="I79" s="18">
        <v>8.2593E-2</v>
      </c>
      <c r="J79" s="18">
        <v>0.12657397691500524</v>
      </c>
      <c r="K79" s="20"/>
      <c r="L79" s="22">
        <v>0</v>
      </c>
      <c r="M79">
        <v>7.6239999999999997</v>
      </c>
      <c r="N79" s="27">
        <v>39.14</v>
      </c>
      <c r="O79">
        <v>26.216190000000001</v>
      </c>
      <c r="P79">
        <v>-0.96499999999999997</v>
      </c>
      <c r="Q79">
        <v>59.454000000000001</v>
      </c>
    </row>
    <row r="80" spans="1:20">
      <c r="A80" s="12" t="s">
        <v>162</v>
      </c>
      <c r="B80" t="s">
        <v>136</v>
      </c>
      <c r="C80" t="s">
        <v>132</v>
      </c>
      <c r="D80" s="8">
        <v>41348</v>
      </c>
      <c r="E80" s="12">
        <v>6.2588999999999997</v>
      </c>
      <c r="F80" s="12">
        <v>0.94689999999999996</v>
      </c>
      <c r="G80" s="21">
        <v>15.227499999999999</v>
      </c>
      <c r="H80" s="15">
        <v>1.69333</v>
      </c>
      <c r="I80" s="18">
        <v>0.277341</v>
      </c>
      <c r="J80" s="18">
        <v>0.45864374403056346</v>
      </c>
      <c r="K80" s="20"/>
      <c r="L80" s="22">
        <v>0</v>
      </c>
      <c r="M80">
        <v>5.2350000000000003</v>
      </c>
      <c r="N80" s="27">
        <v>20.9</v>
      </c>
      <c r="O80">
        <v>0</v>
      </c>
      <c r="P80">
        <v>-2.4009999999999998</v>
      </c>
      <c r="Q80">
        <v>72.706000000000003</v>
      </c>
    </row>
    <row r="81" spans="1:17">
      <c r="A81" s="12" t="s">
        <v>163</v>
      </c>
      <c r="B81" t="s">
        <v>134</v>
      </c>
      <c r="C81" t="s">
        <v>142</v>
      </c>
      <c r="D81" s="8">
        <v>40268</v>
      </c>
      <c r="E81" s="12">
        <v>0.3629</v>
      </c>
      <c r="F81" s="12">
        <v>0</v>
      </c>
      <c r="G81" s="21">
        <v>6.5109000000000004</v>
      </c>
      <c r="H81" s="15">
        <v>1.16733</v>
      </c>
      <c r="I81" s="18">
        <v>0.107141</v>
      </c>
      <c r="J81" s="18">
        <v>5.5820528983315784E-2</v>
      </c>
      <c r="K81" s="43"/>
      <c r="L81" s="22">
        <v>0</v>
      </c>
      <c r="M81">
        <v>5.48902</v>
      </c>
      <c r="N81" s="27">
        <v>2.9499999999999998E-2</v>
      </c>
      <c r="O81">
        <v>0</v>
      </c>
      <c r="P81">
        <v>-0.30640000000000001</v>
      </c>
      <c r="Q81">
        <v>18.17051</v>
      </c>
    </row>
    <row r="82" spans="1:17">
      <c r="A82" s="12" t="s">
        <v>164</v>
      </c>
      <c r="B82" t="s">
        <v>137</v>
      </c>
      <c r="C82" t="s">
        <v>142</v>
      </c>
      <c r="D82" s="8">
        <v>40615</v>
      </c>
      <c r="E82" s="12" t="s">
        <v>70</v>
      </c>
      <c r="F82" s="12">
        <v>0</v>
      </c>
      <c r="G82" s="21">
        <v>-108.2851</v>
      </c>
      <c r="H82" s="15" t="s">
        <v>70</v>
      </c>
      <c r="I82" s="18">
        <v>0.87640399999999996</v>
      </c>
      <c r="J82" s="18">
        <v>-0.12895426153536169</v>
      </c>
      <c r="K82" s="43"/>
      <c r="L82" s="22">
        <v>0</v>
      </c>
      <c r="M82">
        <v>-4.9630000000000001</v>
      </c>
      <c r="N82" s="27">
        <v>0</v>
      </c>
      <c r="O82">
        <v>0</v>
      </c>
      <c r="P82">
        <v>-0.64</v>
      </c>
      <c r="Q82">
        <v>32.033000000000001</v>
      </c>
    </row>
    <row r="83" spans="1:17">
      <c r="D83" s="12" t="s">
        <v>24</v>
      </c>
      <c r="E83" s="16">
        <v>-0.05</v>
      </c>
      <c r="F83" s="16">
        <v>-0.25714285714285712</v>
      </c>
      <c r="G83" s="16">
        <v>0.6</v>
      </c>
      <c r="H83" s="16">
        <v>0.14285714285714285</v>
      </c>
      <c r="I83" s="16">
        <v>0.88571428571428568</v>
      </c>
      <c r="J83" s="16"/>
      <c r="K83" s="20"/>
      <c r="L83" s="20"/>
      <c r="M83" s="20"/>
    </row>
    <row r="85" spans="1:17">
      <c r="A85" s="38"/>
    </row>
    <row r="92" spans="1:17">
      <c r="A92" s="46" t="s">
        <v>72</v>
      </c>
    </row>
    <row r="93" spans="1:17">
      <c r="A93" t="s">
        <v>73</v>
      </c>
    </row>
    <row r="94" spans="1:17">
      <c r="A94" t="s">
        <v>74</v>
      </c>
    </row>
    <row r="95" spans="1:17">
      <c r="A95" t="s">
        <v>75</v>
      </c>
    </row>
    <row r="96" spans="1:17">
      <c r="A96" t="s">
        <v>76</v>
      </c>
    </row>
    <row r="97" spans="1:5">
      <c r="A97" s="48" t="s">
        <v>77</v>
      </c>
      <c r="E97" t="s">
        <v>138</v>
      </c>
    </row>
    <row r="98" spans="1:5">
      <c r="A98" t="s">
        <v>78</v>
      </c>
    </row>
    <row r="99" spans="1:5">
      <c r="A99" t="s">
        <v>79</v>
      </c>
      <c r="D99">
        <v>919162</v>
      </c>
    </row>
    <row r="102" spans="1:5">
      <c r="A102" t="s">
        <v>80</v>
      </c>
    </row>
    <row r="103" spans="1:5">
      <c r="A103" t="s">
        <v>81</v>
      </c>
    </row>
    <row r="104" spans="1:5">
      <c r="A104" t="s">
        <v>82</v>
      </c>
    </row>
    <row r="105" spans="1:5">
      <c r="A105" t="s">
        <v>83</v>
      </c>
    </row>
    <row r="106" spans="1:5">
      <c r="A106" t="s">
        <v>84</v>
      </c>
    </row>
    <row r="110" spans="1:5">
      <c r="A110" t="s">
        <v>39</v>
      </c>
    </row>
    <row r="111" spans="1:5">
      <c r="A111" t="s">
        <v>44</v>
      </c>
    </row>
  </sheetData>
  <hyperlinks>
    <hyperlink ref="A92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 (13)</vt:lpstr>
      <vt:lpstr>Inputs (12)</vt:lpstr>
      <vt:lpstr>Inputs (11)</vt:lpstr>
      <vt:lpstr>Inputs (10)</vt:lpstr>
      <vt:lpstr>Inputs (7)</vt:lpstr>
      <vt:lpstr>Inputs (8)</vt:lpstr>
      <vt:lpstr>hardcoded</vt:lpstr>
      <vt:lpstr>Inputs (3)</vt:lpstr>
      <vt:lpstr>Inputs</vt:lpstr>
      <vt:lpstr>Inputs (2)</vt:lpstr>
      <vt:lpstr>Sheet1</vt:lpstr>
      <vt:lpstr>Inputs (6)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</cp:lastModifiedBy>
  <dcterms:created xsi:type="dcterms:W3CDTF">2014-03-11T20:13:55Z</dcterms:created>
  <dcterms:modified xsi:type="dcterms:W3CDTF">2014-12-30T12:50:49Z</dcterms:modified>
</cp:coreProperties>
</file>