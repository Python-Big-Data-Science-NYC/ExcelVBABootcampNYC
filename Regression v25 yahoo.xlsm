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Default Extension="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45" windowWidth="19155" windowHeight="7995" activeTab="7"/>
  </bookViews>
  <sheets>
    <sheet name="Output" sheetId="8" r:id="rId1"/>
    <sheet name="MRegression" sheetId="1" r:id="rId2"/>
    <sheet name="ADDRESSmatch" sheetId="2" state="hidden" r:id="rId3"/>
    <sheet name="indirect" sheetId="3" state="hidden" r:id="rId4"/>
    <sheet name="Test-regression" sheetId="6" r:id="rId5"/>
    <sheet name="Basics" sheetId="4" r:id="rId6"/>
    <sheet name="todo" sheetId="5" r:id="rId7"/>
    <sheet name="YahooData" sheetId="7" r:id="rId8"/>
  </sheets>
  <functionGroups/>
  <externalReferences>
    <externalReference r:id="rId9"/>
  </externalReferences>
  <definedNames>
    <definedName name="alpha">[1]Jumps!$B$8</definedName>
    <definedName name="jumpMean">[1]Jumps!$B$11</definedName>
    <definedName name="jumpProb">[1]Jumps!$B$10</definedName>
    <definedName name="jumpStdDev">[1]Jumps!$B$12</definedName>
    <definedName name="sigma">[1]Jumps!$B$9</definedName>
  </definedNames>
  <calcPr calcId="125725"/>
</workbook>
</file>

<file path=xl/calcChain.xml><?xml version="1.0" encoding="utf-8"?>
<calcChain xmlns="http://schemas.openxmlformats.org/spreadsheetml/2006/main">
  <c r="H5" i="8" a="1"/>
  <c r="H5" s="1"/>
  <c r="H6"/>
  <c r="H8"/>
  <c r="H10"/>
  <c r="G31" i="7"/>
  <c r="H31"/>
  <c r="I31"/>
  <c r="J31"/>
  <c r="K31"/>
  <c r="L31"/>
  <c r="M31"/>
  <c r="N31"/>
  <c r="E31"/>
  <c r="L100" i="1"/>
  <c r="K100"/>
  <c r="J100"/>
  <c r="I100"/>
  <c r="H100"/>
  <c r="G100"/>
  <c r="F100"/>
  <c r="E100"/>
  <c r="D100"/>
  <c r="L99"/>
  <c r="K99"/>
  <c r="J99"/>
  <c r="I99"/>
  <c r="H99"/>
  <c r="G99"/>
  <c r="F99"/>
  <c r="E99"/>
  <c r="D99"/>
  <c r="L98"/>
  <c r="K98"/>
  <c r="J98"/>
  <c r="I98"/>
  <c r="H98"/>
  <c r="G98"/>
  <c r="F98"/>
  <c r="E98"/>
  <c r="D98"/>
  <c r="L97"/>
  <c r="K97"/>
  <c r="J97"/>
  <c r="I97"/>
  <c r="H97"/>
  <c r="G97"/>
  <c r="F97"/>
  <c r="E97"/>
  <c r="D97"/>
  <c r="L96"/>
  <c r="K96"/>
  <c r="J96"/>
  <c r="I96"/>
  <c r="H96"/>
  <c r="G96"/>
  <c r="F96"/>
  <c r="E96"/>
  <c r="D96"/>
  <c r="L95"/>
  <c r="K95"/>
  <c r="J95"/>
  <c r="I95"/>
  <c r="H95"/>
  <c r="G95"/>
  <c r="F95"/>
  <c r="E95"/>
  <c r="D95"/>
  <c r="L94"/>
  <c r="K94"/>
  <c r="J94"/>
  <c r="I94"/>
  <c r="H94"/>
  <c r="G94"/>
  <c r="F94"/>
  <c r="E94"/>
  <c r="D94"/>
  <c r="L93"/>
  <c r="K93"/>
  <c r="J93"/>
  <c r="I93"/>
  <c r="H93"/>
  <c r="G93"/>
  <c r="F93"/>
  <c r="E93"/>
  <c r="D93"/>
  <c r="L92"/>
  <c r="K92"/>
  <c r="J92"/>
  <c r="I92"/>
  <c r="H92"/>
  <c r="G92"/>
  <c r="F92"/>
  <c r="E92"/>
  <c r="D92"/>
  <c r="L91"/>
  <c r="K91"/>
  <c r="J91"/>
  <c r="I91"/>
  <c r="H91"/>
  <c r="G91"/>
  <c r="F91"/>
  <c r="E91"/>
  <c r="D91"/>
  <c r="L90"/>
  <c r="K90"/>
  <c r="J90"/>
  <c r="I90"/>
  <c r="H90"/>
  <c r="G90"/>
  <c r="F90"/>
  <c r="E90"/>
  <c r="D90"/>
  <c r="L89"/>
  <c r="K89"/>
  <c r="J89"/>
  <c r="I89"/>
  <c r="H89"/>
  <c r="G89"/>
  <c r="F89"/>
  <c r="E89"/>
  <c r="D89"/>
  <c r="L88"/>
  <c r="K88"/>
  <c r="J88"/>
  <c r="I88"/>
  <c r="H88"/>
  <c r="G88"/>
  <c r="F88"/>
  <c r="E88"/>
  <c r="D88"/>
  <c r="L87"/>
  <c r="K87"/>
  <c r="J87"/>
  <c r="I87"/>
  <c r="H87"/>
  <c r="G87"/>
  <c r="F87"/>
  <c r="E87"/>
  <c r="D87"/>
  <c r="L86"/>
  <c r="K86"/>
  <c r="J86"/>
  <c r="I86"/>
  <c r="H86"/>
  <c r="G86"/>
  <c r="F86"/>
  <c r="E86"/>
  <c r="D86"/>
  <c r="L85"/>
  <c r="K85"/>
  <c r="J85"/>
  <c r="I85"/>
  <c r="H85"/>
  <c r="G85"/>
  <c r="F85"/>
  <c r="E85"/>
  <c r="D85"/>
  <c r="L84"/>
  <c r="K84"/>
  <c r="J84"/>
  <c r="I84"/>
  <c r="H84"/>
  <c r="G84"/>
  <c r="F84"/>
  <c r="E84"/>
  <c r="D84"/>
  <c r="L83"/>
  <c r="K83"/>
  <c r="J83"/>
  <c r="I83"/>
  <c r="H83"/>
  <c r="G83"/>
  <c r="F83"/>
  <c r="E83"/>
  <c r="D83"/>
  <c r="L82"/>
  <c r="K82"/>
  <c r="J82"/>
  <c r="I82"/>
  <c r="H82"/>
  <c r="G82"/>
  <c r="F82"/>
  <c r="E82"/>
  <c r="D82"/>
  <c r="L81"/>
  <c r="K81"/>
  <c r="J81"/>
  <c r="I81"/>
  <c r="H81"/>
  <c r="G81"/>
  <c r="F81"/>
  <c r="E81"/>
  <c r="D81"/>
  <c r="L80"/>
  <c r="K80"/>
  <c r="J80"/>
  <c r="I80"/>
  <c r="H80"/>
  <c r="G80"/>
  <c r="F80"/>
  <c r="E80"/>
  <c r="D80"/>
  <c r="L79"/>
  <c r="K79"/>
  <c r="J79"/>
  <c r="I79"/>
  <c r="H79"/>
  <c r="G79"/>
  <c r="F79"/>
  <c r="E79"/>
  <c r="D79"/>
  <c r="L78"/>
  <c r="K78"/>
  <c r="J78"/>
  <c r="I78"/>
  <c r="H78"/>
  <c r="G78"/>
  <c r="F78"/>
  <c r="E78"/>
  <c r="D78"/>
  <c r="L77"/>
  <c r="K77"/>
  <c r="J77"/>
  <c r="I77"/>
  <c r="H77"/>
  <c r="G77"/>
  <c r="F77"/>
  <c r="E77"/>
  <c r="D77"/>
  <c r="L76"/>
  <c r="K76"/>
  <c r="J76"/>
  <c r="I76"/>
  <c r="H76"/>
  <c r="G76"/>
  <c r="E76"/>
  <c r="D76"/>
  <c r="D9" s="1"/>
  <c r="L75"/>
  <c r="K75"/>
  <c r="J75"/>
  <c r="I75"/>
  <c r="H75"/>
  <c r="G75"/>
  <c r="F75"/>
  <c r="E75"/>
  <c r="D75"/>
  <c r="L74"/>
  <c r="K74"/>
  <c r="J74"/>
  <c r="I74"/>
  <c r="H74"/>
  <c r="G74"/>
  <c r="F74"/>
  <c r="E74"/>
  <c r="D74"/>
  <c r="L73"/>
  <c r="K73"/>
  <c r="J73"/>
  <c r="I73"/>
  <c r="H73"/>
  <c r="G73"/>
  <c r="F73"/>
  <c r="E73"/>
  <c r="D73"/>
  <c r="D25"/>
  <c r="D24"/>
  <c r="D21"/>
  <c r="D20"/>
  <c r="D17"/>
  <c r="D72"/>
  <c r="E72"/>
  <c r="G72"/>
  <c r="H72"/>
  <c r="I72"/>
  <c r="J72"/>
  <c r="K72"/>
  <c r="L72"/>
  <c r="D28"/>
  <c r="D32"/>
  <c r="D36"/>
  <c r="D16"/>
  <c r="D44"/>
  <c r="I14" i="8" s="1"/>
  <c r="D42" i="1"/>
  <c r="D40"/>
  <c r="D38"/>
  <c r="D34"/>
  <c r="D30"/>
  <c r="D26"/>
  <c r="D22"/>
  <c r="D18"/>
  <c r="D14"/>
  <c r="D13"/>
  <c r="D12"/>
  <c r="D10"/>
  <c r="D8"/>
  <c r="E71"/>
  <c r="F71"/>
  <c r="G71"/>
  <c r="H71"/>
  <c r="I71"/>
  <c r="J71"/>
  <c r="K71"/>
  <c r="L71"/>
  <c r="D71"/>
  <c r="C1" i="7"/>
  <c r="N1"/>
  <c r="K17" i="8"/>
  <c r="K16"/>
  <c r="D7" i="1"/>
  <c r="D11"/>
  <c r="D15"/>
  <c r="D19"/>
  <c r="D23"/>
  <c r="D27"/>
  <c r="D29"/>
  <c r="D31"/>
  <c r="D33"/>
  <c r="D35"/>
  <c r="D37"/>
  <c r="D39"/>
  <c r="D41"/>
  <c r="D43"/>
  <c r="D45"/>
  <c r="C60"/>
  <c r="F3" i="7"/>
  <c r="F4"/>
  <c r="F5"/>
  <c r="F7"/>
  <c r="F8"/>
  <c r="F9"/>
  <c r="F11"/>
  <c r="F12"/>
  <c r="F14"/>
  <c r="F15"/>
  <c r="F16"/>
  <c r="F17"/>
  <c r="F18"/>
  <c r="F19"/>
  <c r="F20"/>
  <c r="F21"/>
  <c r="F22"/>
  <c r="F23"/>
  <c r="F24"/>
  <c r="F26"/>
  <c r="F27"/>
  <c r="F28"/>
  <c r="F29"/>
  <c r="F30"/>
  <c r="F6"/>
  <c r="F31" s="1"/>
  <c r="F2"/>
  <c r="F72" i="1" s="1"/>
  <c r="Q1"/>
  <c r="Q68" s="1"/>
  <c r="Q70" s="1"/>
  <c r="R1"/>
  <c r="R68" s="1"/>
  <c r="R70" s="1"/>
  <c r="S1"/>
  <c r="S68" s="1"/>
  <c r="S70" s="1"/>
  <c r="T1"/>
  <c r="T68" s="1"/>
  <c r="T70" s="1"/>
  <c r="H9" i="8" l="1"/>
  <c r="H7"/>
  <c r="F76" i="1"/>
  <c r="B44"/>
  <c r="D5"/>
  <c r="T66"/>
  <c r="R66"/>
  <c r="D6"/>
  <c r="S66"/>
  <c r="Q66"/>
  <c r="D67" i="6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K17"/>
  <c r="G1" i="1"/>
  <c r="G68" s="1"/>
  <c r="I1"/>
  <c r="I68" s="1"/>
  <c r="J1"/>
  <c r="H1"/>
  <c r="H68" s="1"/>
  <c r="L1"/>
  <c r="L68" s="1"/>
  <c r="F1"/>
  <c r="F68" s="1"/>
  <c r="E1"/>
  <c r="E68" s="1"/>
  <c r="K1"/>
  <c r="K68" s="1"/>
  <c r="M1"/>
  <c r="M68" s="1"/>
  <c r="N1"/>
  <c r="O1"/>
  <c r="O68" s="1"/>
  <c r="O70" s="1"/>
  <c r="P1"/>
  <c r="P68" s="1"/>
  <c r="P70" s="1"/>
  <c r="N68"/>
  <c r="N70" s="1"/>
  <c r="F66"/>
  <c r="G66"/>
  <c r="H66"/>
  <c r="I66"/>
  <c r="J66"/>
  <c r="K66"/>
  <c r="L66"/>
  <c r="M66"/>
  <c r="N66"/>
  <c r="O66"/>
  <c r="P66"/>
  <c r="E66"/>
  <c r="G39" i="4"/>
  <c r="D51" i="1"/>
  <c r="H24" i="4"/>
  <c r="H27"/>
  <c r="H26"/>
  <c r="I21"/>
  <c r="I22"/>
  <c r="I23"/>
  <c r="I20"/>
  <c r="E7"/>
  <c r="H7"/>
  <c r="G7"/>
  <c r="F7"/>
  <c r="D12"/>
  <c r="B21" a="1"/>
  <c r="B21"/>
  <c r="A17"/>
  <c r="A16"/>
  <c r="B53" i="1"/>
  <c r="O117"/>
  <c r="M117"/>
  <c r="K117"/>
  <c r="I117"/>
  <c r="G117"/>
  <c r="E117"/>
  <c r="C6" i="2"/>
  <c r="C23" i="4"/>
  <c r="D24"/>
  <c r="B22"/>
  <c r="C25"/>
  <c r="B24"/>
  <c r="D22"/>
  <c r="C21"/>
  <c r="D7"/>
  <c r="D25"/>
  <c r="B25"/>
  <c r="C24"/>
  <c r="D23"/>
  <c r="B23"/>
  <c r="C22"/>
  <c r="D21"/>
  <c r="D8"/>
  <c r="D11"/>
  <c r="D10"/>
  <c r="D9"/>
  <c r="A12" i="3"/>
  <c r="B7"/>
  <c r="U50" i="1" l="1"/>
  <c r="F117"/>
  <c r="H117"/>
  <c r="J117"/>
  <c r="L117"/>
  <c r="N117"/>
  <c r="P117"/>
  <c r="C61"/>
  <c r="D2"/>
  <c r="J68"/>
  <c r="L70" s="1"/>
  <c r="K70" l="1"/>
  <c r="F70"/>
  <c r="G70"/>
  <c r="M70"/>
  <c r="J70"/>
  <c r="E70"/>
  <c r="I70"/>
  <c r="H70"/>
  <c r="Q3"/>
  <c r="S3"/>
  <c r="R3"/>
  <c r="T3"/>
  <c r="E3"/>
  <c r="E33" s="1"/>
  <c r="I3"/>
  <c r="G3"/>
  <c r="G33" s="1"/>
  <c r="K3"/>
  <c r="M3"/>
  <c r="M4" s="1"/>
  <c r="O3"/>
  <c r="O4" s="1"/>
  <c r="F3"/>
  <c r="F33" s="1"/>
  <c r="H3"/>
  <c r="H33" s="1"/>
  <c r="J3"/>
  <c r="L3"/>
  <c r="N3"/>
  <c r="N4" s="1"/>
  <c r="P3"/>
  <c r="P4" s="1"/>
  <c r="E4" l="1"/>
  <c r="N4" i="8" a="1"/>
  <c r="F4" i="1"/>
  <c r="F65" s="1"/>
  <c r="G4"/>
  <c r="L4"/>
  <c r="H4"/>
  <c r="K4"/>
  <c r="I4"/>
  <c r="J4"/>
  <c r="J65" s="1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T50" s="1"/>
  <c r="T4"/>
  <c r="T6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S50" s="1"/>
  <c r="S4"/>
  <c r="S65" s="1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50" s="1"/>
  <c r="R4"/>
  <c r="R65" s="1"/>
  <c r="Q44"/>
  <c r="Q43"/>
  <c r="Q42"/>
  <c r="Q41"/>
  <c r="Q40"/>
  <c r="Q39"/>
  <c r="Q38"/>
  <c r="Q37"/>
  <c r="Q36"/>
  <c r="Q35"/>
  <c r="Q34"/>
  <c r="Q33"/>
  <c r="Q32"/>
  <c r="Q31"/>
  <c r="Q30"/>
  <c r="Q29"/>
  <c r="Q28"/>
  <c r="Q27"/>
  <c r="Q26"/>
  <c r="Q25"/>
  <c r="Q24"/>
  <c r="Q23"/>
  <c r="Q22"/>
  <c r="Q21"/>
  <c r="Q20"/>
  <c r="Q19"/>
  <c r="Q18"/>
  <c r="Q17"/>
  <c r="Q16"/>
  <c r="Q15"/>
  <c r="Q14"/>
  <c r="Q13"/>
  <c r="Q12"/>
  <c r="Q11"/>
  <c r="Q10"/>
  <c r="Q9"/>
  <c r="Q8"/>
  <c r="Q7"/>
  <c r="Q6"/>
  <c r="Q5"/>
  <c r="Q50" s="1"/>
  <c r="Q4"/>
  <c r="Q65" s="1"/>
  <c r="J44"/>
  <c r="J5"/>
  <c r="J7"/>
  <c r="J9"/>
  <c r="J11"/>
  <c r="J13"/>
  <c r="J15"/>
  <c r="J17"/>
  <c r="J19"/>
  <c r="J21"/>
  <c r="J23"/>
  <c r="J25"/>
  <c r="J27"/>
  <c r="J29"/>
  <c r="J31"/>
  <c r="J33"/>
  <c r="J35"/>
  <c r="J37"/>
  <c r="J39"/>
  <c r="J41"/>
  <c r="J43"/>
  <c r="J6"/>
  <c r="J10"/>
  <c r="J14"/>
  <c r="J18"/>
  <c r="J22"/>
  <c r="J26"/>
  <c r="J30"/>
  <c r="J34"/>
  <c r="J38"/>
  <c r="J42"/>
  <c r="J8"/>
  <c r="J12"/>
  <c r="J16"/>
  <c r="J20"/>
  <c r="J24"/>
  <c r="J28"/>
  <c r="J32"/>
  <c r="J36"/>
  <c r="J40"/>
  <c r="F44"/>
  <c r="F5"/>
  <c r="F7"/>
  <c r="F9"/>
  <c r="F11"/>
  <c r="F13"/>
  <c r="F15"/>
  <c r="F17"/>
  <c r="F19"/>
  <c r="F21"/>
  <c r="F23"/>
  <c r="F25"/>
  <c r="F27"/>
  <c r="F29"/>
  <c r="F31"/>
  <c r="F35"/>
  <c r="F37"/>
  <c r="F39"/>
  <c r="F41"/>
  <c r="F43"/>
  <c r="F6"/>
  <c r="F10"/>
  <c r="F14"/>
  <c r="F18"/>
  <c r="F22"/>
  <c r="F26"/>
  <c r="F30"/>
  <c r="F34"/>
  <c r="F38"/>
  <c r="F42"/>
  <c r="F8"/>
  <c r="F12"/>
  <c r="F16"/>
  <c r="F20"/>
  <c r="F24"/>
  <c r="F28"/>
  <c r="F32"/>
  <c r="F36"/>
  <c r="F40"/>
  <c r="G44"/>
  <c r="G6"/>
  <c r="G8"/>
  <c r="G10"/>
  <c r="G12"/>
  <c r="G14"/>
  <c r="G16"/>
  <c r="G18"/>
  <c r="G20"/>
  <c r="G22"/>
  <c r="G24"/>
  <c r="G26"/>
  <c r="G28"/>
  <c r="G30"/>
  <c r="G32"/>
  <c r="G34"/>
  <c r="G36"/>
  <c r="G38"/>
  <c r="G40"/>
  <c r="G42"/>
  <c r="G65"/>
  <c r="G7"/>
  <c r="G11"/>
  <c r="G15"/>
  <c r="G19"/>
  <c r="G23"/>
  <c r="G27"/>
  <c r="G31"/>
  <c r="G35"/>
  <c r="G39"/>
  <c r="G43"/>
  <c r="G5"/>
  <c r="G9"/>
  <c r="G13"/>
  <c r="G17"/>
  <c r="G21"/>
  <c r="G25"/>
  <c r="G29"/>
  <c r="G37"/>
  <c r="G41"/>
  <c r="P44"/>
  <c r="P6"/>
  <c r="P8"/>
  <c r="P10"/>
  <c r="P12"/>
  <c r="P14"/>
  <c r="P16"/>
  <c r="P5"/>
  <c r="P9"/>
  <c r="P13"/>
  <c r="P17"/>
  <c r="P19"/>
  <c r="P21"/>
  <c r="P23"/>
  <c r="P25"/>
  <c r="P27"/>
  <c r="P29"/>
  <c r="P31"/>
  <c r="P33"/>
  <c r="P35"/>
  <c r="P37"/>
  <c r="P39"/>
  <c r="P41"/>
  <c r="P43"/>
  <c r="P65"/>
  <c r="P7"/>
  <c r="P11"/>
  <c r="P15"/>
  <c r="P18"/>
  <c r="P20"/>
  <c r="P22"/>
  <c r="P24"/>
  <c r="P26"/>
  <c r="P28"/>
  <c r="P30"/>
  <c r="P32"/>
  <c r="P34"/>
  <c r="P36"/>
  <c r="P38"/>
  <c r="P40"/>
  <c r="P42"/>
  <c r="L44"/>
  <c r="L5"/>
  <c r="L7"/>
  <c r="L9"/>
  <c r="L11"/>
  <c r="L13"/>
  <c r="L15"/>
  <c r="L17"/>
  <c r="L19"/>
  <c r="L21"/>
  <c r="L23"/>
  <c r="L25"/>
  <c r="L27"/>
  <c r="L29"/>
  <c r="L31"/>
  <c r="L33"/>
  <c r="L35"/>
  <c r="L37"/>
  <c r="L39"/>
  <c r="L41"/>
  <c r="L43"/>
  <c r="L65"/>
  <c r="L8"/>
  <c r="L12"/>
  <c r="L16"/>
  <c r="L20"/>
  <c r="L24"/>
  <c r="L28"/>
  <c r="L32"/>
  <c r="L36"/>
  <c r="L40"/>
  <c r="L6"/>
  <c r="L10"/>
  <c r="L14"/>
  <c r="L18"/>
  <c r="L22"/>
  <c r="L26"/>
  <c r="L30"/>
  <c r="L34"/>
  <c r="L38"/>
  <c r="L42"/>
  <c r="H44"/>
  <c r="H5"/>
  <c r="H7"/>
  <c r="H9"/>
  <c r="H11"/>
  <c r="H13"/>
  <c r="H15"/>
  <c r="H17"/>
  <c r="H19"/>
  <c r="H21"/>
  <c r="H23"/>
  <c r="H25"/>
  <c r="H27"/>
  <c r="H29"/>
  <c r="H31"/>
  <c r="H35"/>
  <c r="H37"/>
  <c r="H39"/>
  <c r="H41"/>
  <c r="H43"/>
  <c r="H65"/>
  <c r="H8"/>
  <c r="H12"/>
  <c r="H16"/>
  <c r="H20"/>
  <c r="H24"/>
  <c r="H28"/>
  <c r="H32"/>
  <c r="H36"/>
  <c r="H40"/>
  <c r="H6"/>
  <c r="H10"/>
  <c r="H14"/>
  <c r="H18"/>
  <c r="H22"/>
  <c r="H26"/>
  <c r="H30"/>
  <c r="H34"/>
  <c r="H38"/>
  <c r="H42"/>
  <c r="O44"/>
  <c r="O65"/>
  <c r="O5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O8"/>
  <c r="O12"/>
  <c r="O16"/>
  <c r="O20"/>
  <c r="O24"/>
  <c r="O28"/>
  <c r="O32"/>
  <c r="O36"/>
  <c r="O40"/>
  <c r="O6"/>
  <c r="O10"/>
  <c r="O14"/>
  <c r="O18"/>
  <c r="O22"/>
  <c r="O26"/>
  <c r="O30"/>
  <c r="O34"/>
  <c r="O38"/>
  <c r="O42"/>
  <c r="K44"/>
  <c r="K6"/>
  <c r="K8"/>
  <c r="K10"/>
  <c r="K12"/>
  <c r="K14"/>
  <c r="K16"/>
  <c r="K18"/>
  <c r="K20"/>
  <c r="K22"/>
  <c r="K24"/>
  <c r="K26"/>
  <c r="K28"/>
  <c r="K30"/>
  <c r="K32"/>
  <c r="K34"/>
  <c r="K36"/>
  <c r="K38"/>
  <c r="K40"/>
  <c r="K42"/>
  <c r="K65"/>
  <c r="K7"/>
  <c r="K11"/>
  <c r="K15"/>
  <c r="K19"/>
  <c r="K23"/>
  <c r="K27"/>
  <c r="K31"/>
  <c r="K35"/>
  <c r="K39"/>
  <c r="K43"/>
  <c r="K5"/>
  <c r="K9"/>
  <c r="K13"/>
  <c r="K17"/>
  <c r="K21"/>
  <c r="K25"/>
  <c r="K29"/>
  <c r="K33"/>
  <c r="K37"/>
  <c r="K41"/>
  <c r="I44"/>
  <c r="I6"/>
  <c r="I8"/>
  <c r="I10"/>
  <c r="I12"/>
  <c r="I14"/>
  <c r="I16"/>
  <c r="I18"/>
  <c r="I20"/>
  <c r="I22"/>
  <c r="I24"/>
  <c r="I26"/>
  <c r="I28"/>
  <c r="I30"/>
  <c r="I32"/>
  <c r="I34"/>
  <c r="I36"/>
  <c r="I38"/>
  <c r="I40"/>
  <c r="I42"/>
  <c r="I65"/>
  <c r="I5"/>
  <c r="J18" i="6" s="1"/>
  <c r="K18" s="1"/>
  <c r="I9" i="1"/>
  <c r="I13"/>
  <c r="I17"/>
  <c r="I21"/>
  <c r="I25"/>
  <c r="I29"/>
  <c r="I33"/>
  <c r="I37"/>
  <c r="I41"/>
  <c r="I7"/>
  <c r="I11"/>
  <c r="I15"/>
  <c r="I19"/>
  <c r="I23"/>
  <c r="I27"/>
  <c r="I31"/>
  <c r="I35"/>
  <c r="I39"/>
  <c r="I43"/>
  <c r="N44"/>
  <c r="N6"/>
  <c r="N8"/>
  <c r="N10"/>
  <c r="N12"/>
  <c r="N14"/>
  <c r="N16"/>
  <c r="N18"/>
  <c r="N20"/>
  <c r="N22"/>
  <c r="N24"/>
  <c r="N26"/>
  <c r="N28"/>
  <c r="N30"/>
  <c r="N32"/>
  <c r="N34"/>
  <c r="N36"/>
  <c r="N38"/>
  <c r="N40"/>
  <c r="N42"/>
  <c r="N7"/>
  <c r="N11"/>
  <c r="N15"/>
  <c r="N19"/>
  <c r="N23"/>
  <c r="N27"/>
  <c r="N31"/>
  <c r="N35"/>
  <c r="N39"/>
  <c r="N43"/>
  <c r="N65"/>
  <c r="N5"/>
  <c r="N9"/>
  <c r="N13"/>
  <c r="N17"/>
  <c r="N21"/>
  <c r="N25"/>
  <c r="N29"/>
  <c r="N33"/>
  <c r="N37"/>
  <c r="N41"/>
  <c r="M44"/>
  <c r="M6"/>
  <c r="M8"/>
  <c r="M10"/>
  <c r="M12"/>
  <c r="M14"/>
  <c r="M16"/>
  <c r="M18"/>
  <c r="M20"/>
  <c r="M22"/>
  <c r="M24"/>
  <c r="M26"/>
  <c r="M28"/>
  <c r="M30"/>
  <c r="M32"/>
  <c r="M34"/>
  <c r="M36"/>
  <c r="M38"/>
  <c r="M40"/>
  <c r="M42"/>
  <c r="M65"/>
  <c r="M5"/>
  <c r="M9"/>
  <c r="M13"/>
  <c r="M17"/>
  <c r="M21"/>
  <c r="M25"/>
  <c r="M29"/>
  <c r="M33"/>
  <c r="M37"/>
  <c r="M41"/>
  <c r="M7"/>
  <c r="M11"/>
  <c r="M15"/>
  <c r="M19"/>
  <c r="M23"/>
  <c r="M27"/>
  <c r="M31"/>
  <c r="M35"/>
  <c r="M39"/>
  <c r="M43"/>
  <c r="E44"/>
  <c r="E6"/>
  <c r="E8"/>
  <c r="E10"/>
  <c r="E12"/>
  <c r="E14"/>
  <c r="E16"/>
  <c r="E18"/>
  <c r="E20"/>
  <c r="E22"/>
  <c r="E24"/>
  <c r="E26"/>
  <c r="E28"/>
  <c r="E30"/>
  <c r="E32"/>
  <c r="E34"/>
  <c r="E36"/>
  <c r="E38"/>
  <c r="E40"/>
  <c r="E42"/>
  <c r="E5"/>
  <c r="E9"/>
  <c r="E13"/>
  <c r="E17"/>
  <c r="E21"/>
  <c r="E25"/>
  <c r="E29"/>
  <c r="E37"/>
  <c r="E41"/>
  <c r="E65"/>
  <c r="E7"/>
  <c r="E11"/>
  <c r="E15"/>
  <c r="E19"/>
  <c r="E23"/>
  <c r="E27"/>
  <c r="E31"/>
  <c r="E35"/>
  <c r="E39"/>
  <c r="E43"/>
  <c r="L3" i="8" l="1" a="1"/>
  <c r="N4"/>
  <c r="N17"/>
  <c r="E18" s="1"/>
  <c r="N13"/>
  <c r="N9"/>
  <c r="N5"/>
  <c r="N16"/>
  <c r="E17" s="1"/>
  <c r="N12"/>
  <c r="N8"/>
  <c r="N19"/>
  <c r="E20" s="1"/>
  <c r="N15"/>
  <c r="E16" s="1"/>
  <c r="N11"/>
  <c r="N7"/>
  <c r="N18"/>
  <c r="E19" s="1"/>
  <c r="N14"/>
  <c r="E15" s="1"/>
  <c r="N10"/>
  <c r="N6"/>
  <c r="N50" i="1"/>
  <c r="O50"/>
  <c r="P50"/>
  <c r="B45"/>
  <c r="J22" i="6"/>
  <c r="K22" s="1"/>
  <c r="D46" i="1"/>
  <c r="D47"/>
  <c r="E50"/>
  <c r="J19" i="6"/>
  <c r="K19" s="1"/>
  <c r="H50" i="1"/>
  <c r="J21" i="6"/>
  <c r="K21" s="1"/>
  <c r="F50" i="1"/>
  <c r="I50"/>
  <c r="K50"/>
  <c r="J20" i="6"/>
  <c r="K20" s="1"/>
  <c r="G50" i="1"/>
  <c r="M50"/>
  <c r="L50"/>
  <c r="J50"/>
  <c r="L3" i="8" l="1"/>
  <c r="L18"/>
  <c r="L14"/>
  <c r="L10"/>
  <c r="E11" s="1"/>
  <c r="L6"/>
  <c r="E7" s="1"/>
  <c r="L19"/>
  <c r="L15"/>
  <c r="L11"/>
  <c r="E12" s="1"/>
  <c r="L7"/>
  <c r="E8" s="1"/>
  <c r="L16"/>
  <c r="L12"/>
  <c r="E13" s="1"/>
  <c r="L8"/>
  <c r="E9" s="1"/>
  <c r="L4"/>
  <c r="E5" s="1"/>
  <c r="L17"/>
  <c r="L13"/>
  <c r="L9"/>
  <c r="E10" s="1"/>
  <c r="L5"/>
  <c r="E6" s="1"/>
  <c r="K23" i="6"/>
  <c r="D60" i="1"/>
  <c r="D61"/>
  <c r="E53" a="1"/>
  <c r="G53" l="1"/>
  <c r="K53"/>
  <c r="O53"/>
  <c r="S53"/>
  <c r="F54"/>
  <c r="J54"/>
  <c r="N54"/>
  <c r="R54"/>
  <c r="E55"/>
  <c r="I55"/>
  <c r="M55"/>
  <c r="Q55"/>
  <c r="U55"/>
  <c r="H56"/>
  <c r="L56"/>
  <c r="P56"/>
  <c r="T56"/>
  <c r="G57"/>
  <c r="K57"/>
  <c r="O57"/>
  <c r="S57"/>
  <c r="F53"/>
  <c r="J53"/>
  <c r="N53"/>
  <c r="R53"/>
  <c r="E54"/>
  <c r="I54"/>
  <c r="M54"/>
  <c r="Q54"/>
  <c r="U54"/>
  <c r="H55"/>
  <c r="L55"/>
  <c r="P55"/>
  <c r="T55"/>
  <c r="G56"/>
  <c r="K56"/>
  <c r="O56"/>
  <c r="S56"/>
  <c r="F57"/>
  <c r="J57"/>
  <c r="N57"/>
  <c r="R57"/>
  <c r="E53"/>
  <c r="I53"/>
  <c r="M53"/>
  <c r="Q53"/>
  <c r="U53"/>
  <c r="H54"/>
  <c r="L54"/>
  <c r="P54"/>
  <c r="T54"/>
  <c r="G55"/>
  <c r="K55"/>
  <c r="O55"/>
  <c r="S55"/>
  <c r="F56"/>
  <c r="J56"/>
  <c r="N56"/>
  <c r="R56"/>
  <c r="E57"/>
  <c r="I57"/>
  <c r="M57"/>
  <c r="Q57"/>
  <c r="U57"/>
  <c r="H53"/>
  <c r="L53"/>
  <c r="P53"/>
  <c r="T53"/>
  <c r="G54"/>
  <c r="K54"/>
  <c r="K58" s="1"/>
  <c r="O54"/>
  <c r="S54"/>
  <c r="S58" s="1"/>
  <c r="F55"/>
  <c r="J55"/>
  <c r="N55"/>
  <c r="R55"/>
  <c r="E56"/>
  <c r="I56"/>
  <c r="M56"/>
  <c r="Q56"/>
  <c r="U56"/>
  <c r="H57"/>
  <c r="L57"/>
  <c r="P57"/>
  <c r="T57"/>
  <c r="G52" l="1"/>
  <c r="N52"/>
  <c r="F52"/>
  <c r="T52"/>
  <c r="I52"/>
  <c r="S52"/>
  <c r="P58"/>
  <c r="H52"/>
  <c r="L52"/>
  <c r="U52"/>
  <c r="E52"/>
  <c r="Q58"/>
  <c r="R52"/>
  <c r="J58"/>
  <c r="O58"/>
  <c r="G58"/>
  <c r="R58"/>
  <c r="Q52"/>
  <c r="B54"/>
  <c r="D62" s="1"/>
  <c r="J52"/>
  <c r="O52"/>
  <c r="T58"/>
  <c r="L58"/>
  <c r="P52"/>
  <c r="H58"/>
  <c r="I58"/>
  <c r="U58"/>
  <c r="M58"/>
  <c r="E58"/>
  <c r="N58"/>
  <c r="B46"/>
  <c r="E48" s="1"/>
  <c r="E49" s="1"/>
  <c r="K52"/>
  <c r="M52"/>
  <c r="F58"/>
  <c r="F62"/>
  <c r="F2" i="8" l="1"/>
  <c r="I2" s="1"/>
  <c r="Q2" s="1"/>
  <c r="F48" i="1"/>
  <c r="G48" s="1"/>
  <c r="G49" s="1"/>
  <c r="F49" l="1"/>
  <c r="H48"/>
  <c r="H49" s="1"/>
  <c r="I48" l="1"/>
  <c r="I49" s="1"/>
  <c r="J48" l="1"/>
  <c r="J49" s="1"/>
  <c r="K48" l="1"/>
  <c r="K49" s="1"/>
  <c r="L48" l="1"/>
  <c r="L49" s="1"/>
  <c r="M48" l="1"/>
  <c r="M49" s="1"/>
  <c r="N48" l="1"/>
  <c r="N49" s="1"/>
  <c r="O48" l="1"/>
  <c r="O49" s="1"/>
  <c r="P48" l="1"/>
  <c r="P49" s="1"/>
  <c r="Q48" l="1"/>
  <c r="Q49" s="1"/>
  <c r="B9" a="1"/>
  <c r="B9" s="1"/>
  <c r="B43" a="1"/>
  <c r="B43" s="1"/>
  <c r="B30" a="1"/>
  <c r="B30" s="1"/>
  <c r="B19" a="1"/>
  <c r="B19" s="1"/>
  <c r="B24" a="1"/>
  <c r="B24" s="1"/>
  <c r="B27" a="1"/>
  <c r="B27" s="1"/>
  <c r="B26" a="1"/>
  <c r="B26" s="1"/>
  <c r="B13" a="1"/>
  <c r="B13" s="1"/>
  <c r="B36" a="1"/>
  <c r="B36" s="1"/>
  <c r="B41" a="1"/>
  <c r="B41" s="1"/>
  <c r="B7" a="1"/>
  <c r="B7" s="1"/>
  <c r="B6" a="1"/>
  <c r="B6" s="1"/>
  <c r="B35" a="1"/>
  <c r="B35" s="1"/>
  <c r="B39" a="1"/>
  <c r="B39" s="1"/>
  <c r="B15" a="1"/>
  <c r="B15" s="1"/>
  <c r="B21" a="1"/>
  <c r="B21" s="1"/>
  <c r="B16" a="1"/>
  <c r="B16" s="1"/>
  <c r="B40" a="1"/>
  <c r="B40" s="1"/>
  <c r="B8" a="1"/>
  <c r="B8" s="1"/>
  <c r="B11" a="1"/>
  <c r="B11" s="1"/>
  <c r="B10" a="1"/>
  <c r="B10" s="1"/>
  <c r="B38" a="1"/>
  <c r="B38" s="1"/>
  <c r="B20" a="1"/>
  <c r="B20" s="1"/>
  <c r="B23" a="1"/>
  <c r="B23" s="1"/>
  <c r="B22" a="1"/>
  <c r="B22" s="1"/>
  <c r="B25" a="1"/>
  <c r="B25" s="1"/>
  <c r="B32" a="1"/>
  <c r="B32" s="1"/>
  <c r="B42" a="1"/>
  <c r="B42" s="1"/>
  <c r="B29" a="1"/>
  <c r="B29" s="1"/>
  <c r="B28" a="1"/>
  <c r="B28" s="1"/>
  <c r="B31" a="1"/>
  <c r="B31" s="1"/>
  <c r="B34" a="1"/>
  <c r="B34" s="1"/>
  <c r="B33" a="1"/>
  <c r="B33" s="1"/>
  <c r="B37" a="1"/>
  <c r="B37" s="1"/>
  <c r="B18" a="1"/>
  <c r="B18" s="1"/>
  <c r="B12" a="1"/>
  <c r="B12" s="1"/>
  <c r="B14" a="1"/>
  <c r="B14" s="1"/>
  <c r="B17" a="1"/>
  <c r="B17" s="1"/>
  <c r="A13"/>
  <c r="A38"/>
  <c r="A43"/>
  <c r="A6"/>
  <c r="A36"/>
  <c r="A26"/>
  <c r="A37"/>
  <c r="A15"/>
  <c r="A27"/>
  <c r="A12"/>
  <c r="A19"/>
  <c r="A7"/>
  <c r="A17"/>
  <c r="A25"/>
  <c r="A24"/>
  <c r="A10"/>
  <c r="A39"/>
  <c r="A23"/>
  <c r="A42"/>
  <c r="A28"/>
  <c r="A34"/>
  <c r="A41"/>
  <c r="A11"/>
  <c r="A30"/>
  <c r="A8"/>
  <c r="A40"/>
  <c r="A35"/>
  <c r="A21"/>
  <c r="A22"/>
  <c r="A20"/>
  <c r="A9"/>
  <c r="A16"/>
  <c r="A18"/>
  <c r="A33"/>
  <c r="A29"/>
  <c r="A31"/>
  <c r="A14"/>
  <c r="A32"/>
  <c r="C13" i="7" l="1"/>
  <c r="C11"/>
  <c r="C16"/>
  <c r="C26"/>
  <c r="C8"/>
  <c r="C15"/>
  <c r="C17"/>
  <c r="C12"/>
  <c r="C23"/>
  <c r="C30"/>
  <c r="C22"/>
  <c r="C19"/>
  <c r="C25"/>
  <c r="C14"/>
  <c r="C9"/>
  <c r="C20"/>
  <c r="C18"/>
  <c r="C10"/>
  <c r="C29"/>
  <c r="C5"/>
  <c r="C4"/>
  <c r="C27"/>
  <c r="C24"/>
  <c r="C28"/>
  <c r="C7"/>
  <c r="C6"/>
  <c r="C21"/>
  <c r="C3"/>
  <c r="R48" i="1"/>
  <c r="R49" s="1"/>
  <c r="S48" l="1"/>
  <c r="S49" s="1"/>
  <c r="T48" l="1"/>
  <c r="T49" s="1"/>
  <c r="M4" i="8" s="1" a="1"/>
  <c r="M4" l="1"/>
  <c r="M6"/>
  <c r="M8"/>
  <c r="F9" s="1"/>
  <c r="M10"/>
  <c r="F11" s="1"/>
  <c r="M12"/>
  <c r="M14"/>
  <c r="F15" s="1"/>
  <c r="M16"/>
  <c r="F17" s="1"/>
  <c r="M18"/>
  <c r="F19" s="1"/>
  <c r="M7"/>
  <c r="F8" s="1"/>
  <c r="M9"/>
  <c r="M11"/>
  <c r="F12" s="1"/>
  <c r="M13"/>
  <c r="M15"/>
  <c r="F16" s="1"/>
  <c r="M19"/>
  <c r="F20" s="1"/>
  <c r="M5"/>
  <c r="M17"/>
  <c r="F18" s="1"/>
  <c r="F13"/>
  <c r="F10"/>
  <c r="B5" i="1" a="1"/>
  <c r="B5" s="1"/>
  <c r="U48"/>
  <c r="U49" s="1"/>
  <c r="A5"/>
  <c r="F6" i="8" l="1"/>
  <c r="I6" s="1"/>
  <c r="Q4" s="1"/>
  <c r="F5"/>
  <c r="I5" s="1"/>
  <c r="Q3" s="1"/>
  <c r="F7"/>
  <c r="I7" s="1"/>
  <c r="Q5" s="1"/>
  <c r="I8"/>
  <c r="Q6" s="1"/>
  <c r="C2" i="7"/>
  <c r="I13" i="8" l="1"/>
  <c r="D119" i="1" a="1"/>
  <c r="D119" s="1"/>
  <c r="B72" s="1"/>
  <c r="J119" l="1"/>
  <c r="E120"/>
  <c r="M120"/>
  <c r="H121"/>
  <c r="P121"/>
  <c r="K122"/>
  <c r="F123"/>
  <c r="N123"/>
  <c r="I119"/>
  <c r="D120"/>
  <c r="L120"/>
  <c r="G121"/>
  <c r="O121"/>
  <c r="J122"/>
  <c r="E123"/>
  <c r="M123"/>
  <c r="L119"/>
  <c r="G120"/>
  <c r="O120"/>
  <c r="J121"/>
  <c r="E122"/>
  <c r="M122"/>
  <c r="H123"/>
  <c r="P123"/>
  <c r="K119"/>
  <c r="F120"/>
  <c r="N120"/>
  <c r="I121"/>
  <c r="D122"/>
  <c r="L122"/>
  <c r="G123"/>
  <c r="O123"/>
  <c r="F119"/>
  <c r="N119"/>
  <c r="I120"/>
  <c r="D121"/>
  <c r="L121"/>
  <c r="G122"/>
  <c r="O122"/>
  <c r="J123"/>
  <c r="E119"/>
  <c r="M119"/>
  <c r="H120"/>
  <c r="P120"/>
  <c r="K121"/>
  <c r="F122"/>
  <c r="N122"/>
  <c r="I123"/>
  <c r="H119"/>
  <c r="P119"/>
  <c r="K120"/>
  <c r="F121"/>
  <c r="N121"/>
  <c r="I122"/>
  <c r="D123"/>
  <c r="L123"/>
  <c r="G119"/>
  <c r="O119"/>
  <c r="J120"/>
  <c r="E121"/>
  <c r="M121"/>
  <c r="H122"/>
  <c r="P122"/>
  <c r="K123"/>
</calcChain>
</file>

<file path=xl/sharedStrings.xml><?xml version="1.0" encoding="utf-8"?>
<sst xmlns="http://schemas.openxmlformats.org/spreadsheetml/2006/main" count="276" uniqueCount="180">
  <si>
    <t>Data point</t>
  </si>
  <si>
    <t>EV/EBITDA</t>
  </si>
  <si>
    <t>Margin</t>
  </si>
  <si>
    <t xml:space="preserve">Leverage </t>
  </si>
  <si>
    <t xml:space="preserve">Growth EBITDA </t>
  </si>
  <si>
    <t>EPS Growth</t>
  </si>
  <si>
    <t>Cash/Assets</t>
  </si>
  <si>
    <t>VIX</t>
  </si>
  <si>
    <t>S&amp;P P/E</t>
  </si>
  <si>
    <t>GDP</t>
  </si>
  <si>
    <t>corr</t>
  </si>
  <si>
    <t>slope</t>
  </si>
  <si>
    <t>error sd</t>
  </si>
  <si>
    <t>F</t>
  </si>
  <si>
    <t>SS</t>
  </si>
  <si>
    <t>3M</t>
  </si>
  <si>
    <t>count</t>
  </si>
  <si>
    <t>http://exceluser.com/formulas/dynname1.htm</t>
  </si>
  <si>
    <t>T/F</t>
  </si>
  <si>
    <t>http://www.cpearson.com/excel/indirect.htm</t>
  </si>
  <si>
    <t>From eq</t>
  </si>
  <si>
    <t>Manual</t>
  </si>
  <si>
    <t>Row</t>
  </si>
  <si>
    <t>http://office.microsoft.com/en-001/excel-help/linest-function-HP010069838.aspx</t>
  </si>
  <si>
    <t>Pred</t>
  </si>
  <si>
    <t>this is for intercept</t>
  </si>
  <si>
    <t>this is hardcoded for last row</t>
  </si>
  <si>
    <t>Ticker</t>
  </si>
  <si>
    <t>Slope</t>
  </si>
  <si>
    <t>Intercept</t>
  </si>
  <si>
    <t>m</t>
  </si>
  <si>
    <t>beta</t>
  </si>
  <si>
    <t>alpha</t>
  </si>
  <si>
    <t>r&amp;d</t>
  </si>
  <si>
    <t>intercept</t>
  </si>
  <si>
    <t>dy/dx</t>
  </si>
  <si>
    <t>marketing</t>
  </si>
  <si>
    <t>3 (intercept)</t>
  </si>
  <si>
    <t>Linest</t>
  </si>
  <si>
    <t>Earnings (Historic)</t>
  </si>
  <si>
    <t>Backtest</t>
  </si>
  <si>
    <t>betas</t>
  </si>
  <si>
    <t>SE</t>
  </si>
  <si>
    <t>Predicted</t>
  </si>
  <si>
    <t>Drag / Intercept</t>
  </si>
  <si>
    <t>Contri Marketing</t>
  </si>
  <si>
    <t>Contributions of rnd</t>
  </si>
  <si>
    <t>Reg t</t>
  </si>
  <si>
    <t>June</t>
  </si>
  <si>
    <t>Aug</t>
  </si>
  <si>
    <t>sep</t>
  </si>
  <si>
    <t>Oct</t>
  </si>
  <si>
    <t>July</t>
  </si>
  <si>
    <t>t-1</t>
  </si>
  <si>
    <t>Nov</t>
  </si>
  <si>
    <t>Create correlation matrix</t>
  </si>
  <si>
    <t>Bactest the data on old fields</t>
  </si>
  <si>
    <t>TODO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</si>
  <si>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</si>
  <si>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</si>
  <si>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</si>
  <si>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</si>
  <si>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</si>
  <si>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</si>
  <si>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</si>
  <si>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</si>
  <si>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</si>
  <si>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</si>
  <si>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</si>
  <si>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df</t>
  </si>
  <si>
    <t>MS</t>
  </si>
  <si>
    <t>Significance F</t>
  </si>
  <si>
    <t>Coefficients</t>
  </si>
  <si>
    <t>t Stat</t>
  </si>
  <si>
    <t>P-value</t>
  </si>
  <si>
    <t>Lower 95%</t>
  </si>
  <si>
    <t>Upper 95%</t>
  </si>
  <si>
    <t>RESIDUAL OUTPUT</t>
  </si>
  <si>
    <t>Observation</t>
  </si>
  <si>
    <t>Predicted 10</t>
  </si>
  <si>
    <t>Residuals</t>
  </si>
  <si>
    <t>Lower 85.0%</t>
  </si>
  <si>
    <t>Upper 85.0%</t>
  </si>
  <si>
    <t>y = 10.603 + .3444 x</t>
  </si>
  <si>
    <t>100% best fit</t>
  </si>
  <si>
    <t>0% lest fit</t>
  </si>
  <si>
    <t>r</t>
  </si>
  <si>
    <t>Confidence</t>
  </si>
  <si>
    <t>Corr</t>
  </si>
  <si>
    <t>Selection</t>
  </si>
  <si>
    <t>Change here</t>
  </si>
  <si>
    <t>Lower 95.0%</t>
  </si>
  <si>
    <t>Upper 95.0%</t>
  </si>
  <si>
    <t>Predicted Y</t>
  </si>
  <si>
    <t>PROBABILITY OUTPUT</t>
  </si>
  <si>
    <t>Percentile</t>
  </si>
  <si>
    <t>Y</t>
  </si>
  <si>
    <t>Actual</t>
  </si>
  <si>
    <t>http://www.excelfunctions.net/Excel-Linest-Function.html</t>
  </si>
  <si>
    <t>Need Zig Zag multiplication function</t>
  </si>
  <si>
    <t>Give address of the last number (not the last number)</t>
  </si>
  <si>
    <t>Add different parts of the contribution</t>
  </si>
  <si>
    <t>Growth</t>
  </si>
  <si>
    <t>Profitability</t>
  </si>
  <si>
    <t>Macro</t>
  </si>
  <si>
    <t>Risk</t>
  </si>
  <si>
    <t>http://pages.stern.nyu.edu/~%20adamodar/New_Home_Page/datafile/MReg05.html</t>
  </si>
  <si>
    <t>Payout Ratip</t>
  </si>
  <si>
    <t>Shrae repo / total NI</t>
  </si>
  <si>
    <t>http://pages.stern.nyu.edu/~adamodar/New_Home_Page/datafile/EmMktRegr.htm</t>
  </si>
  <si>
    <t>http://www.diva-portal.org/smash/get/diva2:23073/FULLTEXT01.pdf</t>
  </si>
  <si>
    <t>http://annualreporting.info/wp-content/uploads/2013/09/valuation-multiples-primer.pdf</t>
  </si>
  <si>
    <t>Multicolli</t>
  </si>
  <si>
    <t>Multiple = Margin*5+ Beta*5 + revenue Growth*10</t>
  </si>
  <si>
    <t>HPQ</t>
  </si>
  <si>
    <t>IBM</t>
  </si>
  <si>
    <t xml:space="preserve">1.47
</t>
  </si>
  <si>
    <t>XLNX</t>
  </si>
  <si>
    <t>Revenue</t>
  </si>
  <si>
    <t>Beta</t>
  </si>
  <si>
    <t>Profit Margin</t>
  </si>
  <si>
    <t>Multiple</t>
  </si>
  <si>
    <t>Company</t>
  </si>
  <si>
    <t>Industry</t>
  </si>
  <si>
    <t>1-Day Price Chg %</t>
  </si>
  <si>
    <t>Market Cap</t>
  </si>
  <si>
    <t>P/E</t>
  </si>
  <si>
    <t>ROE %</t>
  </si>
  <si>
    <t>Div. Yield %</t>
  </si>
  <si>
    <t>Debt to Equity</t>
  </si>
  <si>
    <t>Price to Book</t>
  </si>
  <si>
    <t>Net Profit Margin (mrq)</t>
  </si>
  <si>
    <t>Price To Free Cash Flow (mrq)</t>
  </si>
  <si>
    <t>Application Software</t>
  </si>
  <si>
    <t>Business Software &amp; Services</t>
  </si>
  <si>
    <t>Communication Equipment</t>
  </si>
  <si>
    <t>Computer Based Systems</t>
  </si>
  <si>
    <t>Computer Peripherals</t>
  </si>
  <si>
    <t>Data Storage Devices</t>
  </si>
  <si>
    <t>Diversified Communication Services</t>
  </si>
  <si>
    <t>Diversified Computer Systems</t>
  </si>
  <si>
    <t>Diversified Electronics</t>
  </si>
  <si>
    <t>Healthcare Information Services</t>
  </si>
  <si>
    <t>Internet Information Providers</t>
  </si>
  <si>
    <t>Internet Service Providers</t>
  </si>
  <si>
    <t>Internet Software &amp; Services</t>
  </si>
  <si>
    <t>Long Distance Carriers</t>
  </si>
  <si>
    <t>Multimedia &amp; Graphics Software</t>
  </si>
  <si>
    <t>Networking &amp; Communication Devices</t>
  </si>
  <si>
    <t>Personal Computers</t>
  </si>
  <si>
    <t>Printed Circuit Boards</t>
  </si>
  <si>
    <t>Processing Systems &amp; Products</t>
  </si>
  <si>
    <t>Scientific &amp; Technical Instruments</t>
  </si>
  <si>
    <t>Security Software &amp; Services</t>
  </si>
  <si>
    <t>Semiconductor - Broad Line</t>
  </si>
  <si>
    <t>Semiconductor - Integrated Circuits</t>
  </si>
  <si>
    <t>Semiconductor Equipment &amp; Materials</t>
  </si>
  <si>
    <t>Semiconductor- Memory Chips</t>
  </si>
  <si>
    <t>Technical &amp; System Software</t>
  </si>
  <si>
    <t>Telecom Services - Domestic</t>
  </si>
  <si>
    <t>Telecom Services - Foreign</t>
  </si>
  <si>
    <t>Wireless Communications</t>
  </si>
  <si>
    <t>Information &amp; Delivery Services</t>
  </si>
  <si>
    <t>Information Technology Services</t>
  </si>
  <si>
    <t>count_factors</t>
  </si>
  <si>
    <t>Numbering</t>
  </si>
  <si>
    <t>IFERROR(LINEST(D5:D44,INDIRECT("e5:"&amp;D61),TRUE,TRUE),"")</t>
  </si>
  <si>
    <t>Volatility</t>
  </si>
  <si>
    <t>D/Equity</t>
  </si>
  <si>
    <t>Roic</t>
  </si>
  <si>
    <t>hardcoded</t>
  </si>
  <si>
    <t>output</t>
  </si>
  <si>
    <t>Factor</t>
  </si>
  <si>
    <t>Return</t>
  </si>
  <si>
    <t>Scale</t>
  </si>
  <si>
    <t>Growth Divident</t>
  </si>
  <si>
    <t>Return on Capital</t>
  </si>
  <si>
    <t>Predicted 14.19282</t>
  </si>
  <si>
    <t>Standard Residuals</t>
  </si>
  <si>
    <t>Contribution of each factor</t>
  </si>
</sst>
</file>

<file path=xl/styles.xml><?xml version="1.0" encoding="utf-8"?>
<styleSheet xmlns="http://schemas.openxmlformats.org/spreadsheetml/2006/main">
  <numFmts count="9">
    <numFmt numFmtId="164" formatCode="0.000"/>
    <numFmt numFmtId="165" formatCode="0.0000000%"/>
    <numFmt numFmtId="166" formatCode="_(#,##0.0%_);_(\(#,##0.0%\)_);_(#,##0.0%_)"/>
    <numFmt numFmtId="167" formatCode="#,##0.0\x"/>
    <numFmt numFmtId="168" formatCode="#,##0.00\x"/>
    <numFmt numFmtId="169" formatCode="0.0%"/>
    <numFmt numFmtId="170" formatCode="0.00000"/>
    <numFmt numFmtId="171" formatCode="0.0000"/>
    <numFmt numFmtId="172" formatCode="0.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B050"/>
      <name val="Arial"/>
      <family val="2"/>
    </font>
    <font>
      <sz val="11"/>
      <color rgb="FF00B050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</cellStyleXfs>
  <cellXfs count="10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0" fontId="0" fillId="0" borderId="6" xfId="0" applyBorder="1"/>
    <xf numFmtId="2" fontId="0" fillId="0" borderId="0" xfId="0" applyNumberFormat="1" applyFill="1" applyBorder="1"/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0" fontId="0" fillId="0" borderId="7" xfId="0" applyBorder="1"/>
    <xf numFmtId="165" fontId="0" fillId="0" borderId="0" xfId="1" applyNumberFormat="1" applyFont="1" applyBorder="1"/>
    <xf numFmtId="0" fontId="0" fillId="0" borderId="8" xfId="0" applyBorder="1"/>
    <xf numFmtId="165" fontId="0" fillId="0" borderId="4" xfId="1" applyNumberFormat="1" applyFont="1" applyBorder="1"/>
    <xf numFmtId="166" fontId="2" fillId="0" borderId="7" xfId="0" applyNumberFormat="1" applyFont="1" applyBorder="1" applyAlignment="1">
      <alignment horizontal="right" vertical="top" wrapText="1"/>
    </xf>
    <xf numFmtId="167" fontId="2" fillId="0" borderId="7" xfId="0" applyNumberFormat="1" applyFont="1" applyBorder="1" applyAlignment="1">
      <alignment horizontal="right" vertical="top" wrapText="1"/>
    </xf>
    <xf numFmtId="166" fontId="2" fillId="0" borderId="0" xfId="0" applyNumberFormat="1" applyFont="1" applyAlignment="1">
      <alignment horizontal="right" vertical="top" wrapText="1"/>
    </xf>
    <xf numFmtId="167" fontId="2" fillId="0" borderId="0" xfId="0" applyNumberFormat="1" applyFont="1" applyAlignment="1">
      <alignment horizontal="right" vertical="top" wrapText="1"/>
    </xf>
    <xf numFmtId="168" fontId="2" fillId="0" borderId="0" xfId="0" applyNumberFormat="1" applyFont="1" applyAlignment="1">
      <alignment horizontal="right"/>
    </xf>
    <xf numFmtId="10" fontId="0" fillId="0" borderId="0" xfId="1" applyNumberFormat="1" applyFont="1" applyBorder="1"/>
    <xf numFmtId="169" fontId="0" fillId="0" borderId="0" xfId="1" applyNumberFormat="1" applyFont="1" applyBorder="1"/>
    <xf numFmtId="0" fontId="0" fillId="0" borderId="0" xfId="0" applyFill="1" applyBorder="1" applyAlignment="1">
      <alignment wrapText="1"/>
    </xf>
    <xf numFmtId="9" fontId="2" fillId="0" borderId="0" xfId="1" applyFont="1" applyAlignment="1">
      <alignment horizontal="left" vertical="top"/>
    </xf>
    <xf numFmtId="0" fontId="3" fillId="0" borderId="0" xfId="0" applyFont="1" applyBorder="1"/>
    <xf numFmtId="0" fontId="3" fillId="0" borderId="6" xfId="0" applyFont="1" applyBorder="1"/>
    <xf numFmtId="0" fontId="3" fillId="0" borderId="5" xfId="0" applyFont="1" applyBorder="1"/>
    <xf numFmtId="9" fontId="3" fillId="0" borderId="0" xfId="0" applyNumberFormat="1" applyFont="1" applyBorder="1"/>
    <xf numFmtId="9" fontId="3" fillId="0" borderId="6" xfId="0" applyNumberFormat="1" applyFont="1" applyBorder="1"/>
    <xf numFmtId="9" fontId="3" fillId="0" borderId="0" xfId="1" applyFont="1" applyBorder="1"/>
    <xf numFmtId="9" fontId="3" fillId="0" borderId="4" xfId="1" applyFont="1" applyBorder="1"/>
    <xf numFmtId="0" fontId="0" fillId="2" borderId="0" xfId="0" applyFill="1"/>
    <xf numFmtId="0" fontId="0" fillId="3" borderId="0" xfId="0" applyFill="1"/>
    <xf numFmtId="0" fontId="4" fillId="0" borderId="0" xfId="2" applyAlignment="1" applyProtection="1"/>
    <xf numFmtId="0" fontId="0" fillId="4" borderId="0" xfId="0" applyFill="1"/>
    <xf numFmtId="0" fontId="0" fillId="0" borderId="9" xfId="0" applyBorder="1"/>
    <xf numFmtId="0" fontId="0" fillId="0" borderId="10" xfId="0" applyBorder="1"/>
    <xf numFmtId="164" fontId="0" fillId="0" borderId="0" xfId="0" applyNumberFormat="1"/>
    <xf numFmtId="0" fontId="0" fillId="0" borderId="11" xfId="0" applyBorder="1"/>
    <xf numFmtId="2" fontId="0" fillId="0" borderId="12" xfId="0" applyNumberFormat="1" applyBorder="1"/>
    <xf numFmtId="0" fontId="0" fillId="0" borderId="9" xfId="0" applyFill="1" applyBorder="1"/>
    <xf numFmtId="0" fontId="0" fillId="0" borderId="11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" xfId="0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0" fillId="3" borderId="6" xfId="0" applyFill="1" applyBorder="1"/>
    <xf numFmtId="0" fontId="0" fillId="0" borderId="13" xfId="0" applyBorder="1"/>
    <xf numFmtId="0" fontId="0" fillId="0" borderId="17" xfId="0" applyBorder="1"/>
    <xf numFmtId="0" fontId="5" fillId="0" borderId="0" xfId="0" applyFont="1"/>
    <xf numFmtId="0" fontId="0" fillId="0" borderId="0" xfId="0" applyFill="1" applyBorder="1" applyAlignment="1"/>
    <xf numFmtId="0" fontId="0" fillId="0" borderId="18" xfId="0" applyFill="1" applyBorder="1" applyAlignment="1"/>
    <xf numFmtId="0" fontId="6" fillId="0" borderId="19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Continuous"/>
    </xf>
    <xf numFmtId="0" fontId="0" fillId="2" borderId="0" xfId="0" applyFill="1" applyBorder="1" applyAlignment="1"/>
    <xf numFmtId="9" fontId="0" fillId="2" borderId="0" xfId="1" applyFont="1" applyFill="1" applyBorder="1" applyAlignment="1"/>
    <xf numFmtId="0" fontId="0" fillId="2" borderId="18" xfId="0" applyFill="1" applyBorder="1" applyAlignment="1"/>
    <xf numFmtId="0" fontId="0" fillId="0" borderId="0" xfId="0" applyFill="1"/>
    <xf numFmtId="2" fontId="0" fillId="0" borderId="7" xfId="0" applyNumberFormat="1" applyBorder="1"/>
    <xf numFmtId="2" fontId="0" fillId="0" borderId="0" xfId="0" applyNumberFormat="1" applyBorder="1"/>
    <xf numFmtId="2" fontId="0" fillId="0" borderId="0" xfId="1" applyNumberFormat="1" applyFont="1" applyBorder="1"/>
    <xf numFmtId="170" fontId="0" fillId="0" borderId="7" xfId="0" applyNumberFormat="1" applyBorder="1"/>
    <xf numFmtId="171" fontId="0" fillId="0" borderId="7" xfId="0" applyNumberFormat="1" applyBorder="1"/>
    <xf numFmtId="171" fontId="0" fillId="0" borderId="8" xfId="0" applyNumberFormat="1" applyBorder="1"/>
    <xf numFmtId="171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3" fillId="0" borderId="0" xfId="0" applyFont="1"/>
    <xf numFmtId="0" fontId="8" fillId="0" borderId="0" xfId="0" applyFont="1"/>
    <xf numFmtId="0" fontId="0" fillId="0" borderId="0" xfId="0" applyFont="1"/>
    <xf numFmtId="2" fontId="2" fillId="0" borderId="0" xfId="0" applyNumberFormat="1" applyFont="1" applyAlignment="1">
      <alignment horizontal="right" vertical="top" wrapText="1"/>
    </xf>
    <xf numFmtId="2" fontId="0" fillId="0" borderId="18" xfId="0" applyNumberFormat="1" applyFill="1" applyBorder="1"/>
    <xf numFmtId="0" fontId="0" fillId="0" borderId="13" xfId="0" applyFill="1" applyBorder="1"/>
    <xf numFmtId="170" fontId="0" fillId="0" borderId="18" xfId="0" applyNumberFormat="1" applyBorder="1"/>
    <xf numFmtId="0" fontId="0" fillId="0" borderId="18" xfId="0" applyBorder="1"/>
    <xf numFmtId="0" fontId="0" fillId="0" borderId="12" xfId="0" applyBorder="1"/>
    <xf numFmtId="0" fontId="0" fillId="3" borderId="3" xfId="0" applyFill="1" applyBorder="1"/>
    <xf numFmtId="0" fontId="0" fillId="3" borderId="2" xfId="0" applyFill="1" applyBorder="1"/>
    <xf numFmtId="0" fontId="0" fillId="3" borderId="7" xfId="0" applyFill="1" applyBorder="1"/>
    <xf numFmtId="0" fontId="0" fillId="3" borderId="1" xfId="0" applyFill="1" applyBorder="1"/>
    <xf numFmtId="4" fontId="0" fillId="0" borderId="17" xfId="0" applyNumberFormat="1" applyFill="1" applyBorder="1"/>
    <xf numFmtId="0" fontId="0" fillId="5" borderId="0" xfId="0" applyFill="1"/>
    <xf numFmtId="0" fontId="0" fillId="0" borderId="20" xfId="0" applyBorder="1"/>
    <xf numFmtId="0" fontId="0" fillId="6" borderId="1" xfId="0" applyFill="1" applyBorder="1"/>
    <xf numFmtId="0" fontId="0" fillId="6" borderId="3" xfId="0" applyFill="1" applyBorder="1"/>
    <xf numFmtId="172" fontId="0" fillId="6" borderId="7" xfId="0" applyNumberFormat="1" applyFill="1" applyBorder="1"/>
    <xf numFmtId="0" fontId="0" fillId="6" borderId="6" xfId="0" applyFill="1" applyBorder="1"/>
    <xf numFmtId="172" fontId="0" fillId="6" borderId="8" xfId="0" applyNumberFormat="1" applyFill="1" applyBorder="1"/>
    <xf numFmtId="0" fontId="0" fillId="6" borderId="5" xfId="0" applyFill="1" applyBorder="1"/>
    <xf numFmtId="167" fontId="2" fillId="0" borderId="0" xfId="0" applyNumberFormat="1" applyFont="1" applyAlignment="1">
      <alignment horizontal="right"/>
    </xf>
    <xf numFmtId="172" fontId="0" fillId="0" borderId="0" xfId="0" applyNumberFormat="1"/>
    <xf numFmtId="0" fontId="0" fillId="3" borderId="0" xfId="0" applyFill="1" applyBorder="1" applyAlignment="1">
      <alignment wrapText="1"/>
    </xf>
    <xf numFmtId="168" fontId="9" fillId="3" borderId="13" xfId="0" applyNumberFormat="1" applyFont="1" applyFill="1" applyBorder="1" applyAlignment="1">
      <alignment horizontal="right"/>
    </xf>
    <xf numFmtId="166" fontId="9" fillId="3" borderId="13" xfId="0" applyNumberFormat="1" applyFont="1" applyFill="1" applyBorder="1" applyAlignment="1">
      <alignment horizontal="right" vertical="top" wrapText="1"/>
    </xf>
    <xf numFmtId="167" fontId="9" fillId="3" borderId="13" xfId="0" applyNumberFormat="1" applyFont="1" applyFill="1" applyBorder="1" applyAlignment="1">
      <alignment horizontal="right" vertical="top" wrapText="1"/>
    </xf>
    <xf numFmtId="9" fontId="9" fillId="3" borderId="13" xfId="1" applyFont="1" applyFill="1" applyBorder="1" applyAlignment="1">
      <alignment horizontal="left" vertical="top"/>
    </xf>
    <xf numFmtId="9" fontId="0" fillId="3" borderId="13" xfId="0" applyNumberFormat="1" applyFont="1" applyFill="1" applyBorder="1"/>
    <xf numFmtId="0" fontId="0" fillId="3" borderId="13" xfId="0" applyFont="1" applyFill="1" applyBorder="1"/>
    <xf numFmtId="0" fontId="0" fillId="3" borderId="13" xfId="0" applyFill="1" applyBorder="1"/>
    <xf numFmtId="9" fontId="0" fillId="3" borderId="13" xfId="1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6.9058809688974349E-2"/>
          <c:y val="3.6824277562319672E-2"/>
          <c:w val="0.91052765235875688"/>
          <c:h val="0.52437575900027422"/>
        </c:manualLayout>
      </c:layout>
      <c:lineChart>
        <c:grouping val="standard"/>
        <c:ser>
          <c:idx val="0"/>
          <c:order val="0"/>
          <c:tx>
            <c:strRef>
              <c:f>YahooData!$C$1</c:f>
              <c:strCache>
                <c:ptCount val="1"/>
                <c:pt idx="0">
                  <c:v>P/E Projected</c:v>
                </c:pt>
              </c:strCache>
            </c:strRef>
          </c:tx>
          <c:marker>
            <c:symbol val="none"/>
          </c:marker>
          <c:cat>
            <c:strRef>
              <c:f>YahooData!$B$1:$B$33</c:f>
              <c:strCache>
                <c:ptCount val="33"/>
                <c:pt idx="0">
                  <c:v>Industry</c:v>
                </c:pt>
                <c:pt idx="1">
                  <c:v>Application Software</c:v>
                </c:pt>
                <c:pt idx="2">
                  <c:v>Business Software &amp; Services</c:v>
                </c:pt>
                <c:pt idx="3">
                  <c:v>Communication Equipment</c:v>
                </c:pt>
                <c:pt idx="4">
                  <c:v>Computer Based Systems</c:v>
                </c:pt>
                <c:pt idx="5">
                  <c:v>Computer Peripherals</c:v>
                </c:pt>
                <c:pt idx="6">
                  <c:v>Data Storage Devices</c:v>
                </c:pt>
                <c:pt idx="7">
                  <c:v>Diversified Communication Services</c:v>
                </c:pt>
                <c:pt idx="8">
                  <c:v>Diversified Computer Systems</c:v>
                </c:pt>
                <c:pt idx="9">
                  <c:v>Diversified Electronics</c:v>
                </c:pt>
                <c:pt idx="10">
                  <c:v>Healthcare Information Services</c:v>
                </c:pt>
                <c:pt idx="11">
                  <c:v>Internet Information Providers</c:v>
                </c:pt>
                <c:pt idx="12">
                  <c:v>Internet Service Providers</c:v>
                </c:pt>
                <c:pt idx="13">
                  <c:v>Internet Software &amp; Services</c:v>
                </c:pt>
                <c:pt idx="14">
                  <c:v>Long Distance Carriers</c:v>
                </c:pt>
                <c:pt idx="15">
                  <c:v>Multimedia &amp; Graphics Software</c:v>
                </c:pt>
                <c:pt idx="16">
                  <c:v>Networking &amp; Communication Devices</c:v>
                </c:pt>
                <c:pt idx="17">
                  <c:v>Personal Computers</c:v>
                </c:pt>
                <c:pt idx="18">
                  <c:v>Printed Circuit Boards</c:v>
                </c:pt>
                <c:pt idx="19">
                  <c:v>Processing Systems &amp; Products</c:v>
                </c:pt>
                <c:pt idx="20">
                  <c:v>Scientific &amp; Technical Instruments</c:v>
                </c:pt>
                <c:pt idx="21">
                  <c:v>Security Software &amp; Services</c:v>
                </c:pt>
                <c:pt idx="22">
                  <c:v>Semiconductor - Broad Line</c:v>
                </c:pt>
                <c:pt idx="23">
                  <c:v>Semiconductor - Integrated Circuits</c:v>
                </c:pt>
                <c:pt idx="25">
                  <c:v>Semiconductor Equipment &amp; Materials</c:v>
                </c:pt>
                <c:pt idx="26">
                  <c:v>Semiconductor- Memory Chips</c:v>
                </c:pt>
                <c:pt idx="27">
                  <c:v>Technical &amp; System Software</c:v>
                </c:pt>
                <c:pt idx="28">
                  <c:v>Telecom Services - Domestic</c:v>
                </c:pt>
                <c:pt idx="29">
                  <c:v>Telecom Services - Foreign</c:v>
                </c:pt>
                <c:pt idx="30">
                  <c:v>Wireless Communications</c:v>
                </c:pt>
                <c:pt idx="31">
                  <c:v>Information &amp; Delivery Services</c:v>
                </c:pt>
                <c:pt idx="32">
                  <c:v>Information Technology Services</c:v>
                </c:pt>
              </c:strCache>
            </c:strRef>
          </c:cat>
          <c:val>
            <c:numRef>
              <c:f>YahooData!$C$2:$C$31</c:f>
              <c:numCache>
                <c:formatCode>0.0</c:formatCode>
                <c:ptCount val="30"/>
                <c:pt idx="0">
                  <c:v>42.195495681161262</c:v>
                </c:pt>
                <c:pt idx="1">
                  <c:v>18.426247586632066</c:v>
                </c:pt>
                <c:pt idx="2">
                  <c:v>40.147702579359361</c:v>
                </c:pt>
                <c:pt idx="3">
                  <c:v>34.538412270738426</c:v>
                </c:pt>
                <c:pt idx="4">
                  <c:v>52.963728591908513</c:v>
                </c:pt>
                <c:pt idx="5">
                  <c:v>33.715832334846404</c:v>
                </c:pt>
                <c:pt idx="6">
                  <c:v>34.310877735344164</c:v>
                </c:pt>
                <c:pt idx="7">
                  <c:v>27.001729772896994</c:v>
                </c:pt>
                <c:pt idx="8">
                  <c:v>36.54815795433376</c:v>
                </c:pt>
                <c:pt idx="9">
                  <c:v>38.500095072621534</c:v>
                </c:pt>
                <c:pt idx="10">
                  <c:v>28.834536083071811</c:v>
                </c:pt>
                <c:pt idx="11">
                  <c:v>29.477071715053135</c:v>
                </c:pt>
                <c:pt idx="12">
                  <c:v>50.310905164025691</c:v>
                </c:pt>
                <c:pt idx="13">
                  <c:v>14.899029579351946</c:v>
                </c:pt>
                <c:pt idx="14">
                  <c:v>33.269097461036132</c:v>
                </c:pt>
                <c:pt idx="15">
                  <c:v>19.473771255136555</c:v>
                </c:pt>
                <c:pt idx="16">
                  <c:v>27.505420760863029</c:v>
                </c:pt>
                <c:pt idx="17">
                  <c:v>40.912808501050137</c:v>
                </c:pt>
                <c:pt idx="18">
                  <c:v>45.238828951986626</c:v>
                </c:pt>
                <c:pt idx="19">
                  <c:v>34.149110085132861</c:v>
                </c:pt>
                <c:pt idx="20">
                  <c:v>34.505578707145013</c:v>
                </c:pt>
                <c:pt idx="21">
                  <c:v>31.374853654444461</c:v>
                </c:pt>
                <c:pt idx="22">
                  <c:v>27.381171003732518</c:v>
                </c:pt>
                <c:pt idx="23">
                  <c:v>52.963728591908513</c:v>
                </c:pt>
                <c:pt idx="24">
                  <c:v>34.643744654285399</c:v>
                </c:pt>
                <c:pt idx="25">
                  <c:v>38.855714084794329</c:v>
                </c:pt>
                <c:pt idx="26">
                  <c:v>33.720435244489778</c:v>
                </c:pt>
                <c:pt idx="27">
                  <c:v>11.560133543364508</c:v>
                </c:pt>
                <c:pt idx="28">
                  <c:v>21.374024948085278</c:v>
                </c:pt>
              </c:numCache>
            </c:numRef>
          </c:val>
        </c:ser>
        <c:ser>
          <c:idx val="1"/>
          <c:order val="1"/>
          <c:tx>
            <c:strRef>
              <c:f>YahooData!$D$1</c:f>
              <c:strCache>
                <c:ptCount val="1"/>
                <c:pt idx="0">
                  <c:v>P/E</c:v>
                </c:pt>
              </c:strCache>
            </c:strRef>
          </c:tx>
          <c:marker>
            <c:symbol val="none"/>
          </c:marker>
          <c:cat>
            <c:strRef>
              <c:f>YahooData!$B$1:$B$33</c:f>
              <c:strCache>
                <c:ptCount val="33"/>
                <c:pt idx="0">
                  <c:v>Industry</c:v>
                </c:pt>
                <c:pt idx="1">
                  <c:v>Application Software</c:v>
                </c:pt>
                <c:pt idx="2">
                  <c:v>Business Software &amp; Services</c:v>
                </c:pt>
                <c:pt idx="3">
                  <c:v>Communication Equipment</c:v>
                </c:pt>
                <c:pt idx="4">
                  <c:v>Computer Based Systems</c:v>
                </c:pt>
                <c:pt idx="5">
                  <c:v>Computer Peripherals</c:v>
                </c:pt>
                <c:pt idx="6">
                  <c:v>Data Storage Devices</c:v>
                </c:pt>
                <c:pt idx="7">
                  <c:v>Diversified Communication Services</c:v>
                </c:pt>
                <c:pt idx="8">
                  <c:v>Diversified Computer Systems</c:v>
                </c:pt>
                <c:pt idx="9">
                  <c:v>Diversified Electronics</c:v>
                </c:pt>
                <c:pt idx="10">
                  <c:v>Healthcare Information Services</c:v>
                </c:pt>
                <c:pt idx="11">
                  <c:v>Internet Information Providers</c:v>
                </c:pt>
                <c:pt idx="12">
                  <c:v>Internet Service Providers</c:v>
                </c:pt>
                <c:pt idx="13">
                  <c:v>Internet Software &amp; Services</c:v>
                </c:pt>
                <c:pt idx="14">
                  <c:v>Long Distance Carriers</c:v>
                </c:pt>
                <c:pt idx="15">
                  <c:v>Multimedia &amp; Graphics Software</c:v>
                </c:pt>
                <c:pt idx="16">
                  <c:v>Networking &amp; Communication Devices</c:v>
                </c:pt>
                <c:pt idx="17">
                  <c:v>Personal Computers</c:v>
                </c:pt>
                <c:pt idx="18">
                  <c:v>Printed Circuit Boards</c:v>
                </c:pt>
                <c:pt idx="19">
                  <c:v>Processing Systems &amp; Products</c:v>
                </c:pt>
                <c:pt idx="20">
                  <c:v>Scientific &amp; Technical Instruments</c:v>
                </c:pt>
                <c:pt idx="21">
                  <c:v>Security Software &amp; Services</c:v>
                </c:pt>
                <c:pt idx="22">
                  <c:v>Semiconductor - Broad Line</c:v>
                </c:pt>
                <c:pt idx="23">
                  <c:v>Semiconductor - Integrated Circuits</c:v>
                </c:pt>
                <c:pt idx="25">
                  <c:v>Semiconductor Equipment &amp; Materials</c:v>
                </c:pt>
                <c:pt idx="26">
                  <c:v>Semiconductor- Memory Chips</c:v>
                </c:pt>
                <c:pt idx="27">
                  <c:v>Technical &amp; System Software</c:v>
                </c:pt>
                <c:pt idx="28">
                  <c:v>Telecom Services - Domestic</c:v>
                </c:pt>
                <c:pt idx="29">
                  <c:v>Telecom Services - Foreign</c:v>
                </c:pt>
                <c:pt idx="30">
                  <c:v>Wireless Communications</c:v>
                </c:pt>
                <c:pt idx="31">
                  <c:v>Information &amp; Delivery Services</c:v>
                </c:pt>
                <c:pt idx="32">
                  <c:v>Information Technology Services</c:v>
                </c:pt>
              </c:strCache>
            </c:strRef>
          </c:cat>
          <c:val>
            <c:numRef>
              <c:f>YahooData!$D$2:$D$30</c:f>
              <c:numCache>
                <c:formatCode>General</c:formatCode>
                <c:ptCount val="29"/>
                <c:pt idx="0">
                  <c:v>32.700000000000003</c:v>
                </c:pt>
                <c:pt idx="1">
                  <c:v>18.600000000000001</c:v>
                </c:pt>
                <c:pt idx="2">
                  <c:v>49.1</c:v>
                </c:pt>
                <c:pt idx="3">
                  <c:v>47.6</c:v>
                </c:pt>
                <c:pt idx="4">
                  <c:v>27.4</c:v>
                </c:pt>
                <c:pt idx="5">
                  <c:v>24.3</c:v>
                </c:pt>
                <c:pt idx="6">
                  <c:v>18.100000000000001</c:v>
                </c:pt>
                <c:pt idx="7">
                  <c:v>10.6</c:v>
                </c:pt>
                <c:pt idx="8">
                  <c:v>22.5</c:v>
                </c:pt>
                <c:pt idx="9">
                  <c:v>66.8</c:v>
                </c:pt>
                <c:pt idx="10">
                  <c:v>41.6</c:v>
                </c:pt>
                <c:pt idx="11">
                  <c:v>27.2</c:v>
                </c:pt>
                <c:pt idx="12">
                  <c:v>74</c:v>
                </c:pt>
                <c:pt idx="13">
                  <c:v>4.5999999999999996</c:v>
                </c:pt>
                <c:pt idx="14">
                  <c:v>24.7</c:v>
                </c:pt>
                <c:pt idx="15">
                  <c:v>14.4</c:v>
                </c:pt>
                <c:pt idx="16">
                  <c:v>22.9</c:v>
                </c:pt>
                <c:pt idx="17">
                  <c:v>25.8</c:v>
                </c:pt>
                <c:pt idx="18">
                  <c:v>60.1</c:v>
                </c:pt>
                <c:pt idx="19">
                  <c:v>30.2</c:v>
                </c:pt>
                <c:pt idx="20">
                  <c:v>25.9</c:v>
                </c:pt>
                <c:pt idx="21">
                  <c:v>33.200000000000003</c:v>
                </c:pt>
                <c:pt idx="22">
                  <c:v>25.1</c:v>
                </c:pt>
                <c:pt idx="23">
                  <c:v>15.7</c:v>
                </c:pt>
                <c:pt idx="24">
                  <c:v>38.6</c:v>
                </c:pt>
                <c:pt idx="25">
                  <c:v>28.6</c:v>
                </c:pt>
                <c:pt idx="26">
                  <c:v>33.5</c:v>
                </c:pt>
                <c:pt idx="27">
                  <c:v>33.299999999999997</c:v>
                </c:pt>
                <c:pt idx="28">
                  <c:v>14.3</c:v>
                </c:pt>
              </c:numCache>
            </c:numRef>
          </c:val>
        </c:ser>
        <c:marker val="1"/>
        <c:axId val="180532736"/>
        <c:axId val="180534272"/>
      </c:lineChart>
      <c:catAx>
        <c:axId val="180532736"/>
        <c:scaling>
          <c:orientation val="minMax"/>
        </c:scaling>
        <c:axPos val="b"/>
        <c:tickLblPos val="nextTo"/>
        <c:crossAx val="180534272"/>
        <c:crosses val="autoZero"/>
        <c:auto val="1"/>
        <c:lblAlgn val="ctr"/>
        <c:lblOffset val="100"/>
      </c:catAx>
      <c:valAx>
        <c:axId val="180534272"/>
        <c:scaling>
          <c:orientation val="minMax"/>
        </c:scaling>
        <c:axPos val="l"/>
        <c:majorGridlines/>
        <c:numFmt formatCode="0.0" sourceLinked="1"/>
        <c:tickLblPos val="nextTo"/>
        <c:crossAx val="1805327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904172295310073"/>
          <c:y val="3.8696804690458469E-2"/>
          <c:w val="0.17573423878429431"/>
          <c:h val="0.11995299095075801"/>
        </c:manualLayout>
      </c:layout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view3D>
      <c:rAngAx val="1"/>
    </c:view3D>
    <c:plotArea>
      <c:layout/>
      <c:bar3DChart>
        <c:barDir val="bar"/>
        <c:grouping val="clustered"/>
        <c:ser>
          <c:idx val="0"/>
          <c:order val="0"/>
          <c:dLbls>
            <c:showVal val="1"/>
          </c:dLbls>
          <c:cat>
            <c:strRef>
              <c:f>Output!$P$2:$P$6</c:f>
              <c:strCache>
                <c:ptCount val="5"/>
                <c:pt idx="0">
                  <c:v>Intercept</c:v>
                </c:pt>
                <c:pt idx="1">
                  <c:v>Leverage </c:v>
                </c:pt>
                <c:pt idx="2">
                  <c:v>Growth EBITDA </c:v>
                </c:pt>
                <c:pt idx="3">
                  <c:v>Growth Divident</c:v>
                </c:pt>
                <c:pt idx="4">
                  <c:v>Return on Capital</c:v>
                </c:pt>
              </c:strCache>
            </c:strRef>
          </c:cat>
          <c:val>
            <c:numRef>
              <c:f>Output!$Q$2:$Q$6</c:f>
              <c:numCache>
                <c:formatCode>0.0</c:formatCode>
                <c:ptCount val="5"/>
                <c:pt idx="0">
                  <c:v>52.963728591908513</c:v>
                </c:pt>
                <c:pt idx="1">
                  <c:v>-1.6849826330896753</c:v>
                </c:pt>
                <c:pt idx="2">
                  <c:v>-2.3901340466821632</c:v>
                </c:pt>
                <c:pt idx="3">
                  <c:v>-19.340856276594828</c:v>
                </c:pt>
                <c:pt idx="4">
                  <c:v>-4.4523375619179735</c:v>
                </c:pt>
              </c:numCache>
            </c:numRef>
          </c:val>
        </c:ser>
        <c:shape val="box"/>
        <c:axId val="180546560"/>
        <c:axId val="180622080"/>
        <c:axId val="0"/>
      </c:bar3DChart>
      <c:catAx>
        <c:axId val="180546560"/>
        <c:scaling>
          <c:orientation val="minMax"/>
        </c:scaling>
        <c:axPos val="l"/>
        <c:majorTickMark val="in"/>
        <c:tickLblPos val="high"/>
        <c:crossAx val="180622080"/>
        <c:crosses val="autoZero"/>
        <c:auto val="1"/>
        <c:lblAlgn val="ctr"/>
        <c:lblOffset val="100"/>
      </c:catAx>
      <c:valAx>
        <c:axId val="180622080"/>
        <c:scaling>
          <c:orientation val="minMax"/>
        </c:scaling>
        <c:axPos val="b"/>
        <c:numFmt formatCode="0.0\x" sourceLinked="0"/>
        <c:tickLblPos val="nextTo"/>
        <c:crossAx val="180546560"/>
        <c:crosses val="autoZero"/>
        <c:crossBetween val="between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"/>
  <c:chart>
    <c:title>
      <c:tx>
        <c:rich>
          <a:bodyPr/>
          <a:lstStyle/>
          <a:p>
            <a:pPr>
              <a:defRPr/>
            </a:pPr>
            <a:r>
              <a:rPr lang="en-US"/>
              <a:t>EV/EBITDA Backtest</a:t>
            </a:r>
          </a:p>
        </c:rich>
      </c:tx>
      <c:overlay val="1"/>
    </c:title>
    <c:plotArea>
      <c:layout/>
      <c:lineChart>
        <c:grouping val="standard"/>
        <c:ser>
          <c:idx val="0"/>
          <c:order val="0"/>
          <c:val>
            <c:numRef>
              <c:f>MRegression!$D$5:$D$43</c:f>
              <c:numCache>
                <c:formatCode>#,##0.0\x</c:formatCode>
                <c:ptCount val="39"/>
                <c:pt idx="0">
                  <c:v>32.700000000000003</c:v>
                </c:pt>
                <c:pt idx="1">
                  <c:v>18.600000000000001</c:v>
                </c:pt>
                <c:pt idx="2">
                  <c:v>49.1</c:v>
                </c:pt>
                <c:pt idx="3">
                  <c:v>47.6</c:v>
                </c:pt>
                <c:pt idx="4">
                  <c:v>27.4</c:v>
                </c:pt>
                <c:pt idx="5">
                  <c:v>24.3</c:v>
                </c:pt>
                <c:pt idx="6">
                  <c:v>18.100000000000001</c:v>
                </c:pt>
                <c:pt idx="7">
                  <c:v>10.6</c:v>
                </c:pt>
                <c:pt idx="8">
                  <c:v>22.5</c:v>
                </c:pt>
                <c:pt idx="9">
                  <c:v>66.8</c:v>
                </c:pt>
                <c:pt idx="10">
                  <c:v>41.6</c:v>
                </c:pt>
                <c:pt idx="11">
                  <c:v>27.2</c:v>
                </c:pt>
                <c:pt idx="12">
                  <c:v>74</c:v>
                </c:pt>
                <c:pt idx="13">
                  <c:v>4.5999999999999996</c:v>
                </c:pt>
                <c:pt idx="14">
                  <c:v>24.7</c:v>
                </c:pt>
                <c:pt idx="15">
                  <c:v>14.4</c:v>
                </c:pt>
                <c:pt idx="16">
                  <c:v>22.9</c:v>
                </c:pt>
                <c:pt idx="17">
                  <c:v>25.8</c:v>
                </c:pt>
                <c:pt idx="18">
                  <c:v>60.1</c:v>
                </c:pt>
                <c:pt idx="19">
                  <c:v>30.2</c:v>
                </c:pt>
                <c:pt idx="20">
                  <c:v>25.9</c:v>
                </c:pt>
                <c:pt idx="21">
                  <c:v>33.200000000000003</c:v>
                </c:pt>
                <c:pt idx="22">
                  <c:v>25.1</c:v>
                </c:pt>
                <c:pt idx="23">
                  <c:v>15.7</c:v>
                </c:pt>
                <c:pt idx="24">
                  <c:v>38.6</c:v>
                </c:pt>
                <c:pt idx="25">
                  <c:v>28.6</c:v>
                </c:pt>
                <c:pt idx="26">
                  <c:v>33.5</c:v>
                </c:pt>
                <c:pt idx="27">
                  <c:v>33.299999999999997</c:v>
                </c:pt>
                <c:pt idx="28">
                  <c:v>14.3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val>
        </c:ser>
        <c:ser>
          <c:idx val="1"/>
          <c:order val="1"/>
          <c:tx>
            <c:v>Predicted</c:v>
          </c:tx>
          <c:val>
            <c:numRef>
              <c:f>MRegression!$A$5:$A$43</c:f>
              <c:numCache>
                <c:formatCode>0.000</c:formatCode>
                <c:ptCount val="39"/>
                <c:pt idx="0">
                  <c:v>42.195495681161262</c:v>
                </c:pt>
                <c:pt idx="1">
                  <c:v>18.426247586632066</c:v>
                </c:pt>
                <c:pt idx="2">
                  <c:v>40.147702579359361</c:v>
                </c:pt>
                <c:pt idx="3">
                  <c:v>34.538412270738426</c:v>
                </c:pt>
                <c:pt idx="4">
                  <c:v>26.533604864671197</c:v>
                </c:pt>
                <c:pt idx="5">
                  <c:v>33.715832334846404</c:v>
                </c:pt>
                <c:pt idx="6">
                  <c:v>34.310877735344164</c:v>
                </c:pt>
                <c:pt idx="7">
                  <c:v>27.001729772896994</c:v>
                </c:pt>
                <c:pt idx="8">
                  <c:v>36.54815795433376</c:v>
                </c:pt>
                <c:pt idx="9">
                  <c:v>38.500095072621534</c:v>
                </c:pt>
                <c:pt idx="10">
                  <c:v>28.834536083071811</c:v>
                </c:pt>
                <c:pt idx="11">
                  <c:v>29.477071715053135</c:v>
                </c:pt>
                <c:pt idx="12">
                  <c:v>50.310905164025691</c:v>
                </c:pt>
                <c:pt idx="13">
                  <c:v>14.899029579351946</c:v>
                </c:pt>
                <c:pt idx="14">
                  <c:v>33.269097461036132</c:v>
                </c:pt>
                <c:pt idx="15">
                  <c:v>19.473771255136555</c:v>
                </c:pt>
                <c:pt idx="16">
                  <c:v>27.505420760863029</c:v>
                </c:pt>
                <c:pt idx="17">
                  <c:v>40.912808501050137</c:v>
                </c:pt>
                <c:pt idx="18">
                  <c:v>45.238828951986626</c:v>
                </c:pt>
                <c:pt idx="19">
                  <c:v>34.149110085132861</c:v>
                </c:pt>
                <c:pt idx="20">
                  <c:v>34.505578707145013</c:v>
                </c:pt>
                <c:pt idx="21">
                  <c:v>31.374853654444461</c:v>
                </c:pt>
                <c:pt idx="22">
                  <c:v>27.381171003732518</c:v>
                </c:pt>
                <c:pt idx="23">
                  <c:v>1.9956087503458875</c:v>
                </c:pt>
                <c:pt idx="24">
                  <c:v>34.643744654285399</c:v>
                </c:pt>
                <c:pt idx="25">
                  <c:v>38.855714084794329</c:v>
                </c:pt>
                <c:pt idx="26">
                  <c:v>33.720435244489778</c:v>
                </c:pt>
                <c:pt idx="27">
                  <c:v>11.560133543364508</c:v>
                </c:pt>
                <c:pt idx="28">
                  <c:v>21.374024948085278</c:v>
                </c:pt>
                <c:pt idx="29">
                  <c:v>52.963728591908513</c:v>
                </c:pt>
                <c:pt idx="30">
                  <c:v>52.963728591908513</c:v>
                </c:pt>
                <c:pt idx="31">
                  <c:v>52.963728591908513</c:v>
                </c:pt>
                <c:pt idx="32">
                  <c:v>52.963728591908513</c:v>
                </c:pt>
                <c:pt idx="33">
                  <c:v>52.963728591908513</c:v>
                </c:pt>
                <c:pt idx="34">
                  <c:v>52.963728591908513</c:v>
                </c:pt>
                <c:pt idx="35">
                  <c:v>52.963728591908513</c:v>
                </c:pt>
                <c:pt idx="36">
                  <c:v>52.963728591908513</c:v>
                </c:pt>
                <c:pt idx="37">
                  <c:v>52.963728591908513</c:v>
                </c:pt>
                <c:pt idx="38">
                  <c:v>52.963728591908513</c:v>
                </c:pt>
              </c:numCache>
            </c:numRef>
          </c:val>
        </c:ser>
        <c:marker val="1"/>
        <c:axId val="180818688"/>
        <c:axId val="180820224"/>
      </c:lineChart>
      <c:catAx>
        <c:axId val="180818688"/>
        <c:scaling>
          <c:orientation val="minMax"/>
        </c:scaling>
        <c:axPos val="b"/>
        <c:tickLblPos val="nextTo"/>
        <c:crossAx val="180820224"/>
        <c:crosses val="autoZero"/>
        <c:auto val="1"/>
        <c:lblAlgn val="ctr"/>
        <c:lblOffset val="100"/>
      </c:catAx>
      <c:valAx>
        <c:axId val="180820224"/>
        <c:scaling>
          <c:orientation val="minMax"/>
        </c:scaling>
        <c:axPos val="l"/>
        <c:numFmt formatCode="#,##0.0\x" sourceLinked="1"/>
        <c:tickLblPos val="nextTo"/>
        <c:crossAx val="180818688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71666666666666667"/>
          <c:y val="1.3121172353455862E-2"/>
          <c:w val="0.27863888888888888"/>
          <c:h val="0.19597987751531065"/>
        </c:manualLayout>
      </c:layout>
      <c:overlay val="1"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X Variable 1 Line Fit  Plot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Y</c:v>
          </c:tx>
          <c:spPr>
            <a:ln w="28575">
              <a:noFill/>
            </a:ln>
          </c:spPr>
          <c:xVal>
            <c:numRef>
              <c:f>MRegression!$E$5:$E$43</c:f>
              <c:numCache>
                <c:formatCode>_(#,##0.0%_);_(\(#,##0.0%\)_);_(#,##0.0%_)</c:formatCode>
                <c:ptCount val="39"/>
                <c:pt idx="0">
                  <c:v>2.7167460199658002</c:v>
                </c:pt>
                <c:pt idx="1">
                  <c:v>3.7769611018878386</c:v>
                </c:pt>
                <c:pt idx="2">
                  <c:v>3.7939027839895854</c:v>
                </c:pt>
                <c:pt idx="3">
                  <c:v>3.0393189209114189</c:v>
                </c:pt>
                <c:pt idx="4">
                  <c:v>1.6694098672877826</c:v>
                </c:pt>
                <c:pt idx="5">
                  <c:v>3.0026799967838054</c:v>
                </c:pt>
                <c:pt idx="6">
                  <c:v>2.3732615061616817</c:v>
                </c:pt>
                <c:pt idx="7">
                  <c:v>1.7682680164515479</c:v>
                </c:pt>
                <c:pt idx="8">
                  <c:v>4.5</c:v>
                </c:pt>
                <c:pt idx="9">
                  <c:v>1.6474807731736756</c:v>
                </c:pt>
                <c:pt idx="10">
                  <c:v>3.5408310642373224</c:v>
                </c:pt>
                <c:pt idx="11">
                  <c:v>4.5</c:v>
                </c:pt>
                <c:pt idx="12">
                  <c:v>1.7531999141994159</c:v>
                </c:pt>
                <c:pt idx="13">
                  <c:v>1.2005769267548481</c:v>
                </c:pt>
                <c:pt idx="14">
                  <c:v>4.5216577487453833</c:v>
                </c:pt>
                <c:pt idx="15">
                  <c:v>2.1608585306799912</c:v>
                </c:pt>
                <c:pt idx="16">
                  <c:v>1.3868555291847242</c:v>
                </c:pt>
                <c:pt idx="17">
                  <c:v>1.2938043599193367</c:v>
                </c:pt>
                <c:pt idx="18">
                  <c:v>0.66838591669000014</c:v>
                </c:pt>
                <c:pt idx="19">
                  <c:v>2.0473138158153881</c:v>
                </c:pt>
                <c:pt idx="20">
                  <c:v>1.63978521298682</c:v>
                </c:pt>
                <c:pt idx="21">
                  <c:v>3.7980502275653722</c:v>
                </c:pt>
                <c:pt idx="22">
                  <c:v>2.2785935682411336</c:v>
                </c:pt>
                <c:pt idx="23">
                  <c:v>4.5</c:v>
                </c:pt>
                <c:pt idx="24">
                  <c:v>2.6770043618401727</c:v>
                </c:pt>
                <c:pt idx="25">
                  <c:v>2.5775147777733647</c:v>
                </c:pt>
                <c:pt idx="26">
                  <c:v>3.5383789110505259</c:v>
                </c:pt>
                <c:pt idx="27">
                  <c:v>2.6051110251239025</c:v>
                </c:pt>
                <c:pt idx="28">
                  <c:v>2.4383841070347136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MRegression!$D$5:$D$43</c:f>
              <c:numCache>
                <c:formatCode>#,##0.0\x</c:formatCode>
                <c:ptCount val="39"/>
                <c:pt idx="0">
                  <c:v>32.700000000000003</c:v>
                </c:pt>
                <c:pt idx="1">
                  <c:v>18.600000000000001</c:v>
                </c:pt>
                <c:pt idx="2">
                  <c:v>49.1</c:v>
                </c:pt>
                <c:pt idx="3">
                  <c:v>47.6</c:v>
                </c:pt>
                <c:pt idx="4">
                  <c:v>27.4</c:v>
                </c:pt>
                <c:pt idx="5">
                  <c:v>24.3</c:v>
                </c:pt>
                <c:pt idx="6">
                  <c:v>18.100000000000001</c:v>
                </c:pt>
                <c:pt idx="7">
                  <c:v>10.6</c:v>
                </c:pt>
                <c:pt idx="8">
                  <c:v>22.5</c:v>
                </c:pt>
                <c:pt idx="9">
                  <c:v>66.8</c:v>
                </c:pt>
                <c:pt idx="10">
                  <c:v>41.6</c:v>
                </c:pt>
                <c:pt idx="11">
                  <c:v>27.2</c:v>
                </c:pt>
                <c:pt idx="12">
                  <c:v>74</c:v>
                </c:pt>
                <c:pt idx="13">
                  <c:v>4.5999999999999996</c:v>
                </c:pt>
                <c:pt idx="14">
                  <c:v>24.7</c:v>
                </c:pt>
                <c:pt idx="15">
                  <c:v>14.4</c:v>
                </c:pt>
                <c:pt idx="16">
                  <c:v>22.9</c:v>
                </c:pt>
                <c:pt idx="17">
                  <c:v>25.8</c:v>
                </c:pt>
                <c:pt idx="18">
                  <c:v>60.1</c:v>
                </c:pt>
                <c:pt idx="19">
                  <c:v>30.2</c:v>
                </c:pt>
                <c:pt idx="20">
                  <c:v>25.9</c:v>
                </c:pt>
                <c:pt idx="21">
                  <c:v>33.200000000000003</c:v>
                </c:pt>
                <c:pt idx="22">
                  <c:v>25.1</c:v>
                </c:pt>
                <c:pt idx="23">
                  <c:v>15.7</c:v>
                </c:pt>
                <c:pt idx="24">
                  <c:v>38.6</c:v>
                </c:pt>
                <c:pt idx="25">
                  <c:v>28.6</c:v>
                </c:pt>
                <c:pt idx="26">
                  <c:v>33.5</c:v>
                </c:pt>
                <c:pt idx="27">
                  <c:v>33.299999999999997</c:v>
                </c:pt>
                <c:pt idx="28">
                  <c:v>14.3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Y</c:v>
          </c:tx>
          <c:spPr>
            <a:ln w="28575">
              <a:noFill/>
            </a:ln>
          </c:spPr>
          <c:xVal>
            <c:numRef>
              <c:f>MRegression!$E$5:$E$43</c:f>
              <c:numCache>
                <c:formatCode>_(#,##0.0%_);_(\(#,##0.0%\)_);_(#,##0.0%_)</c:formatCode>
                <c:ptCount val="39"/>
                <c:pt idx="0">
                  <c:v>2.7167460199658002</c:v>
                </c:pt>
                <c:pt idx="1">
                  <c:v>3.7769611018878386</c:v>
                </c:pt>
                <c:pt idx="2">
                  <c:v>3.7939027839895854</c:v>
                </c:pt>
                <c:pt idx="3">
                  <c:v>3.0393189209114189</c:v>
                </c:pt>
                <c:pt idx="4">
                  <c:v>1.6694098672877826</c:v>
                </c:pt>
                <c:pt idx="5">
                  <c:v>3.0026799967838054</c:v>
                </c:pt>
                <c:pt idx="6">
                  <c:v>2.3732615061616817</c:v>
                </c:pt>
                <c:pt idx="7">
                  <c:v>1.7682680164515479</c:v>
                </c:pt>
                <c:pt idx="8">
                  <c:v>4.5</c:v>
                </c:pt>
                <c:pt idx="9">
                  <c:v>1.6474807731736756</c:v>
                </c:pt>
                <c:pt idx="10">
                  <c:v>3.5408310642373224</c:v>
                </c:pt>
                <c:pt idx="11">
                  <c:v>4.5</c:v>
                </c:pt>
                <c:pt idx="12">
                  <c:v>1.7531999141994159</c:v>
                </c:pt>
                <c:pt idx="13">
                  <c:v>1.2005769267548481</c:v>
                </c:pt>
                <c:pt idx="14">
                  <c:v>4.5216577487453833</c:v>
                </c:pt>
                <c:pt idx="15">
                  <c:v>2.1608585306799912</c:v>
                </c:pt>
                <c:pt idx="16">
                  <c:v>1.3868555291847242</c:v>
                </c:pt>
                <c:pt idx="17">
                  <c:v>1.2938043599193367</c:v>
                </c:pt>
                <c:pt idx="18">
                  <c:v>0.66838591669000014</c:v>
                </c:pt>
                <c:pt idx="19">
                  <c:v>2.0473138158153881</c:v>
                </c:pt>
                <c:pt idx="20">
                  <c:v>1.63978521298682</c:v>
                </c:pt>
                <c:pt idx="21">
                  <c:v>3.7980502275653722</c:v>
                </c:pt>
                <c:pt idx="22">
                  <c:v>2.2785935682411336</c:v>
                </c:pt>
                <c:pt idx="23">
                  <c:v>4.5</c:v>
                </c:pt>
                <c:pt idx="24">
                  <c:v>2.6770043618401727</c:v>
                </c:pt>
                <c:pt idx="25">
                  <c:v>2.5775147777733647</c:v>
                </c:pt>
                <c:pt idx="26">
                  <c:v>3.5383789110505259</c:v>
                </c:pt>
                <c:pt idx="27">
                  <c:v>2.6051110251239025</c:v>
                </c:pt>
                <c:pt idx="28">
                  <c:v>2.4383841070347136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'Test-regression'!$B$29:$B$67</c:f>
              <c:numCache>
                <c:formatCode>General</c:formatCode>
                <c:ptCount val="39"/>
                <c:pt idx="0">
                  <c:v>9.7562372512674553</c:v>
                </c:pt>
                <c:pt idx="1">
                  <c:v>10.124211899325131</c:v>
                </c:pt>
                <c:pt idx="2">
                  <c:v>10.259016018038832</c:v>
                </c:pt>
                <c:pt idx="3">
                  <c:v>10.322100925813443</c:v>
                </c:pt>
                <c:pt idx="4">
                  <c:v>10.297345509802385</c:v>
                </c:pt>
                <c:pt idx="5">
                  <c:v>10.500019131761068</c:v>
                </c:pt>
                <c:pt idx="6">
                  <c:v>10.94256506375145</c:v>
                </c:pt>
                <c:pt idx="7">
                  <c:v>9.9304350718829575</c:v>
                </c:pt>
                <c:pt idx="8">
                  <c:v>10.294286495155839</c:v>
                </c:pt>
                <c:pt idx="9">
                  <c:v>10.139494123466514</c:v>
                </c:pt>
                <c:pt idx="10">
                  <c:v>10.810983584443067</c:v>
                </c:pt>
                <c:pt idx="11">
                  <c:v>9.6085015868280887</c:v>
                </c:pt>
                <c:pt idx="12">
                  <c:v>10.425237882950224</c:v>
                </c:pt>
                <c:pt idx="13">
                  <c:v>10.368756906922526</c:v>
                </c:pt>
                <c:pt idx="14">
                  <c:v>9.2755891177090639</c:v>
                </c:pt>
                <c:pt idx="15">
                  <c:v>9.1434784260623818</c:v>
                </c:pt>
                <c:pt idx="16">
                  <c:v>8.8417904985749995</c:v>
                </c:pt>
                <c:pt idx="17">
                  <c:v>7.9879420362543119</c:v>
                </c:pt>
                <c:pt idx="18">
                  <c:v>8.4810662558531078</c:v>
                </c:pt>
                <c:pt idx="19">
                  <c:v>8.0917975606050785</c:v>
                </c:pt>
                <c:pt idx="20">
                  <c:v>7.1965551877873732</c:v>
                </c:pt>
                <c:pt idx="21">
                  <c:v>7.4778653433434634</c:v>
                </c:pt>
                <c:pt idx="22">
                  <c:v>8.3792084802494458</c:v>
                </c:pt>
                <c:pt idx="23">
                  <c:v>8.7556147354229417</c:v>
                </c:pt>
                <c:pt idx="24">
                  <c:v>9.2651927040897029</c:v>
                </c:pt>
                <c:pt idx="25">
                  <c:v>8.6883713604074249</c:v>
                </c:pt>
                <c:pt idx="26">
                  <c:v>9.5984999486734743</c:v>
                </c:pt>
                <c:pt idx="27">
                  <c:v>9.7868522480465039</c:v>
                </c:pt>
                <c:pt idx="28">
                  <c:v>9.4172063942599351</c:v>
                </c:pt>
                <c:pt idx="29">
                  <c:v>9.5597046250766198</c:v>
                </c:pt>
                <c:pt idx="30">
                  <c:v>9.6849736147082357</c:v>
                </c:pt>
                <c:pt idx="31">
                  <c:v>9.3936107950483034</c:v>
                </c:pt>
                <c:pt idx="32">
                  <c:v>9.4708729822298476</c:v>
                </c:pt>
                <c:pt idx="33">
                  <c:v>9.8017091106781002</c:v>
                </c:pt>
                <c:pt idx="34">
                  <c:v>9.3433481708648607</c:v>
                </c:pt>
                <c:pt idx="35">
                  <c:v>9.2930034990888917</c:v>
                </c:pt>
                <c:pt idx="36">
                  <c:v>9.1948260182343731</c:v>
                </c:pt>
                <c:pt idx="37">
                  <c:v>9.4939003560436888</c:v>
                </c:pt>
                <c:pt idx="38">
                  <c:v>9.625304079278953</c:v>
                </c:pt>
              </c:numCache>
            </c:numRef>
          </c:yVal>
        </c:ser>
        <c:axId val="180792320"/>
        <c:axId val="180802688"/>
      </c:scatterChart>
      <c:valAx>
        <c:axId val="1807923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1</a:t>
                </a:r>
              </a:p>
            </c:rich>
          </c:tx>
          <c:layout/>
        </c:title>
        <c:numFmt formatCode="_(#,##0.0%_);_(\(#,##0.0%\)_);_(#,##0.0%_)" sourceLinked="1"/>
        <c:tickLblPos val="nextTo"/>
        <c:crossAx val="180802688"/>
        <c:crosses val="autoZero"/>
        <c:crossBetween val="midCat"/>
      </c:valAx>
      <c:valAx>
        <c:axId val="1808026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</c:title>
        <c:numFmt formatCode="#,##0.0\x" sourceLinked="1"/>
        <c:tickLblPos val="nextTo"/>
        <c:crossAx val="1807923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X Variable 2 Line Fit  Plot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Y</c:v>
          </c:tx>
          <c:spPr>
            <a:ln w="28575">
              <a:noFill/>
            </a:ln>
          </c:spPr>
          <c:xVal>
            <c:numRef>
              <c:f>MRegression!$F$5:$F$43</c:f>
              <c:numCache>
                <c:formatCode>#,##0.0\x</c:formatCode>
                <c:ptCount val="39"/>
                <c:pt idx="0">
                  <c:v>16.899999999999999</c:v>
                </c:pt>
                <c:pt idx="1">
                  <c:v>23.3</c:v>
                </c:pt>
                <c:pt idx="2">
                  <c:v>6.7</c:v>
                </c:pt>
                <c:pt idx="3">
                  <c:v>6</c:v>
                </c:pt>
                <c:pt idx="4">
                  <c:v>16.3</c:v>
                </c:pt>
                <c:pt idx="5">
                  <c:v>12.3</c:v>
                </c:pt>
                <c:pt idx="6">
                  <c:v>8.4</c:v>
                </c:pt>
                <c:pt idx="7">
                  <c:v>19</c:v>
                </c:pt>
                <c:pt idx="8">
                  <c:v>7.4</c:v>
                </c:pt>
                <c:pt idx="9">
                  <c:v>16.8</c:v>
                </c:pt>
                <c:pt idx="10">
                  <c:v>15.7</c:v>
                </c:pt>
                <c:pt idx="11">
                  <c:v>7.9</c:v>
                </c:pt>
                <c:pt idx="12">
                  <c:v>6.9</c:v>
                </c:pt>
                <c:pt idx="13">
                  <c:v>23.3</c:v>
                </c:pt>
                <c:pt idx="14">
                  <c:v>7.9</c:v>
                </c:pt>
                <c:pt idx="15">
                  <c:v>14.5</c:v>
                </c:pt>
                <c:pt idx="16">
                  <c:v>9.9</c:v>
                </c:pt>
                <c:pt idx="17">
                  <c:v>6.6</c:v>
                </c:pt>
                <c:pt idx="18">
                  <c:v>3.2</c:v>
                </c:pt>
                <c:pt idx="19">
                  <c:v>11.1</c:v>
                </c:pt>
                <c:pt idx="20">
                  <c:v>10.9</c:v>
                </c:pt>
                <c:pt idx="21">
                  <c:v>8.6</c:v>
                </c:pt>
                <c:pt idx="22">
                  <c:v>11.4</c:v>
                </c:pt>
                <c:pt idx="23">
                  <c:v>23</c:v>
                </c:pt>
                <c:pt idx="24">
                  <c:v>7.1</c:v>
                </c:pt>
                <c:pt idx="25">
                  <c:v>8.9</c:v>
                </c:pt>
                <c:pt idx="26">
                  <c:v>15</c:v>
                </c:pt>
                <c:pt idx="27">
                  <c:v>13.6</c:v>
                </c:pt>
                <c:pt idx="28">
                  <c:v>9.5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MRegression!$D$5:$D$43</c:f>
              <c:numCache>
                <c:formatCode>#,##0.0\x</c:formatCode>
                <c:ptCount val="39"/>
                <c:pt idx="0">
                  <c:v>32.700000000000003</c:v>
                </c:pt>
                <c:pt idx="1">
                  <c:v>18.600000000000001</c:v>
                </c:pt>
                <c:pt idx="2">
                  <c:v>49.1</c:v>
                </c:pt>
                <c:pt idx="3">
                  <c:v>47.6</c:v>
                </c:pt>
                <c:pt idx="4">
                  <c:v>27.4</c:v>
                </c:pt>
                <c:pt idx="5">
                  <c:v>24.3</c:v>
                </c:pt>
                <c:pt idx="6">
                  <c:v>18.100000000000001</c:v>
                </c:pt>
                <c:pt idx="7">
                  <c:v>10.6</c:v>
                </c:pt>
                <c:pt idx="8">
                  <c:v>22.5</c:v>
                </c:pt>
                <c:pt idx="9">
                  <c:v>66.8</c:v>
                </c:pt>
                <c:pt idx="10">
                  <c:v>41.6</c:v>
                </c:pt>
                <c:pt idx="11">
                  <c:v>27.2</c:v>
                </c:pt>
                <c:pt idx="12">
                  <c:v>74</c:v>
                </c:pt>
                <c:pt idx="13">
                  <c:v>4.5999999999999996</c:v>
                </c:pt>
                <c:pt idx="14">
                  <c:v>24.7</c:v>
                </c:pt>
                <c:pt idx="15">
                  <c:v>14.4</c:v>
                </c:pt>
                <c:pt idx="16">
                  <c:v>22.9</c:v>
                </c:pt>
                <c:pt idx="17">
                  <c:v>25.8</c:v>
                </c:pt>
                <c:pt idx="18">
                  <c:v>60.1</c:v>
                </c:pt>
                <c:pt idx="19">
                  <c:v>30.2</c:v>
                </c:pt>
                <c:pt idx="20">
                  <c:v>25.9</c:v>
                </c:pt>
                <c:pt idx="21">
                  <c:v>33.200000000000003</c:v>
                </c:pt>
                <c:pt idx="22">
                  <c:v>25.1</c:v>
                </c:pt>
                <c:pt idx="23">
                  <c:v>15.7</c:v>
                </c:pt>
                <c:pt idx="24">
                  <c:v>38.6</c:v>
                </c:pt>
                <c:pt idx="25">
                  <c:v>28.6</c:v>
                </c:pt>
                <c:pt idx="26">
                  <c:v>33.5</c:v>
                </c:pt>
                <c:pt idx="27">
                  <c:v>33.299999999999997</c:v>
                </c:pt>
                <c:pt idx="28">
                  <c:v>14.3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Y</c:v>
          </c:tx>
          <c:spPr>
            <a:ln w="28575">
              <a:noFill/>
            </a:ln>
          </c:spPr>
          <c:xVal>
            <c:numRef>
              <c:f>MRegression!$F$5:$F$43</c:f>
              <c:numCache>
                <c:formatCode>#,##0.0\x</c:formatCode>
                <c:ptCount val="39"/>
                <c:pt idx="0">
                  <c:v>16.899999999999999</c:v>
                </c:pt>
                <c:pt idx="1">
                  <c:v>23.3</c:v>
                </c:pt>
                <c:pt idx="2">
                  <c:v>6.7</c:v>
                </c:pt>
                <c:pt idx="3">
                  <c:v>6</c:v>
                </c:pt>
                <c:pt idx="4">
                  <c:v>16.3</c:v>
                </c:pt>
                <c:pt idx="5">
                  <c:v>12.3</c:v>
                </c:pt>
                <c:pt idx="6">
                  <c:v>8.4</c:v>
                </c:pt>
                <c:pt idx="7">
                  <c:v>19</c:v>
                </c:pt>
                <c:pt idx="8">
                  <c:v>7.4</c:v>
                </c:pt>
                <c:pt idx="9">
                  <c:v>16.8</c:v>
                </c:pt>
                <c:pt idx="10">
                  <c:v>15.7</c:v>
                </c:pt>
                <c:pt idx="11">
                  <c:v>7.9</c:v>
                </c:pt>
                <c:pt idx="12">
                  <c:v>6.9</c:v>
                </c:pt>
                <c:pt idx="13">
                  <c:v>23.3</c:v>
                </c:pt>
                <c:pt idx="14">
                  <c:v>7.9</c:v>
                </c:pt>
                <c:pt idx="15">
                  <c:v>14.5</c:v>
                </c:pt>
                <c:pt idx="16">
                  <c:v>9.9</c:v>
                </c:pt>
                <c:pt idx="17">
                  <c:v>6.6</c:v>
                </c:pt>
                <c:pt idx="18">
                  <c:v>3.2</c:v>
                </c:pt>
                <c:pt idx="19">
                  <c:v>11.1</c:v>
                </c:pt>
                <c:pt idx="20">
                  <c:v>10.9</c:v>
                </c:pt>
                <c:pt idx="21">
                  <c:v>8.6</c:v>
                </c:pt>
                <c:pt idx="22">
                  <c:v>11.4</c:v>
                </c:pt>
                <c:pt idx="23">
                  <c:v>23</c:v>
                </c:pt>
                <c:pt idx="24">
                  <c:v>7.1</c:v>
                </c:pt>
                <c:pt idx="25">
                  <c:v>8.9</c:v>
                </c:pt>
                <c:pt idx="26">
                  <c:v>15</c:v>
                </c:pt>
                <c:pt idx="27">
                  <c:v>13.6</c:v>
                </c:pt>
                <c:pt idx="28">
                  <c:v>9.5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'Test-regression'!$B$29:$B$67</c:f>
              <c:numCache>
                <c:formatCode>General</c:formatCode>
                <c:ptCount val="39"/>
                <c:pt idx="0">
                  <c:v>9.7562372512674553</c:v>
                </c:pt>
                <c:pt idx="1">
                  <c:v>10.124211899325131</c:v>
                </c:pt>
                <c:pt idx="2">
                  <c:v>10.259016018038832</c:v>
                </c:pt>
                <c:pt idx="3">
                  <c:v>10.322100925813443</c:v>
                </c:pt>
                <c:pt idx="4">
                  <c:v>10.297345509802385</c:v>
                </c:pt>
                <c:pt idx="5">
                  <c:v>10.500019131761068</c:v>
                </c:pt>
                <c:pt idx="6">
                  <c:v>10.94256506375145</c:v>
                </c:pt>
                <c:pt idx="7">
                  <c:v>9.9304350718829575</c:v>
                </c:pt>
                <c:pt idx="8">
                  <c:v>10.294286495155839</c:v>
                </c:pt>
                <c:pt idx="9">
                  <c:v>10.139494123466514</c:v>
                </c:pt>
                <c:pt idx="10">
                  <c:v>10.810983584443067</c:v>
                </c:pt>
                <c:pt idx="11">
                  <c:v>9.6085015868280887</c:v>
                </c:pt>
                <c:pt idx="12">
                  <c:v>10.425237882950224</c:v>
                </c:pt>
                <c:pt idx="13">
                  <c:v>10.368756906922526</c:v>
                </c:pt>
                <c:pt idx="14">
                  <c:v>9.2755891177090639</c:v>
                </c:pt>
                <c:pt idx="15">
                  <c:v>9.1434784260623818</c:v>
                </c:pt>
                <c:pt idx="16">
                  <c:v>8.8417904985749995</c:v>
                </c:pt>
                <c:pt idx="17">
                  <c:v>7.9879420362543119</c:v>
                </c:pt>
                <c:pt idx="18">
                  <c:v>8.4810662558531078</c:v>
                </c:pt>
                <c:pt idx="19">
                  <c:v>8.0917975606050785</c:v>
                </c:pt>
                <c:pt idx="20">
                  <c:v>7.1965551877873732</c:v>
                </c:pt>
                <c:pt idx="21">
                  <c:v>7.4778653433434634</c:v>
                </c:pt>
                <c:pt idx="22">
                  <c:v>8.3792084802494458</c:v>
                </c:pt>
                <c:pt idx="23">
                  <c:v>8.7556147354229417</c:v>
                </c:pt>
                <c:pt idx="24">
                  <c:v>9.2651927040897029</c:v>
                </c:pt>
                <c:pt idx="25">
                  <c:v>8.6883713604074249</c:v>
                </c:pt>
                <c:pt idx="26">
                  <c:v>9.5984999486734743</c:v>
                </c:pt>
                <c:pt idx="27">
                  <c:v>9.7868522480465039</c:v>
                </c:pt>
                <c:pt idx="28">
                  <c:v>9.4172063942599351</c:v>
                </c:pt>
                <c:pt idx="29">
                  <c:v>9.5597046250766198</c:v>
                </c:pt>
                <c:pt idx="30">
                  <c:v>9.6849736147082357</c:v>
                </c:pt>
                <c:pt idx="31">
                  <c:v>9.3936107950483034</c:v>
                </c:pt>
                <c:pt idx="32">
                  <c:v>9.4708729822298476</c:v>
                </c:pt>
                <c:pt idx="33">
                  <c:v>9.8017091106781002</c:v>
                </c:pt>
                <c:pt idx="34">
                  <c:v>9.3433481708648607</c:v>
                </c:pt>
                <c:pt idx="35">
                  <c:v>9.2930034990888917</c:v>
                </c:pt>
                <c:pt idx="36">
                  <c:v>9.1948260182343731</c:v>
                </c:pt>
                <c:pt idx="37">
                  <c:v>9.4939003560436888</c:v>
                </c:pt>
                <c:pt idx="38">
                  <c:v>9.625304079278953</c:v>
                </c:pt>
              </c:numCache>
            </c:numRef>
          </c:yVal>
        </c:ser>
        <c:axId val="181114752"/>
        <c:axId val="181018624"/>
      </c:scatterChart>
      <c:valAx>
        <c:axId val="1811147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2</a:t>
                </a:r>
              </a:p>
            </c:rich>
          </c:tx>
          <c:layout/>
        </c:title>
        <c:numFmt formatCode="#,##0.0\x" sourceLinked="1"/>
        <c:tickLblPos val="nextTo"/>
        <c:crossAx val="181018624"/>
        <c:crosses val="autoZero"/>
        <c:crossBetween val="midCat"/>
      </c:valAx>
      <c:valAx>
        <c:axId val="18101862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</c:title>
        <c:numFmt formatCode="#,##0.0\x" sourceLinked="1"/>
        <c:tickLblPos val="nextTo"/>
        <c:crossAx val="1811147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X Variable 3 Line Fit  Plot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Y</c:v>
          </c:tx>
          <c:spPr>
            <a:ln w="28575">
              <a:noFill/>
            </a:ln>
          </c:spPr>
          <c:xVal>
            <c:numRef>
              <c:f>MRegression!$G$5:$G$43</c:f>
              <c:numCache>
                <c:formatCode>_(#,##0.0%_);_(\(#,##0.0%\)_);_(#,##0.0%_)</c:formatCode>
                <c:ptCount val="39"/>
                <c:pt idx="0">
                  <c:v>1.0900000000000001</c:v>
                </c:pt>
                <c:pt idx="1">
                  <c:v>2.8220000000000001</c:v>
                </c:pt>
                <c:pt idx="2">
                  <c:v>1.383</c:v>
                </c:pt>
                <c:pt idx="3">
                  <c:v>3.1779999999999999</c:v>
                </c:pt>
                <c:pt idx="4">
                  <c:v>1.8680000000000001</c:v>
                </c:pt>
                <c:pt idx="5">
                  <c:v>1.794</c:v>
                </c:pt>
                <c:pt idx="6">
                  <c:v>3.254</c:v>
                </c:pt>
                <c:pt idx="7">
                  <c:v>2</c:v>
                </c:pt>
                <c:pt idx="8">
                  <c:v>1.431</c:v>
                </c:pt>
                <c:pt idx="9">
                  <c:v>2.9910000000000001</c:v>
                </c:pt>
                <c:pt idx="10">
                  <c:v>0.97499999999999998</c:v>
                </c:pt>
                <c:pt idx="11">
                  <c:v>3.8410000000000002</c:v>
                </c:pt>
                <c:pt idx="12">
                  <c:v>0.433</c:v>
                </c:pt>
                <c:pt idx="13">
                  <c:v>5.0810000000000004</c:v>
                </c:pt>
                <c:pt idx="14">
                  <c:v>1.7090000000000001</c:v>
                </c:pt>
                <c:pt idx="15">
                  <c:v>3.085</c:v>
                </c:pt>
                <c:pt idx="16">
                  <c:v>2.2999999999999998</c:v>
                </c:pt>
                <c:pt idx="17">
                  <c:v>1.849</c:v>
                </c:pt>
                <c:pt idx="18">
                  <c:v>1.1519999999999999</c:v>
                </c:pt>
                <c:pt idx="19">
                  <c:v>1.268</c:v>
                </c:pt>
                <c:pt idx="20">
                  <c:v>2.778</c:v>
                </c:pt>
                <c:pt idx="21">
                  <c:v>3.3119999999999998</c:v>
                </c:pt>
                <c:pt idx="22">
                  <c:v>2.1520000000000001</c:v>
                </c:pt>
                <c:pt idx="23">
                  <c:v>1.91</c:v>
                </c:pt>
                <c:pt idx="24">
                  <c:v>2.145</c:v>
                </c:pt>
                <c:pt idx="25">
                  <c:v>0</c:v>
                </c:pt>
                <c:pt idx="26">
                  <c:v>0.85</c:v>
                </c:pt>
                <c:pt idx="27">
                  <c:v>5.2060000000000004</c:v>
                </c:pt>
                <c:pt idx="28">
                  <c:v>5.306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MRegression!$D$5:$D$43</c:f>
              <c:numCache>
                <c:formatCode>#,##0.0\x</c:formatCode>
                <c:ptCount val="39"/>
                <c:pt idx="0">
                  <c:v>32.700000000000003</c:v>
                </c:pt>
                <c:pt idx="1">
                  <c:v>18.600000000000001</c:v>
                </c:pt>
                <c:pt idx="2">
                  <c:v>49.1</c:v>
                </c:pt>
                <c:pt idx="3">
                  <c:v>47.6</c:v>
                </c:pt>
                <c:pt idx="4">
                  <c:v>27.4</c:v>
                </c:pt>
                <c:pt idx="5">
                  <c:v>24.3</c:v>
                </c:pt>
                <c:pt idx="6">
                  <c:v>18.100000000000001</c:v>
                </c:pt>
                <c:pt idx="7">
                  <c:v>10.6</c:v>
                </c:pt>
                <c:pt idx="8">
                  <c:v>22.5</c:v>
                </c:pt>
                <c:pt idx="9">
                  <c:v>66.8</c:v>
                </c:pt>
                <c:pt idx="10">
                  <c:v>41.6</c:v>
                </c:pt>
                <c:pt idx="11">
                  <c:v>27.2</c:v>
                </c:pt>
                <c:pt idx="12">
                  <c:v>74</c:v>
                </c:pt>
                <c:pt idx="13">
                  <c:v>4.5999999999999996</c:v>
                </c:pt>
                <c:pt idx="14">
                  <c:v>24.7</c:v>
                </c:pt>
                <c:pt idx="15">
                  <c:v>14.4</c:v>
                </c:pt>
                <c:pt idx="16">
                  <c:v>22.9</c:v>
                </c:pt>
                <c:pt idx="17">
                  <c:v>25.8</c:v>
                </c:pt>
                <c:pt idx="18">
                  <c:v>60.1</c:v>
                </c:pt>
                <c:pt idx="19">
                  <c:v>30.2</c:v>
                </c:pt>
                <c:pt idx="20">
                  <c:v>25.9</c:v>
                </c:pt>
                <c:pt idx="21">
                  <c:v>33.200000000000003</c:v>
                </c:pt>
                <c:pt idx="22">
                  <c:v>25.1</c:v>
                </c:pt>
                <c:pt idx="23">
                  <c:v>15.7</c:v>
                </c:pt>
                <c:pt idx="24">
                  <c:v>38.6</c:v>
                </c:pt>
                <c:pt idx="25">
                  <c:v>28.6</c:v>
                </c:pt>
                <c:pt idx="26">
                  <c:v>33.5</c:v>
                </c:pt>
                <c:pt idx="27">
                  <c:v>33.299999999999997</c:v>
                </c:pt>
                <c:pt idx="28">
                  <c:v>14.3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Y</c:v>
          </c:tx>
          <c:spPr>
            <a:ln w="28575">
              <a:noFill/>
            </a:ln>
          </c:spPr>
          <c:xVal>
            <c:numRef>
              <c:f>MRegression!$G$5:$G$43</c:f>
              <c:numCache>
                <c:formatCode>_(#,##0.0%_);_(\(#,##0.0%\)_);_(#,##0.0%_)</c:formatCode>
                <c:ptCount val="39"/>
                <c:pt idx="0">
                  <c:v>1.0900000000000001</c:v>
                </c:pt>
                <c:pt idx="1">
                  <c:v>2.8220000000000001</c:v>
                </c:pt>
                <c:pt idx="2">
                  <c:v>1.383</c:v>
                </c:pt>
                <c:pt idx="3">
                  <c:v>3.1779999999999999</c:v>
                </c:pt>
                <c:pt idx="4">
                  <c:v>1.8680000000000001</c:v>
                </c:pt>
                <c:pt idx="5">
                  <c:v>1.794</c:v>
                </c:pt>
                <c:pt idx="6">
                  <c:v>3.254</c:v>
                </c:pt>
                <c:pt idx="7">
                  <c:v>2</c:v>
                </c:pt>
                <c:pt idx="8">
                  <c:v>1.431</c:v>
                </c:pt>
                <c:pt idx="9">
                  <c:v>2.9910000000000001</c:v>
                </c:pt>
                <c:pt idx="10">
                  <c:v>0.97499999999999998</c:v>
                </c:pt>
                <c:pt idx="11">
                  <c:v>3.8410000000000002</c:v>
                </c:pt>
                <c:pt idx="12">
                  <c:v>0.433</c:v>
                </c:pt>
                <c:pt idx="13">
                  <c:v>5.0810000000000004</c:v>
                </c:pt>
                <c:pt idx="14">
                  <c:v>1.7090000000000001</c:v>
                </c:pt>
                <c:pt idx="15">
                  <c:v>3.085</c:v>
                </c:pt>
                <c:pt idx="16">
                  <c:v>2.2999999999999998</c:v>
                </c:pt>
                <c:pt idx="17">
                  <c:v>1.849</c:v>
                </c:pt>
                <c:pt idx="18">
                  <c:v>1.1519999999999999</c:v>
                </c:pt>
                <c:pt idx="19">
                  <c:v>1.268</c:v>
                </c:pt>
                <c:pt idx="20">
                  <c:v>2.778</c:v>
                </c:pt>
                <c:pt idx="21">
                  <c:v>3.3119999999999998</c:v>
                </c:pt>
                <c:pt idx="22">
                  <c:v>2.1520000000000001</c:v>
                </c:pt>
                <c:pt idx="23">
                  <c:v>1.91</c:v>
                </c:pt>
                <c:pt idx="24">
                  <c:v>2.145</c:v>
                </c:pt>
                <c:pt idx="25">
                  <c:v>0</c:v>
                </c:pt>
                <c:pt idx="26">
                  <c:v>0.85</c:v>
                </c:pt>
                <c:pt idx="27">
                  <c:v>5.2060000000000004</c:v>
                </c:pt>
                <c:pt idx="28">
                  <c:v>5.306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'Test-regression'!$B$29:$B$67</c:f>
              <c:numCache>
                <c:formatCode>General</c:formatCode>
                <c:ptCount val="39"/>
                <c:pt idx="0">
                  <c:v>9.7562372512674553</c:v>
                </c:pt>
                <c:pt idx="1">
                  <c:v>10.124211899325131</c:v>
                </c:pt>
                <c:pt idx="2">
                  <c:v>10.259016018038832</c:v>
                </c:pt>
                <c:pt idx="3">
                  <c:v>10.322100925813443</c:v>
                </c:pt>
                <c:pt idx="4">
                  <c:v>10.297345509802385</c:v>
                </c:pt>
                <c:pt idx="5">
                  <c:v>10.500019131761068</c:v>
                </c:pt>
                <c:pt idx="6">
                  <c:v>10.94256506375145</c:v>
                </c:pt>
                <c:pt idx="7">
                  <c:v>9.9304350718829575</c:v>
                </c:pt>
                <c:pt idx="8">
                  <c:v>10.294286495155839</c:v>
                </c:pt>
                <c:pt idx="9">
                  <c:v>10.139494123466514</c:v>
                </c:pt>
                <c:pt idx="10">
                  <c:v>10.810983584443067</c:v>
                </c:pt>
                <c:pt idx="11">
                  <c:v>9.6085015868280887</c:v>
                </c:pt>
                <c:pt idx="12">
                  <c:v>10.425237882950224</c:v>
                </c:pt>
                <c:pt idx="13">
                  <c:v>10.368756906922526</c:v>
                </c:pt>
                <c:pt idx="14">
                  <c:v>9.2755891177090639</c:v>
                </c:pt>
                <c:pt idx="15">
                  <c:v>9.1434784260623818</c:v>
                </c:pt>
                <c:pt idx="16">
                  <c:v>8.8417904985749995</c:v>
                </c:pt>
                <c:pt idx="17">
                  <c:v>7.9879420362543119</c:v>
                </c:pt>
                <c:pt idx="18">
                  <c:v>8.4810662558531078</c:v>
                </c:pt>
                <c:pt idx="19">
                  <c:v>8.0917975606050785</c:v>
                </c:pt>
                <c:pt idx="20">
                  <c:v>7.1965551877873732</c:v>
                </c:pt>
                <c:pt idx="21">
                  <c:v>7.4778653433434634</c:v>
                </c:pt>
                <c:pt idx="22">
                  <c:v>8.3792084802494458</c:v>
                </c:pt>
                <c:pt idx="23">
                  <c:v>8.7556147354229417</c:v>
                </c:pt>
                <c:pt idx="24">
                  <c:v>9.2651927040897029</c:v>
                </c:pt>
                <c:pt idx="25">
                  <c:v>8.6883713604074249</c:v>
                </c:pt>
                <c:pt idx="26">
                  <c:v>9.5984999486734743</c:v>
                </c:pt>
                <c:pt idx="27">
                  <c:v>9.7868522480465039</c:v>
                </c:pt>
                <c:pt idx="28">
                  <c:v>9.4172063942599351</c:v>
                </c:pt>
                <c:pt idx="29">
                  <c:v>9.5597046250766198</c:v>
                </c:pt>
                <c:pt idx="30">
                  <c:v>9.6849736147082357</c:v>
                </c:pt>
                <c:pt idx="31">
                  <c:v>9.3936107950483034</c:v>
                </c:pt>
                <c:pt idx="32">
                  <c:v>9.4708729822298476</c:v>
                </c:pt>
                <c:pt idx="33">
                  <c:v>9.8017091106781002</c:v>
                </c:pt>
                <c:pt idx="34">
                  <c:v>9.3433481708648607</c:v>
                </c:pt>
                <c:pt idx="35">
                  <c:v>9.2930034990888917</c:v>
                </c:pt>
                <c:pt idx="36">
                  <c:v>9.1948260182343731</c:v>
                </c:pt>
                <c:pt idx="37">
                  <c:v>9.4939003560436888</c:v>
                </c:pt>
                <c:pt idx="38">
                  <c:v>9.625304079278953</c:v>
                </c:pt>
              </c:numCache>
            </c:numRef>
          </c:yVal>
        </c:ser>
        <c:axId val="181035392"/>
        <c:axId val="181037312"/>
      </c:scatterChart>
      <c:valAx>
        <c:axId val="1810353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3</a:t>
                </a:r>
              </a:p>
            </c:rich>
          </c:tx>
          <c:layout/>
        </c:title>
        <c:numFmt formatCode="_(#,##0.0%_);_(\(#,##0.0%\)_);_(#,##0.0%_)" sourceLinked="1"/>
        <c:tickLblPos val="nextTo"/>
        <c:crossAx val="181037312"/>
        <c:crosses val="autoZero"/>
        <c:crossBetween val="midCat"/>
      </c:valAx>
      <c:valAx>
        <c:axId val="18103731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</c:title>
        <c:numFmt formatCode="#,##0.0\x" sourceLinked="1"/>
        <c:tickLblPos val="nextTo"/>
        <c:crossAx val="1810353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X Variable 4 Line Fit  Plot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Y</c:v>
          </c:tx>
          <c:spPr>
            <a:ln w="28575">
              <a:noFill/>
            </a:ln>
          </c:spPr>
          <c:xVal>
            <c:numRef>
              <c:f>MRegression!$H$5:$H$43</c:f>
              <c:numCache>
                <c:formatCode>_(#,##0.0%_);_(\(#,##0.0%\)_);_(#,##0.0%_)</c:formatCode>
                <c:ptCount val="39"/>
                <c:pt idx="0">
                  <c:v>50.131</c:v>
                </c:pt>
                <c:pt idx="1">
                  <c:v>43.878</c:v>
                </c:pt>
                <c:pt idx="2">
                  <c:v>47.604999999999997</c:v>
                </c:pt>
                <c:pt idx="3">
                  <c:v>73.75</c:v>
                </c:pt>
                <c:pt idx="4">
                  <c:v>103.486</c:v>
                </c:pt>
                <c:pt idx="5">
                  <c:v>31.420999999999999</c:v>
                </c:pt>
                <c:pt idx="6">
                  <c:v>112.07599999999999</c:v>
                </c:pt>
                <c:pt idx="7">
                  <c:v>82.049000000000007</c:v>
                </c:pt>
                <c:pt idx="8">
                  <c:v>29.521999999999998</c:v>
                </c:pt>
                <c:pt idx="9">
                  <c:v>65.185000000000002</c:v>
                </c:pt>
                <c:pt idx="10">
                  <c:v>26.202999999999999</c:v>
                </c:pt>
                <c:pt idx="11">
                  <c:v>11.54</c:v>
                </c:pt>
                <c:pt idx="12">
                  <c:v>61.848999999999997</c:v>
                </c:pt>
                <c:pt idx="13">
                  <c:v>112</c:v>
                </c:pt>
                <c:pt idx="14">
                  <c:v>19.646000000000001</c:v>
                </c:pt>
                <c:pt idx="15">
                  <c:v>26.344000000000001</c:v>
                </c:pt>
                <c:pt idx="16">
                  <c:v>63.185000000000002</c:v>
                </c:pt>
                <c:pt idx="17">
                  <c:v>67.024000000000001</c:v>
                </c:pt>
                <c:pt idx="18">
                  <c:v>26.568000000000001</c:v>
                </c:pt>
                <c:pt idx="19">
                  <c:v>105.297</c:v>
                </c:pt>
                <c:pt idx="20">
                  <c:v>34.716000000000001</c:v>
                </c:pt>
                <c:pt idx="21">
                  <c:v>24.498999999999999</c:v>
                </c:pt>
                <c:pt idx="22">
                  <c:v>45.140999999999998</c:v>
                </c:pt>
                <c:pt idx="23">
                  <c:v>103.312</c:v>
                </c:pt>
                <c:pt idx="24">
                  <c:v>24.538</c:v>
                </c:pt>
                <c:pt idx="25">
                  <c:v>56.74</c:v>
                </c:pt>
                <c:pt idx="26">
                  <c:v>36.582999999999998</c:v>
                </c:pt>
                <c:pt idx="27">
                  <c:v>103.54900000000001</c:v>
                </c:pt>
                <c:pt idx="28">
                  <c:v>112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MRegression!$D$5:$D$43</c:f>
              <c:numCache>
                <c:formatCode>#,##0.0\x</c:formatCode>
                <c:ptCount val="39"/>
                <c:pt idx="0">
                  <c:v>32.700000000000003</c:v>
                </c:pt>
                <c:pt idx="1">
                  <c:v>18.600000000000001</c:v>
                </c:pt>
                <c:pt idx="2">
                  <c:v>49.1</c:v>
                </c:pt>
                <c:pt idx="3">
                  <c:v>47.6</c:v>
                </c:pt>
                <c:pt idx="4">
                  <c:v>27.4</c:v>
                </c:pt>
                <c:pt idx="5">
                  <c:v>24.3</c:v>
                </c:pt>
                <c:pt idx="6">
                  <c:v>18.100000000000001</c:v>
                </c:pt>
                <c:pt idx="7">
                  <c:v>10.6</c:v>
                </c:pt>
                <c:pt idx="8">
                  <c:v>22.5</c:v>
                </c:pt>
                <c:pt idx="9">
                  <c:v>66.8</c:v>
                </c:pt>
                <c:pt idx="10">
                  <c:v>41.6</c:v>
                </c:pt>
                <c:pt idx="11">
                  <c:v>27.2</c:v>
                </c:pt>
                <c:pt idx="12">
                  <c:v>74</c:v>
                </c:pt>
                <c:pt idx="13">
                  <c:v>4.5999999999999996</c:v>
                </c:pt>
                <c:pt idx="14">
                  <c:v>24.7</c:v>
                </c:pt>
                <c:pt idx="15">
                  <c:v>14.4</c:v>
                </c:pt>
                <c:pt idx="16">
                  <c:v>22.9</c:v>
                </c:pt>
                <c:pt idx="17">
                  <c:v>25.8</c:v>
                </c:pt>
                <c:pt idx="18">
                  <c:v>60.1</c:v>
                </c:pt>
                <c:pt idx="19">
                  <c:v>30.2</c:v>
                </c:pt>
                <c:pt idx="20">
                  <c:v>25.9</c:v>
                </c:pt>
                <c:pt idx="21">
                  <c:v>33.200000000000003</c:v>
                </c:pt>
                <c:pt idx="22">
                  <c:v>25.1</c:v>
                </c:pt>
                <c:pt idx="23">
                  <c:v>15.7</c:v>
                </c:pt>
                <c:pt idx="24">
                  <c:v>38.6</c:v>
                </c:pt>
                <c:pt idx="25">
                  <c:v>28.6</c:v>
                </c:pt>
                <c:pt idx="26">
                  <c:v>33.5</c:v>
                </c:pt>
                <c:pt idx="27">
                  <c:v>33.299999999999997</c:v>
                </c:pt>
                <c:pt idx="28">
                  <c:v>14.3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Y</c:v>
          </c:tx>
          <c:spPr>
            <a:ln w="28575">
              <a:noFill/>
            </a:ln>
          </c:spPr>
          <c:xVal>
            <c:numRef>
              <c:f>MRegression!$H$5:$H$43</c:f>
              <c:numCache>
                <c:formatCode>_(#,##0.0%_);_(\(#,##0.0%\)_);_(#,##0.0%_)</c:formatCode>
                <c:ptCount val="39"/>
                <c:pt idx="0">
                  <c:v>50.131</c:v>
                </c:pt>
                <c:pt idx="1">
                  <c:v>43.878</c:v>
                </c:pt>
                <c:pt idx="2">
                  <c:v>47.604999999999997</c:v>
                </c:pt>
                <c:pt idx="3">
                  <c:v>73.75</c:v>
                </c:pt>
                <c:pt idx="4">
                  <c:v>103.486</c:v>
                </c:pt>
                <c:pt idx="5">
                  <c:v>31.420999999999999</c:v>
                </c:pt>
                <c:pt idx="6">
                  <c:v>112.07599999999999</c:v>
                </c:pt>
                <c:pt idx="7">
                  <c:v>82.049000000000007</c:v>
                </c:pt>
                <c:pt idx="8">
                  <c:v>29.521999999999998</c:v>
                </c:pt>
                <c:pt idx="9">
                  <c:v>65.185000000000002</c:v>
                </c:pt>
                <c:pt idx="10">
                  <c:v>26.202999999999999</c:v>
                </c:pt>
                <c:pt idx="11">
                  <c:v>11.54</c:v>
                </c:pt>
                <c:pt idx="12">
                  <c:v>61.848999999999997</c:v>
                </c:pt>
                <c:pt idx="13">
                  <c:v>112</c:v>
                </c:pt>
                <c:pt idx="14">
                  <c:v>19.646000000000001</c:v>
                </c:pt>
                <c:pt idx="15">
                  <c:v>26.344000000000001</c:v>
                </c:pt>
                <c:pt idx="16">
                  <c:v>63.185000000000002</c:v>
                </c:pt>
                <c:pt idx="17">
                  <c:v>67.024000000000001</c:v>
                </c:pt>
                <c:pt idx="18">
                  <c:v>26.568000000000001</c:v>
                </c:pt>
                <c:pt idx="19">
                  <c:v>105.297</c:v>
                </c:pt>
                <c:pt idx="20">
                  <c:v>34.716000000000001</c:v>
                </c:pt>
                <c:pt idx="21">
                  <c:v>24.498999999999999</c:v>
                </c:pt>
                <c:pt idx="22">
                  <c:v>45.140999999999998</c:v>
                </c:pt>
                <c:pt idx="23">
                  <c:v>103.312</c:v>
                </c:pt>
                <c:pt idx="24">
                  <c:v>24.538</c:v>
                </c:pt>
                <c:pt idx="25">
                  <c:v>56.74</c:v>
                </c:pt>
                <c:pt idx="26">
                  <c:v>36.582999999999998</c:v>
                </c:pt>
                <c:pt idx="27">
                  <c:v>103.54900000000001</c:v>
                </c:pt>
                <c:pt idx="28">
                  <c:v>112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'Test-regression'!$B$29:$B$67</c:f>
              <c:numCache>
                <c:formatCode>General</c:formatCode>
                <c:ptCount val="39"/>
                <c:pt idx="0">
                  <c:v>9.7562372512674553</c:v>
                </c:pt>
                <c:pt idx="1">
                  <c:v>10.124211899325131</c:v>
                </c:pt>
                <c:pt idx="2">
                  <c:v>10.259016018038832</c:v>
                </c:pt>
                <c:pt idx="3">
                  <c:v>10.322100925813443</c:v>
                </c:pt>
                <c:pt idx="4">
                  <c:v>10.297345509802385</c:v>
                </c:pt>
                <c:pt idx="5">
                  <c:v>10.500019131761068</c:v>
                </c:pt>
                <c:pt idx="6">
                  <c:v>10.94256506375145</c:v>
                </c:pt>
                <c:pt idx="7">
                  <c:v>9.9304350718829575</c:v>
                </c:pt>
                <c:pt idx="8">
                  <c:v>10.294286495155839</c:v>
                </c:pt>
                <c:pt idx="9">
                  <c:v>10.139494123466514</c:v>
                </c:pt>
                <c:pt idx="10">
                  <c:v>10.810983584443067</c:v>
                </c:pt>
                <c:pt idx="11">
                  <c:v>9.6085015868280887</c:v>
                </c:pt>
                <c:pt idx="12">
                  <c:v>10.425237882950224</c:v>
                </c:pt>
                <c:pt idx="13">
                  <c:v>10.368756906922526</c:v>
                </c:pt>
                <c:pt idx="14">
                  <c:v>9.2755891177090639</c:v>
                </c:pt>
                <c:pt idx="15">
                  <c:v>9.1434784260623818</c:v>
                </c:pt>
                <c:pt idx="16">
                  <c:v>8.8417904985749995</c:v>
                </c:pt>
                <c:pt idx="17">
                  <c:v>7.9879420362543119</c:v>
                </c:pt>
                <c:pt idx="18">
                  <c:v>8.4810662558531078</c:v>
                </c:pt>
                <c:pt idx="19">
                  <c:v>8.0917975606050785</c:v>
                </c:pt>
                <c:pt idx="20">
                  <c:v>7.1965551877873732</c:v>
                </c:pt>
                <c:pt idx="21">
                  <c:v>7.4778653433434634</c:v>
                </c:pt>
                <c:pt idx="22">
                  <c:v>8.3792084802494458</c:v>
                </c:pt>
                <c:pt idx="23">
                  <c:v>8.7556147354229417</c:v>
                </c:pt>
                <c:pt idx="24">
                  <c:v>9.2651927040897029</c:v>
                </c:pt>
                <c:pt idx="25">
                  <c:v>8.6883713604074249</c:v>
                </c:pt>
                <c:pt idx="26">
                  <c:v>9.5984999486734743</c:v>
                </c:pt>
                <c:pt idx="27">
                  <c:v>9.7868522480465039</c:v>
                </c:pt>
                <c:pt idx="28">
                  <c:v>9.4172063942599351</c:v>
                </c:pt>
                <c:pt idx="29">
                  <c:v>9.5597046250766198</c:v>
                </c:pt>
                <c:pt idx="30">
                  <c:v>9.6849736147082357</c:v>
                </c:pt>
                <c:pt idx="31">
                  <c:v>9.3936107950483034</c:v>
                </c:pt>
                <c:pt idx="32">
                  <c:v>9.4708729822298476</c:v>
                </c:pt>
                <c:pt idx="33">
                  <c:v>9.8017091106781002</c:v>
                </c:pt>
                <c:pt idx="34">
                  <c:v>9.3433481708648607</c:v>
                </c:pt>
                <c:pt idx="35">
                  <c:v>9.2930034990888917</c:v>
                </c:pt>
                <c:pt idx="36">
                  <c:v>9.1948260182343731</c:v>
                </c:pt>
                <c:pt idx="37">
                  <c:v>9.4939003560436888</c:v>
                </c:pt>
                <c:pt idx="38">
                  <c:v>9.625304079278953</c:v>
                </c:pt>
              </c:numCache>
            </c:numRef>
          </c:yVal>
        </c:ser>
        <c:axId val="205863936"/>
        <c:axId val="205870208"/>
      </c:scatterChart>
      <c:valAx>
        <c:axId val="2058639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4</a:t>
                </a:r>
              </a:p>
            </c:rich>
          </c:tx>
          <c:layout/>
        </c:title>
        <c:numFmt formatCode="_(#,##0.0%_);_(\(#,##0.0%\)_);_(#,##0.0%_)" sourceLinked="1"/>
        <c:tickLblPos val="nextTo"/>
        <c:crossAx val="205870208"/>
        <c:crosses val="autoZero"/>
        <c:crossBetween val="midCat"/>
      </c:valAx>
      <c:valAx>
        <c:axId val="20587020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</c:title>
        <c:numFmt formatCode="#,##0.0\x" sourceLinked="1"/>
        <c:tickLblPos val="nextTo"/>
        <c:crossAx val="2058639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X Variable 5 Line Fit  Plot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Y</c:v>
          </c:tx>
          <c:spPr>
            <a:ln w="28575">
              <a:noFill/>
            </a:ln>
          </c:spPr>
          <c:xVal>
            <c:numRef>
              <c:f>MRegression!$I$5:$I$43</c:f>
              <c:numCache>
                <c:formatCode>_(#,##0.0%_);_(\(#,##0.0%\)_);_(#,##0.0%_)</c:formatCode>
                <c:ptCount val="39"/>
                <c:pt idx="0">
                  <c:v>32.96</c:v>
                </c:pt>
                <c:pt idx="1">
                  <c:v>7.35</c:v>
                </c:pt>
                <c:pt idx="2">
                  <c:v>5.49</c:v>
                </c:pt>
                <c:pt idx="3">
                  <c:v>4.2</c:v>
                </c:pt>
                <c:pt idx="4">
                  <c:v>-4.76</c:v>
                </c:pt>
                <c:pt idx="5">
                  <c:v>5.28</c:v>
                </c:pt>
                <c:pt idx="6">
                  <c:v>12.25</c:v>
                </c:pt>
                <c:pt idx="7">
                  <c:v>-8.35</c:v>
                </c:pt>
                <c:pt idx="8">
                  <c:v>2.02</c:v>
                </c:pt>
                <c:pt idx="9">
                  <c:v>22.97</c:v>
                </c:pt>
                <c:pt idx="10">
                  <c:v>8.98</c:v>
                </c:pt>
                <c:pt idx="11">
                  <c:v>5.2</c:v>
                </c:pt>
                <c:pt idx="12">
                  <c:v>18.489999999999998</c:v>
                </c:pt>
                <c:pt idx="13">
                  <c:v>1.26</c:v>
                </c:pt>
                <c:pt idx="14">
                  <c:v>5.04</c:v>
                </c:pt>
                <c:pt idx="15">
                  <c:v>3.68</c:v>
                </c:pt>
                <c:pt idx="16">
                  <c:v>-16.57</c:v>
                </c:pt>
                <c:pt idx="17">
                  <c:v>1.92</c:v>
                </c:pt>
                <c:pt idx="18">
                  <c:v>3.13</c:v>
                </c:pt>
                <c:pt idx="19">
                  <c:v>6.74</c:v>
                </c:pt>
                <c:pt idx="20">
                  <c:v>13.96</c:v>
                </c:pt>
                <c:pt idx="21">
                  <c:v>4.76</c:v>
                </c:pt>
                <c:pt idx="22">
                  <c:v>3.6</c:v>
                </c:pt>
                <c:pt idx="23">
                  <c:v>-33.89</c:v>
                </c:pt>
                <c:pt idx="24">
                  <c:v>3.54</c:v>
                </c:pt>
                <c:pt idx="25">
                  <c:v>2.86</c:v>
                </c:pt>
                <c:pt idx="26">
                  <c:v>8.7200000000000006</c:v>
                </c:pt>
                <c:pt idx="27">
                  <c:v>-9.15</c:v>
                </c:pt>
                <c:pt idx="28">
                  <c:v>4.4400000000000004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MRegression!$D$5:$D$43</c:f>
              <c:numCache>
                <c:formatCode>#,##0.0\x</c:formatCode>
                <c:ptCount val="39"/>
                <c:pt idx="0">
                  <c:v>32.700000000000003</c:v>
                </c:pt>
                <c:pt idx="1">
                  <c:v>18.600000000000001</c:v>
                </c:pt>
                <c:pt idx="2">
                  <c:v>49.1</c:v>
                </c:pt>
                <c:pt idx="3">
                  <c:v>47.6</c:v>
                </c:pt>
                <c:pt idx="4">
                  <c:v>27.4</c:v>
                </c:pt>
                <c:pt idx="5">
                  <c:v>24.3</c:v>
                </c:pt>
                <c:pt idx="6">
                  <c:v>18.100000000000001</c:v>
                </c:pt>
                <c:pt idx="7">
                  <c:v>10.6</c:v>
                </c:pt>
                <c:pt idx="8">
                  <c:v>22.5</c:v>
                </c:pt>
                <c:pt idx="9">
                  <c:v>66.8</c:v>
                </c:pt>
                <c:pt idx="10">
                  <c:v>41.6</c:v>
                </c:pt>
                <c:pt idx="11">
                  <c:v>27.2</c:v>
                </c:pt>
                <c:pt idx="12">
                  <c:v>74</c:v>
                </c:pt>
                <c:pt idx="13">
                  <c:v>4.5999999999999996</c:v>
                </c:pt>
                <c:pt idx="14">
                  <c:v>24.7</c:v>
                </c:pt>
                <c:pt idx="15">
                  <c:v>14.4</c:v>
                </c:pt>
                <c:pt idx="16">
                  <c:v>22.9</c:v>
                </c:pt>
                <c:pt idx="17">
                  <c:v>25.8</c:v>
                </c:pt>
                <c:pt idx="18">
                  <c:v>60.1</c:v>
                </c:pt>
                <c:pt idx="19">
                  <c:v>30.2</c:v>
                </c:pt>
                <c:pt idx="20">
                  <c:v>25.9</c:v>
                </c:pt>
                <c:pt idx="21">
                  <c:v>33.200000000000003</c:v>
                </c:pt>
                <c:pt idx="22">
                  <c:v>25.1</c:v>
                </c:pt>
                <c:pt idx="23">
                  <c:v>15.7</c:v>
                </c:pt>
                <c:pt idx="24">
                  <c:v>38.6</c:v>
                </c:pt>
                <c:pt idx="25">
                  <c:v>28.6</c:v>
                </c:pt>
                <c:pt idx="26">
                  <c:v>33.5</c:v>
                </c:pt>
                <c:pt idx="27">
                  <c:v>33.299999999999997</c:v>
                </c:pt>
                <c:pt idx="28">
                  <c:v>14.3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Y</c:v>
          </c:tx>
          <c:spPr>
            <a:ln w="28575">
              <a:noFill/>
            </a:ln>
          </c:spPr>
          <c:xVal>
            <c:numRef>
              <c:f>MRegression!$I$5:$I$43</c:f>
              <c:numCache>
                <c:formatCode>_(#,##0.0%_);_(\(#,##0.0%\)_);_(#,##0.0%_)</c:formatCode>
                <c:ptCount val="39"/>
                <c:pt idx="0">
                  <c:v>32.96</c:v>
                </c:pt>
                <c:pt idx="1">
                  <c:v>7.35</c:v>
                </c:pt>
                <c:pt idx="2">
                  <c:v>5.49</c:v>
                </c:pt>
                <c:pt idx="3">
                  <c:v>4.2</c:v>
                </c:pt>
                <c:pt idx="4">
                  <c:v>-4.76</c:v>
                </c:pt>
                <c:pt idx="5">
                  <c:v>5.28</c:v>
                </c:pt>
                <c:pt idx="6">
                  <c:v>12.25</c:v>
                </c:pt>
                <c:pt idx="7">
                  <c:v>-8.35</c:v>
                </c:pt>
                <c:pt idx="8">
                  <c:v>2.02</c:v>
                </c:pt>
                <c:pt idx="9">
                  <c:v>22.97</c:v>
                </c:pt>
                <c:pt idx="10">
                  <c:v>8.98</c:v>
                </c:pt>
                <c:pt idx="11">
                  <c:v>5.2</c:v>
                </c:pt>
                <c:pt idx="12">
                  <c:v>18.489999999999998</c:v>
                </c:pt>
                <c:pt idx="13">
                  <c:v>1.26</c:v>
                </c:pt>
                <c:pt idx="14">
                  <c:v>5.04</c:v>
                </c:pt>
                <c:pt idx="15">
                  <c:v>3.68</c:v>
                </c:pt>
                <c:pt idx="16">
                  <c:v>-16.57</c:v>
                </c:pt>
                <c:pt idx="17">
                  <c:v>1.92</c:v>
                </c:pt>
                <c:pt idx="18">
                  <c:v>3.13</c:v>
                </c:pt>
                <c:pt idx="19">
                  <c:v>6.74</c:v>
                </c:pt>
                <c:pt idx="20">
                  <c:v>13.96</c:v>
                </c:pt>
                <c:pt idx="21">
                  <c:v>4.76</c:v>
                </c:pt>
                <c:pt idx="22">
                  <c:v>3.6</c:v>
                </c:pt>
                <c:pt idx="23">
                  <c:v>-33.89</c:v>
                </c:pt>
                <c:pt idx="24">
                  <c:v>3.54</c:v>
                </c:pt>
                <c:pt idx="25">
                  <c:v>2.86</c:v>
                </c:pt>
                <c:pt idx="26">
                  <c:v>8.7200000000000006</c:v>
                </c:pt>
                <c:pt idx="27">
                  <c:v>-9.15</c:v>
                </c:pt>
                <c:pt idx="28">
                  <c:v>4.4400000000000004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'Test-regression'!$B$29:$B$67</c:f>
              <c:numCache>
                <c:formatCode>General</c:formatCode>
                <c:ptCount val="39"/>
                <c:pt idx="0">
                  <c:v>9.7562372512674553</c:v>
                </c:pt>
                <c:pt idx="1">
                  <c:v>10.124211899325131</c:v>
                </c:pt>
                <c:pt idx="2">
                  <c:v>10.259016018038832</c:v>
                </c:pt>
                <c:pt idx="3">
                  <c:v>10.322100925813443</c:v>
                </c:pt>
                <c:pt idx="4">
                  <c:v>10.297345509802385</c:v>
                </c:pt>
                <c:pt idx="5">
                  <c:v>10.500019131761068</c:v>
                </c:pt>
                <c:pt idx="6">
                  <c:v>10.94256506375145</c:v>
                </c:pt>
                <c:pt idx="7">
                  <c:v>9.9304350718829575</c:v>
                </c:pt>
                <c:pt idx="8">
                  <c:v>10.294286495155839</c:v>
                </c:pt>
                <c:pt idx="9">
                  <c:v>10.139494123466514</c:v>
                </c:pt>
                <c:pt idx="10">
                  <c:v>10.810983584443067</c:v>
                </c:pt>
                <c:pt idx="11">
                  <c:v>9.6085015868280887</c:v>
                </c:pt>
                <c:pt idx="12">
                  <c:v>10.425237882950224</c:v>
                </c:pt>
                <c:pt idx="13">
                  <c:v>10.368756906922526</c:v>
                </c:pt>
                <c:pt idx="14">
                  <c:v>9.2755891177090639</c:v>
                </c:pt>
                <c:pt idx="15">
                  <c:v>9.1434784260623818</c:v>
                </c:pt>
                <c:pt idx="16">
                  <c:v>8.8417904985749995</c:v>
                </c:pt>
                <c:pt idx="17">
                  <c:v>7.9879420362543119</c:v>
                </c:pt>
                <c:pt idx="18">
                  <c:v>8.4810662558531078</c:v>
                </c:pt>
                <c:pt idx="19">
                  <c:v>8.0917975606050785</c:v>
                </c:pt>
                <c:pt idx="20">
                  <c:v>7.1965551877873732</c:v>
                </c:pt>
                <c:pt idx="21">
                  <c:v>7.4778653433434634</c:v>
                </c:pt>
                <c:pt idx="22">
                  <c:v>8.3792084802494458</c:v>
                </c:pt>
                <c:pt idx="23">
                  <c:v>8.7556147354229417</c:v>
                </c:pt>
                <c:pt idx="24">
                  <c:v>9.2651927040897029</c:v>
                </c:pt>
                <c:pt idx="25">
                  <c:v>8.6883713604074249</c:v>
                </c:pt>
                <c:pt idx="26">
                  <c:v>9.5984999486734743</c:v>
                </c:pt>
                <c:pt idx="27">
                  <c:v>9.7868522480465039</c:v>
                </c:pt>
                <c:pt idx="28">
                  <c:v>9.4172063942599351</c:v>
                </c:pt>
                <c:pt idx="29">
                  <c:v>9.5597046250766198</c:v>
                </c:pt>
                <c:pt idx="30">
                  <c:v>9.6849736147082357</c:v>
                </c:pt>
                <c:pt idx="31">
                  <c:v>9.3936107950483034</c:v>
                </c:pt>
                <c:pt idx="32">
                  <c:v>9.4708729822298476</c:v>
                </c:pt>
                <c:pt idx="33">
                  <c:v>9.8017091106781002</c:v>
                </c:pt>
                <c:pt idx="34">
                  <c:v>9.3433481708648607</c:v>
                </c:pt>
                <c:pt idx="35">
                  <c:v>9.2930034990888917</c:v>
                </c:pt>
                <c:pt idx="36">
                  <c:v>9.1948260182343731</c:v>
                </c:pt>
                <c:pt idx="37">
                  <c:v>9.4939003560436888</c:v>
                </c:pt>
                <c:pt idx="38">
                  <c:v>9.625304079278953</c:v>
                </c:pt>
              </c:numCache>
            </c:numRef>
          </c:yVal>
        </c:ser>
        <c:axId val="205883264"/>
        <c:axId val="198443008"/>
      </c:scatterChart>
      <c:valAx>
        <c:axId val="2058832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5</a:t>
                </a:r>
              </a:p>
            </c:rich>
          </c:tx>
          <c:layout/>
        </c:title>
        <c:numFmt formatCode="_(#,##0.0%_);_(\(#,##0.0%\)_);_(#,##0.0%_)" sourceLinked="1"/>
        <c:tickLblPos val="nextTo"/>
        <c:crossAx val="198443008"/>
        <c:crosses val="autoZero"/>
        <c:crossBetween val="midCat"/>
      </c:valAx>
      <c:valAx>
        <c:axId val="19844300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</c:title>
        <c:numFmt formatCode="#,##0.0\x" sourceLinked="1"/>
        <c:tickLblPos val="nextTo"/>
        <c:crossAx val="2058832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'Test-regression'!$E$29:$E$67</c:f>
              <c:numCache>
                <c:formatCode>General</c:formatCode>
                <c:ptCount val="39"/>
                <c:pt idx="0">
                  <c:v>1.2820512820512822</c:v>
                </c:pt>
                <c:pt idx="1">
                  <c:v>3.8461538461538467</c:v>
                </c:pt>
                <c:pt idx="2">
                  <c:v>6.4102564102564106</c:v>
                </c:pt>
                <c:pt idx="3">
                  <c:v>8.9743589743589762</c:v>
                </c:pt>
                <c:pt idx="4">
                  <c:v>11.53846153846154</c:v>
                </c:pt>
                <c:pt idx="5">
                  <c:v>14.102564102564104</c:v>
                </c:pt>
                <c:pt idx="6">
                  <c:v>16.666666666666668</c:v>
                </c:pt>
                <c:pt idx="7">
                  <c:v>19.23076923076923</c:v>
                </c:pt>
                <c:pt idx="8">
                  <c:v>21.794871794871796</c:v>
                </c:pt>
                <c:pt idx="9">
                  <c:v>24.358974358974361</c:v>
                </c:pt>
                <c:pt idx="10">
                  <c:v>26.923076923076923</c:v>
                </c:pt>
                <c:pt idx="11">
                  <c:v>29.487179487179489</c:v>
                </c:pt>
                <c:pt idx="12">
                  <c:v>32.051282051282058</c:v>
                </c:pt>
                <c:pt idx="13">
                  <c:v>34.61538461538462</c:v>
                </c:pt>
                <c:pt idx="14">
                  <c:v>37.179487179487182</c:v>
                </c:pt>
                <c:pt idx="15">
                  <c:v>39.743589743589752</c:v>
                </c:pt>
                <c:pt idx="16">
                  <c:v>42.307692307692314</c:v>
                </c:pt>
                <c:pt idx="17">
                  <c:v>44.871794871794876</c:v>
                </c:pt>
                <c:pt idx="18">
                  <c:v>47.435897435897445</c:v>
                </c:pt>
                <c:pt idx="19">
                  <c:v>50.000000000000007</c:v>
                </c:pt>
                <c:pt idx="20">
                  <c:v>52.564102564102569</c:v>
                </c:pt>
                <c:pt idx="21">
                  <c:v>55.128205128205138</c:v>
                </c:pt>
                <c:pt idx="22">
                  <c:v>57.692307692307701</c:v>
                </c:pt>
                <c:pt idx="23">
                  <c:v>60.256410256410263</c:v>
                </c:pt>
                <c:pt idx="24">
                  <c:v>62.820512820512832</c:v>
                </c:pt>
                <c:pt idx="25">
                  <c:v>65.384615384615387</c:v>
                </c:pt>
                <c:pt idx="26">
                  <c:v>67.948717948717956</c:v>
                </c:pt>
                <c:pt idx="27">
                  <c:v>70.512820512820525</c:v>
                </c:pt>
                <c:pt idx="28">
                  <c:v>73.07692307692308</c:v>
                </c:pt>
                <c:pt idx="29">
                  <c:v>75.641025641025649</c:v>
                </c:pt>
                <c:pt idx="30">
                  <c:v>78.205128205128219</c:v>
                </c:pt>
                <c:pt idx="31">
                  <c:v>80.769230769230774</c:v>
                </c:pt>
                <c:pt idx="32">
                  <c:v>83.333333333333343</c:v>
                </c:pt>
                <c:pt idx="33">
                  <c:v>85.897435897435912</c:v>
                </c:pt>
                <c:pt idx="34">
                  <c:v>88.461538461538467</c:v>
                </c:pt>
                <c:pt idx="35">
                  <c:v>91.025641025641036</c:v>
                </c:pt>
                <c:pt idx="36">
                  <c:v>93.589743589743605</c:v>
                </c:pt>
                <c:pt idx="37">
                  <c:v>96.15384615384616</c:v>
                </c:pt>
                <c:pt idx="38">
                  <c:v>98.71794871794873</c:v>
                </c:pt>
              </c:numCache>
            </c:numRef>
          </c:xVal>
          <c:yVal>
            <c:numRef>
              <c:f>'Test-regression'!$F$29:$F$67</c:f>
              <c:numCache>
                <c:formatCode>General</c:formatCode>
                <c:ptCount val="39"/>
                <c:pt idx="0">
                  <c:v>5.917675</c:v>
                </c:pt>
                <c:pt idx="1">
                  <c:v>6.5936469999999998</c:v>
                </c:pt>
                <c:pt idx="2">
                  <c:v>7.153346</c:v>
                </c:pt>
                <c:pt idx="3">
                  <c:v>7.791849</c:v>
                </c:pt>
                <c:pt idx="4">
                  <c:v>7.8256189999999997</c:v>
                </c:pt>
                <c:pt idx="5">
                  <c:v>8.2896099999999997</c:v>
                </c:pt>
                <c:pt idx="6">
                  <c:v>8.45167</c:v>
                </c:pt>
                <c:pt idx="7">
                  <c:v>8.4546119999999991</c:v>
                </c:pt>
                <c:pt idx="8">
                  <c:v>8.5024300000000004</c:v>
                </c:pt>
                <c:pt idx="9">
                  <c:v>8.6213309999999996</c:v>
                </c:pt>
                <c:pt idx="10">
                  <c:v>8.6250739999999997</c:v>
                </c:pt>
                <c:pt idx="11">
                  <c:v>8.7202459999999995</c:v>
                </c:pt>
                <c:pt idx="12">
                  <c:v>8.8157449999999997</c:v>
                </c:pt>
                <c:pt idx="13">
                  <c:v>8.8258700000000001</c:v>
                </c:pt>
                <c:pt idx="14">
                  <c:v>8.9710640000000001</c:v>
                </c:pt>
                <c:pt idx="15">
                  <c:v>9.0340790000000002</c:v>
                </c:pt>
                <c:pt idx="16">
                  <c:v>9.1645459999999996</c:v>
                </c:pt>
                <c:pt idx="17">
                  <c:v>9.2448490000000003</c:v>
                </c:pt>
                <c:pt idx="18">
                  <c:v>9.3119630000000004</c:v>
                </c:pt>
                <c:pt idx="19">
                  <c:v>9.5623640000000005</c:v>
                </c:pt>
                <c:pt idx="20">
                  <c:v>9.5776649999999997</c:v>
                </c:pt>
                <c:pt idx="21">
                  <c:v>9.6794750000000001</c:v>
                </c:pt>
                <c:pt idx="22">
                  <c:v>9.710934</c:v>
                </c:pt>
                <c:pt idx="23">
                  <c:v>9.7579910000000005</c:v>
                </c:pt>
                <c:pt idx="24">
                  <c:v>9.7849950000000003</c:v>
                </c:pt>
                <c:pt idx="25">
                  <c:v>9.8697660000000003</c:v>
                </c:pt>
                <c:pt idx="26">
                  <c:v>9.9233410000000006</c:v>
                </c:pt>
                <c:pt idx="27">
                  <c:v>9.9726769999999991</c:v>
                </c:pt>
                <c:pt idx="28">
                  <c:v>10.077302</c:v>
                </c:pt>
                <c:pt idx="29">
                  <c:v>10.14432</c:v>
                </c:pt>
                <c:pt idx="30">
                  <c:v>10.287356000000001</c:v>
                </c:pt>
                <c:pt idx="31">
                  <c:v>10.486255999999999</c:v>
                </c:pt>
                <c:pt idx="32">
                  <c:v>10.545567999999999</c:v>
                </c:pt>
                <c:pt idx="33">
                  <c:v>10.657961999999999</c:v>
                </c:pt>
                <c:pt idx="34">
                  <c:v>11.285722</c:v>
                </c:pt>
                <c:pt idx="35">
                  <c:v>11.565756</c:v>
                </c:pt>
                <c:pt idx="36">
                  <c:v>11.851706999999999</c:v>
                </c:pt>
                <c:pt idx="37">
                  <c:v>12.429964</c:v>
                </c:pt>
                <c:pt idx="38">
                  <c:v>13.541129</c:v>
                </c:pt>
              </c:numCache>
            </c:numRef>
          </c:yVal>
        </c:ser>
        <c:axId val="198471680"/>
        <c:axId val="198473600"/>
      </c:scatterChart>
      <c:valAx>
        <c:axId val="1984716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layout/>
        </c:title>
        <c:numFmt formatCode="General" sourceLinked="1"/>
        <c:tickLblPos val="nextTo"/>
        <c:crossAx val="198473600"/>
        <c:crosses val="autoZero"/>
        <c:crossBetween val="midCat"/>
      </c:valAx>
      <c:valAx>
        <c:axId val="19847360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</c:title>
        <c:numFmt formatCode="General" sourceLinked="1"/>
        <c:tickLblPos val="nextTo"/>
        <c:crossAx val="198471680"/>
        <c:crosses val="autoZero"/>
        <c:crossBetween val="midCat"/>
      </c:valAx>
    </c:plotArea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0.632254 Line Fit  Plot</a:t>
            </a:r>
          </a:p>
        </c:rich>
      </c:tx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MRegression!$E$6:$E$44</c:f>
              <c:numCache>
                <c:formatCode>_(#,##0.0%_);_(\(#,##0.0%\)_);_(#,##0.0%_)</c:formatCode>
                <c:ptCount val="39"/>
                <c:pt idx="0">
                  <c:v>3.7769611018878386</c:v>
                </c:pt>
                <c:pt idx="1">
                  <c:v>3.7939027839895854</c:v>
                </c:pt>
                <c:pt idx="2">
                  <c:v>3.0393189209114189</c:v>
                </c:pt>
                <c:pt idx="3">
                  <c:v>1.6694098672877826</c:v>
                </c:pt>
                <c:pt idx="4">
                  <c:v>3.0026799967838054</c:v>
                </c:pt>
                <c:pt idx="5">
                  <c:v>2.3732615061616817</c:v>
                </c:pt>
                <c:pt idx="6">
                  <c:v>1.7682680164515479</c:v>
                </c:pt>
                <c:pt idx="7">
                  <c:v>4.5</c:v>
                </c:pt>
                <c:pt idx="8">
                  <c:v>1.6474807731736756</c:v>
                </c:pt>
                <c:pt idx="9">
                  <c:v>3.5408310642373224</c:v>
                </c:pt>
                <c:pt idx="10">
                  <c:v>4.5</c:v>
                </c:pt>
                <c:pt idx="11">
                  <c:v>1.7531999141994159</c:v>
                </c:pt>
                <c:pt idx="12">
                  <c:v>1.2005769267548481</c:v>
                </c:pt>
                <c:pt idx="13">
                  <c:v>4.5216577487453833</c:v>
                </c:pt>
                <c:pt idx="14">
                  <c:v>2.1608585306799912</c:v>
                </c:pt>
                <c:pt idx="15">
                  <c:v>1.3868555291847242</c:v>
                </c:pt>
                <c:pt idx="16">
                  <c:v>1.2938043599193367</c:v>
                </c:pt>
                <c:pt idx="17">
                  <c:v>0.66838591669000014</c:v>
                </c:pt>
                <c:pt idx="18">
                  <c:v>2.0473138158153881</c:v>
                </c:pt>
                <c:pt idx="19">
                  <c:v>1.63978521298682</c:v>
                </c:pt>
                <c:pt idx="20">
                  <c:v>3.7980502275653722</c:v>
                </c:pt>
                <c:pt idx="21">
                  <c:v>2.2785935682411336</c:v>
                </c:pt>
                <c:pt idx="22">
                  <c:v>4.5</c:v>
                </c:pt>
                <c:pt idx="23">
                  <c:v>2.6770043618401727</c:v>
                </c:pt>
                <c:pt idx="24">
                  <c:v>2.5775147777733647</c:v>
                </c:pt>
                <c:pt idx="25">
                  <c:v>3.5383789110505259</c:v>
                </c:pt>
                <c:pt idx="26">
                  <c:v>2.6051110251239025</c:v>
                </c:pt>
                <c:pt idx="27">
                  <c:v>2.4383841070347136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MRegression!$E$6:$E$44</c:f>
              <c:numCache>
                <c:formatCode>_(#,##0.0%_);_(\(#,##0.0%\)_);_(#,##0.0%_)</c:formatCode>
                <c:ptCount val="39"/>
                <c:pt idx="0">
                  <c:v>3.7769611018878386</c:v>
                </c:pt>
                <c:pt idx="1">
                  <c:v>3.7939027839895854</c:v>
                </c:pt>
                <c:pt idx="2">
                  <c:v>3.0393189209114189</c:v>
                </c:pt>
                <c:pt idx="3">
                  <c:v>1.6694098672877826</c:v>
                </c:pt>
                <c:pt idx="4">
                  <c:v>3.0026799967838054</c:v>
                </c:pt>
                <c:pt idx="5">
                  <c:v>2.3732615061616817</c:v>
                </c:pt>
                <c:pt idx="6">
                  <c:v>1.7682680164515479</c:v>
                </c:pt>
                <c:pt idx="7">
                  <c:v>4.5</c:v>
                </c:pt>
                <c:pt idx="8">
                  <c:v>1.6474807731736756</c:v>
                </c:pt>
                <c:pt idx="9">
                  <c:v>3.5408310642373224</c:v>
                </c:pt>
                <c:pt idx="10">
                  <c:v>4.5</c:v>
                </c:pt>
                <c:pt idx="11">
                  <c:v>1.7531999141994159</c:v>
                </c:pt>
                <c:pt idx="12">
                  <c:v>1.2005769267548481</c:v>
                </c:pt>
                <c:pt idx="13">
                  <c:v>4.5216577487453833</c:v>
                </c:pt>
                <c:pt idx="14">
                  <c:v>2.1608585306799912</c:v>
                </c:pt>
                <c:pt idx="15">
                  <c:v>1.3868555291847242</c:v>
                </c:pt>
                <c:pt idx="16">
                  <c:v>1.2938043599193367</c:v>
                </c:pt>
                <c:pt idx="17">
                  <c:v>0.66838591669000014</c:v>
                </c:pt>
                <c:pt idx="18">
                  <c:v>2.0473138158153881</c:v>
                </c:pt>
                <c:pt idx="19">
                  <c:v>1.63978521298682</c:v>
                </c:pt>
                <c:pt idx="20">
                  <c:v>3.7980502275653722</c:v>
                </c:pt>
                <c:pt idx="21">
                  <c:v>2.2785935682411336</c:v>
                </c:pt>
                <c:pt idx="22">
                  <c:v>4.5</c:v>
                </c:pt>
                <c:pt idx="23">
                  <c:v>2.6770043618401727</c:v>
                </c:pt>
                <c:pt idx="24">
                  <c:v>2.5775147777733647</c:v>
                </c:pt>
                <c:pt idx="25">
                  <c:v>3.5383789110505259</c:v>
                </c:pt>
                <c:pt idx="26">
                  <c:v>2.6051110251239025</c:v>
                </c:pt>
                <c:pt idx="27">
                  <c:v>2.4383841070347136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</c:ser>
        <c:axId val="198498560"/>
        <c:axId val="205783424"/>
      </c:scatterChart>
      <c:valAx>
        <c:axId val="1984985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0.632254</a:t>
                </a:r>
              </a:p>
            </c:rich>
          </c:tx>
        </c:title>
        <c:numFmt formatCode="_(#,##0.0%_);_(\(#,##0.0%\)_);_(#,##0.0%_)" sourceLinked="1"/>
        <c:tickLblPos val="nextTo"/>
        <c:crossAx val="205783424"/>
        <c:crosses val="autoZero"/>
        <c:crossBetween val="midCat"/>
      </c:valAx>
      <c:valAx>
        <c:axId val="20578342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</c:title>
        <c:numFmt formatCode="#,##0.0\x" sourceLinked="1"/>
        <c:tickLblPos val="nextTo"/>
        <c:crossAx val="19849856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0.163405 Line Fit  Plot</a:t>
            </a:r>
          </a:p>
        </c:rich>
      </c:tx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MRegression!$F$6:$F$44</c:f>
              <c:numCache>
                <c:formatCode>#,##0.0\x</c:formatCode>
                <c:ptCount val="39"/>
                <c:pt idx="0">
                  <c:v>23.3</c:v>
                </c:pt>
                <c:pt idx="1">
                  <c:v>6.7</c:v>
                </c:pt>
                <c:pt idx="2">
                  <c:v>6</c:v>
                </c:pt>
                <c:pt idx="3">
                  <c:v>16.3</c:v>
                </c:pt>
                <c:pt idx="4">
                  <c:v>12.3</c:v>
                </c:pt>
                <c:pt idx="5">
                  <c:v>8.4</c:v>
                </c:pt>
                <c:pt idx="6">
                  <c:v>19</c:v>
                </c:pt>
                <c:pt idx="7">
                  <c:v>7.4</c:v>
                </c:pt>
                <c:pt idx="8">
                  <c:v>16.8</c:v>
                </c:pt>
                <c:pt idx="9">
                  <c:v>15.7</c:v>
                </c:pt>
                <c:pt idx="10">
                  <c:v>7.9</c:v>
                </c:pt>
                <c:pt idx="11">
                  <c:v>6.9</c:v>
                </c:pt>
                <c:pt idx="12">
                  <c:v>23.3</c:v>
                </c:pt>
                <c:pt idx="13">
                  <c:v>7.9</c:v>
                </c:pt>
                <c:pt idx="14">
                  <c:v>14.5</c:v>
                </c:pt>
                <c:pt idx="15">
                  <c:v>9.9</c:v>
                </c:pt>
                <c:pt idx="16">
                  <c:v>6.6</c:v>
                </c:pt>
                <c:pt idx="17">
                  <c:v>3.2</c:v>
                </c:pt>
                <c:pt idx="18">
                  <c:v>11.1</c:v>
                </c:pt>
                <c:pt idx="19">
                  <c:v>10.9</c:v>
                </c:pt>
                <c:pt idx="20">
                  <c:v>8.6</c:v>
                </c:pt>
                <c:pt idx="21">
                  <c:v>11.4</c:v>
                </c:pt>
                <c:pt idx="22">
                  <c:v>23</c:v>
                </c:pt>
                <c:pt idx="23">
                  <c:v>7.1</c:v>
                </c:pt>
                <c:pt idx="24">
                  <c:v>8.9</c:v>
                </c:pt>
                <c:pt idx="25">
                  <c:v>15</c:v>
                </c:pt>
                <c:pt idx="26">
                  <c:v>13.6</c:v>
                </c:pt>
                <c:pt idx="27">
                  <c:v>9.5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MRegression!$F$6:$F$44</c:f>
              <c:numCache>
                <c:formatCode>#,##0.0\x</c:formatCode>
                <c:ptCount val="39"/>
                <c:pt idx="0">
                  <c:v>23.3</c:v>
                </c:pt>
                <c:pt idx="1">
                  <c:v>6.7</c:v>
                </c:pt>
                <c:pt idx="2">
                  <c:v>6</c:v>
                </c:pt>
                <c:pt idx="3">
                  <c:v>16.3</c:v>
                </c:pt>
                <c:pt idx="4">
                  <c:v>12.3</c:v>
                </c:pt>
                <c:pt idx="5">
                  <c:v>8.4</c:v>
                </c:pt>
                <c:pt idx="6">
                  <c:v>19</c:v>
                </c:pt>
                <c:pt idx="7">
                  <c:v>7.4</c:v>
                </c:pt>
                <c:pt idx="8">
                  <c:v>16.8</c:v>
                </c:pt>
                <c:pt idx="9">
                  <c:v>15.7</c:v>
                </c:pt>
                <c:pt idx="10">
                  <c:v>7.9</c:v>
                </c:pt>
                <c:pt idx="11">
                  <c:v>6.9</c:v>
                </c:pt>
                <c:pt idx="12">
                  <c:v>23.3</c:v>
                </c:pt>
                <c:pt idx="13">
                  <c:v>7.9</c:v>
                </c:pt>
                <c:pt idx="14">
                  <c:v>14.5</c:v>
                </c:pt>
                <c:pt idx="15">
                  <c:v>9.9</c:v>
                </c:pt>
                <c:pt idx="16">
                  <c:v>6.6</c:v>
                </c:pt>
                <c:pt idx="17">
                  <c:v>3.2</c:v>
                </c:pt>
                <c:pt idx="18">
                  <c:v>11.1</c:v>
                </c:pt>
                <c:pt idx="19">
                  <c:v>10.9</c:v>
                </c:pt>
                <c:pt idx="20">
                  <c:v>8.6</c:v>
                </c:pt>
                <c:pt idx="21">
                  <c:v>11.4</c:v>
                </c:pt>
                <c:pt idx="22">
                  <c:v>23</c:v>
                </c:pt>
                <c:pt idx="23">
                  <c:v>7.1</c:v>
                </c:pt>
                <c:pt idx="24">
                  <c:v>8.9</c:v>
                </c:pt>
                <c:pt idx="25">
                  <c:v>15</c:v>
                </c:pt>
                <c:pt idx="26">
                  <c:v>13.6</c:v>
                </c:pt>
                <c:pt idx="27">
                  <c:v>9.5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</c:ser>
        <c:axId val="205808768"/>
        <c:axId val="205810688"/>
      </c:scatterChart>
      <c:valAx>
        <c:axId val="2058087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0.163405</a:t>
                </a:r>
              </a:p>
            </c:rich>
          </c:tx>
        </c:title>
        <c:numFmt formatCode="#,##0.0\x" sourceLinked="1"/>
        <c:tickLblPos val="nextTo"/>
        <c:crossAx val="205810688"/>
        <c:crosses val="autoZero"/>
        <c:crossBetween val="midCat"/>
      </c:valAx>
      <c:valAx>
        <c:axId val="2058106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</c:title>
        <c:numFmt formatCode="#,##0.0\x" sourceLinked="1"/>
        <c:tickLblPos val="nextTo"/>
        <c:crossAx val="20580876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0.184417 Line Fit  Plot</a:t>
            </a:r>
          </a:p>
        </c:rich>
      </c:tx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MRegression!$G$6:$G$44</c:f>
              <c:numCache>
                <c:formatCode>_(#,##0.0%_);_(\(#,##0.0%\)_);_(#,##0.0%_)</c:formatCode>
                <c:ptCount val="39"/>
                <c:pt idx="0">
                  <c:v>2.8220000000000001</c:v>
                </c:pt>
                <c:pt idx="1">
                  <c:v>1.383</c:v>
                </c:pt>
                <c:pt idx="2">
                  <c:v>3.1779999999999999</c:v>
                </c:pt>
                <c:pt idx="3">
                  <c:v>1.8680000000000001</c:v>
                </c:pt>
                <c:pt idx="4">
                  <c:v>1.794</c:v>
                </c:pt>
                <c:pt idx="5">
                  <c:v>3.254</c:v>
                </c:pt>
                <c:pt idx="6">
                  <c:v>2</c:v>
                </c:pt>
                <c:pt idx="7">
                  <c:v>1.431</c:v>
                </c:pt>
                <c:pt idx="8">
                  <c:v>2.9910000000000001</c:v>
                </c:pt>
                <c:pt idx="9">
                  <c:v>0.97499999999999998</c:v>
                </c:pt>
                <c:pt idx="10">
                  <c:v>3.8410000000000002</c:v>
                </c:pt>
                <c:pt idx="11">
                  <c:v>0.433</c:v>
                </c:pt>
                <c:pt idx="12">
                  <c:v>5.0810000000000004</c:v>
                </c:pt>
                <c:pt idx="13">
                  <c:v>1.7090000000000001</c:v>
                </c:pt>
                <c:pt idx="14">
                  <c:v>3.085</c:v>
                </c:pt>
                <c:pt idx="15">
                  <c:v>2.2999999999999998</c:v>
                </c:pt>
                <c:pt idx="16">
                  <c:v>1.849</c:v>
                </c:pt>
                <c:pt idx="17">
                  <c:v>1.1519999999999999</c:v>
                </c:pt>
                <c:pt idx="18">
                  <c:v>1.268</c:v>
                </c:pt>
                <c:pt idx="19">
                  <c:v>2.778</c:v>
                </c:pt>
                <c:pt idx="20">
                  <c:v>3.3119999999999998</c:v>
                </c:pt>
                <c:pt idx="21">
                  <c:v>2.1520000000000001</c:v>
                </c:pt>
                <c:pt idx="22">
                  <c:v>1.91</c:v>
                </c:pt>
                <c:pt idx="23">
                  <c:v>2.145</c:v>
                </c:pt>
                <c:pt idx="24">
                  <c:v>0</c:v>
                </c:pt>
                <c:pt idx="25">
                  <c:v>0.85</c:v>
                </c:pt>
                <c:pt idx="26">
                  <c:v>5.2060000000000004</c:v>
                </c:pt>
                <c:pt idx="27">
                  <c:v>5.306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MRegression!$G$6:$G$44</c:f>
              <c:numCache>
                <c:formatCode>_(#,##0.0%_);_(\(#,##0.0%\)_);_(#,##0.0%_)</c:formatCode>
                <c:ptCount val="39"/>
                <c:pt idx="0">
                  <c:v>2.8220000000000001</c:v>
                </c:pt>
                <c:pt idx="1">
                  <c:v>1.383</c:v>
                </c:pt>
                <c:pt idx="2">
                  <c:v>3.1779999999999999</c:v>
                </c:pt>
                <c:pt idx="3">
                  <c:v>1.8680000000000001</c:v>
                </c:pt>
                <c:pt idx="4">
                  <c:v>1.794</c:v>
                </c:pt>
                <c:pt idx="5">
                  <c:v>3.254</c:v>
                </c:pt>
                <c:pt idx="6">
                  <c:v>2</c:v>
                </c:pt>
                <c:pt idx="7">
                  <c:v>1.431</c:v>
                </c:pt>
                <c:pt idx="8">
                  <c:v>2.9910000000000001</c:v>
                </c:pt>
                <c:pt idx="9">
                  <c:v>0.97499999999999998</c:v>
                </c:pt>
                <c:pt idx="10">
                  <c:v>3.8410000000000002</c:v>
                </c:pt>
                <c:pt idx="11">
                  <c:v>0.433</c:v>
                </c:pt>
                <c:pt idx="12">
                  <c:v>5.0810000000000004</c:v>
                </c:pt>
                <c:pt idx="13">
                  <c:v>1.7090000000000001</c:v>
                </c:pt>
                <c:pt idx="14">
                  <c:v>3.085</c:v>
                </c:pt>
                <c:pt idx="15">
                  <c:v>2.2999999999999998</c:v>
                </c:pt>
                <c:pt idx="16">
                  <c:v>1.849</c:v>
                </c:pt>
                <c:pt idx="17">
                  <c:v>1.1519999999999999</c:v>
                </c:pt>
                <c:pt idx="18">
                  <c:v>1.268</c:v>
                </c:pt>
                <c:pt idx="19">
                  <c:v>2.778</c:v>
                </c:pt>
                <c:pt idx="20">
                  <c:v>3.3119999999999998</c:v>
                </c:pt>
                <c:pt idx="21">
                  <c:v>2.1520000000000001</c:v>
                </c:pt>
                <c:pt idx="22">
                  <c:v>1.91</c:v>
                </c:pt>
                <c:pt idx="23">
                  <c:v>2.145</c:v>
                </c:pt>
                <c:pt idx="24">
                  <c:v>0</c:v>
                </c:pt>
                <c:pt idx="25">
                  <c:v>0.85</c:v>
                </c:pt>
                <c:pt idx="26">
                  <c:v>5.2060000000000004</c:v>
                </c:pt>
                <c:pt idx="27">
                  <c:v>5.306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</c:ser>
        <c:axId val="205926400"/>
        <c:axId val="205928320"/>
      </c:scatterChart>
      <c:valAx>
        <c:axId val="2059264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0.184417</a:t>
                </a:r>
              </a:p>
            </c:rich>
          </c:tx>
        </c:title>
        <c:numFmt formatCode="_(#,##0.0%_);_(\(#,##0.0%\)_);_(#,##0.0%_)" sourceLinked="1"/>
        <c:tickLblPos val="nextTo"/>
        <c:crossAx val="205928320"/>
        <c:crosses val="autoZero"/>
        <c:crossBetween val="midCat"/>
      </c:valAx>
      <c:valAx>
        <c:axId val="2059283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</c:title>
        <c:numFmt formatCode="#,##0.0\x" sourceLinked="1"/>
        <c:tickLblPos val="nextTo"/>
        <c:crossAx val="2059264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0.206161137440758 Line Fit  Plot</a:t>
            </a:r>
          </a:p>
        </c:rich>
      </c:tx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MRegression!$H$6:$H$44</c:f>
              <c:numCache>
                <c:formatCode>_(#,##0.0%_);_(\(#,##0.0%\)_);_(#,##0.0%_)</c:formatCode>
                <c:ptCount val="39"/>
                <c:pt idx="0">
                  <c:v>43.878</c:v>
                </c:pt>
                <c:pt idx="1">
                  <c:v>47.604999999999997</c:v>
                </c:pt>
                <c:pt idx="2">
                  <c:v>73.75</c:v>
                </c:pt>
                <c:pt idx="3">
                  <c:v>103.486</c:v>
                </c:pt>
                <c:pt idx="4">
                  <c:v>31.420999999999999</c:v>
                </c:pt>
                <c:pt idx="5">
                  <c:v>112.07599999999999</c:v>
                </c:pt>
                <c:pt idx="6">
                  <c:v>82.049000000000007</c:v>
                </c:pt>
                <c:pt idx="7">
                  <c:v>29.521999999999998</c:v>
                </c:pt>
                <c:pt idx="8">
                  <c:v>65.185000000000002</c:v>
                </c:pt>
                <c:pt idx="9">
                  <c:v>26.202999999999999</c:v>
                </c:pt>
                <c:pt idx="10">
                  <c:v>11.54</c:v>
                </c:pt>
                <c:pt idx="11">
                  <c:v>61.848999999999997</c:v>
                </c:pt>
                <c:pt idx="12">
                  <c:v>112</c:v>
                </c:pt>
                <c:pt idx="13">
                  <c:v>19.646000000000001</c:v>
                </c:pt>
                <c:pt idx="14">
                  <c:v>26.344000000000001</c:v>
                </c:pt>
                <c:pt idx="15">
                  <c:v>63.185000000000002</c:v>
                </c:pt>
                <c:pt idx="16">
                  <c:v>67.024000000000001</c:v>
                </c:pt>
                <c:pt idx="17">
                  <c:v>26.568000000000001</c:v>
                </c:pt>
                <c:pt idx="18">
                  <c:v>105.297</c:v>
                </c:pt>
                <c:pt idx="19">
                  <c:v>34.716000000000001</c:v>
                </c:pt>
                <c:pt idx="20">
                  <c:v>24.498999999999999</c:v>
                </c:pt>
                <c:pt idx="21">
                  <c:v>45.140999999999998</c:v>
                </c:pt>
                <c:pt idx="22">
                  <c:v>103.312</c:v>
                </c:pt>
                <c:pt idx="23">
                  <c:v>24.538</c:v>
                </c:pt>
                <c:pt idx="24">
                  <c:v>56.74</c:v>
                </c:pt>
                <c:pt idx="25">
                  <c:v>36.582999999999998</c:v>
                </c:pt>
                <c:pt idx="26">
                  <c:v>103.54900000000001</c:v>
                </c:pt>
                <c:pt idx="27">
                  <c:v>112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MRegression!$H$6:$H$44</c:f>
              <c:numCache>
                <c:formatCode>_(#,##0.0%_);_(\(#,##0.0%\)_);_(#,##0.0%_)</c:formatCode>
                <c:ptCount val="39"/>
                <c:pt idx="0">
                  <c:v>43.878</c:v>
                </c:pt>
                <c:pt idx="1">
                  <c:v>47.604999999999997</c:v>
                </c:pt>
                <c:pt idx="2">
                  <c:v>73.75</c:v>
                </c:pt>
                <c:pt idx="3">
                  <c:v>103.486</c:v>
                </c:pt>
                <c:pt idx="4">
                  <c:v>31.420999999999999</c:v>
                </c:pt>
                <c:pt idx="5">
                  <c:v>112.07599999999999</c:v>
                </c:pt>
                <c:pt idx="6">
                  <c:v>82.049000000000007</c:v>
                </c:pt>
                <c:pt idx="7">
                  <c:v>29.521999999999998</c:v>
                </c:pt>
                <c:pt idx="8">
                  <c:v>65.185000000000002</c:v>
                </c:pt>
                <c:pt idx="9">
                  <c:v>26.202999999999999</c:v>
                </c:pt>
                <c:pt idx="10">
                  <c:v>11.54</c:v>
                </c:pt>
                <c:pt idx="11">
                  <c:v>61.848999999999997</c:v>
                </c:pt>
                <c:pt idx="12">
                  <c:v>112</c:v>
                </c:pt>
                <c:pt idx="13">
                  <c:v>19.646000000000001</c:v>
                </c:pt>
                <c:pt idx="14">
                  <c:v>26.344000000000001</c:v>
                </c:pt>
                <c:pt idx="15">
                  <c:v>63.185000000000002</c:v>
                </c:pt>
                <c:pt idx="16">
                  <c:v>67.024000000000001</c:v>
                </c:pt>
                <c:pt idx="17">
                  <c:v>26.568000000000001</c:v>
                </c:pt>
                <c:pt idx="18">
                  <c:v>105.297</c:v>
                </c:pt>
                <c:pt idx="19">
                  <c:v>34.716000000000001</c:v>
                </c:pt>
                <c:pt idx="20">
                  <c:v>24.498999999999999</c:v>
                </c:pt>
                <c:pt idx="21">
                  <c:v>45.140999999999998</c:v>
                </c:pt>
                <c:pt idx="22">
                  <c:v>103.312</c:v>
                </c:pt>
                <c:pt idx="23">
                  <c:v>24.538</c:v>
                </c:pt>
                <c:pt idx="24">
                  <c:v>56.74</c:v>
                </c:pt>
                <c:pt idx="25">
                  <c:v>36.582999999999998</c:v>
                </c:pt>
                <c:pt idx="26">
                  <c:v>103.54900000000001</c:v>
                </c:pt>
                <c:pt idx="27">
                  <c:v>112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</c:ser>
        <c:axId val="205965952"/>
        <c:axId val="205980416"/>
      </c:scatterChart>
      <c:valAx>
        <c:axId val="205965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0.206161137440758</a:t>
                </a:r>
              </a:p>
            </c:rich>
          </c:tx>
        </c:title>
        <c:numFmt formatCode="_(#,##0.0%_);_(\(#,##0.0%\)_);_(#,##0.0%_)" sourceLinked="1"/>
        <c:tickLblPos val="nextTo"/>
        <c:crossAx val="205980416"/>
        <c:crosses val="autoZero"/>
        <c:crossBetween val="midCat"/>
      </c:valAx>
      <c:valAx>
        <c:axId val="20598041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</c:title>
        <c:numFmt formatCode="#,##0.0\x" sourceLinked="1"/>
        <c:tickLblPos val="nextTo"/>
        <c:crossAx val="20596595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0.184417 Line Fit  Plot</a:t>
            </a:r>
          </a:p>
        </c:rich>
      </c:tx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MRegression!$I$6:$I$44</c:f>
              <c:numCache>
                <c:formatCode>_(#,##0.0%_);_(\(#,##0.0%\)_);_(#,##0.0%_)</c:formatCode>
                <c:ptCount val="39"/>
                <c:pt idx="0">
                  <c:v>7.35</c:v>
                </c:pt>
                <c:pt idx="1">
                  <c:v>5.49</c:v>
                </c:pt>
                <c:pt idx="2">
                  <c:v>4.2</c:v>
                </c:pt>
                <c:pt idx="3">
                  <c:v>-4.76</c:v>
                </c:pt>
                <c:pt idx="4">
                  <c:v>5.28</c:v>
                </c:pt>
                <c:pt idx="5">
                  <c:v>12.25</c:v>
                </c:pt>
                <c:pt idx="6">
                  <c:v>-8.35</c:v>
                </c:pt>
                <c:pt idx="7">
                  <c:v>2.02</c:v>
                </c:pt>
                <c:pt idx="8">
                  <c:v>22.97</c:v>
                </c:pt>
                <c:pt idx="9">
                  <c:v>8.98</c:v>
                </c:pt>
                <c:pt idx="10">
                  <c:v>5.2</c:v>
                </c:pt>
                <c:pt idx="11">
                  <c:v>18.489999999999998</c:v>
                </c:pt>
                <c:pt idx="12">
                  <c:v>1.26</c:v>
                </c:pt>
                <c:pt idx="13">
                  <c:v>5.04</c:v>
                </c:pt>
                <c:pt idx="14">
                  <c:v>3.68</c:v>
                </c:pt>
                <c:pt idx="15">
                  <c:v>-16.57</c:v>
                </c:pt>
                <c:pt idx="16">
                  <c:v>1.92</c:v>
                </c:pt>
                <c:pt idx="17">
                  <c:v>3.13</c:v>
                </c:pt>
                <c:pt idx="18">
                  <c:v>6.74</c:v>
                </c:pt>
                <c:pt idx="19">
                  <c:v>13.96</c:v>
                </c:pt>
                <c:pt idx="20">
                  <c:v>4.76</c:v>
                </c:pt>
                <c:pt idx="21">
                  <c:v>3.6</c:v>
                </c:pt>
                <c:pt idx="22">
                  <c:v>-33.89</c:v>
                </c:pt>
                <c:pt idx="23">
                  <c:v>3.54</c:v>
                </c:pt>
                <c:pt idx="24">
                  <c:v>2.86</c:v>
                </c:pt>
                <c:pt idx="25">
                  <c:v>8.7200000000000006</c:v>
                </c:pt>
                <c:pt idx="26">
                  <c:v>-9.15</c:v>
                </c:pt>
                <c:pt idx="27">
                  <c:v>4.4400000000000004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MRegression!$I$6:$I$44</c:f>
              <c:numCache>
                <c:formatCode>_(#,##0.0%_);_(\(#,##0.0%\)_);_(#,##0.0%_)</c:formatCode>
                <c:ptCount val="39"/>
                <c:pt idx="0">
                  <c:v>7.35</c:v>
                </c:pt>
                <c:pt idx="1">
                  <c:v>5.49</c:v>
                </c:pt>
                <c:pt idx="2">
                  <c:v>4.2</c:v>
                </c:pt>
                <c:pt idx="3">
                  <c:v>-4.76</c:v>
                </c:pt>
                <c:pt idx="4">
                  <c:v>5.28</c:v>
                </c:pt>
                <c:pt idx="5">
                  <c:v>12.25</c:v>
                </c:pt>
                <c:pt idx="6">
                  <c:v>-8.35</c:v>
                </c:pt>
                <c:pt idx="7">
                  <c:v>2.02</c:v>
                </c:pt>
                <c:pt idx="8">
                  <c:v>22.97</c:v>
                </c:pt>
                <c:pt idx="9">
                  <c:v>8.98</c:v>
                </c:pt>
                <c:pt idx="10">
                  <c:v>5.2</c:v>
                </c:pt>
                <c:pt idx="11">
                  <c:v>18.489999999999998</c:v>
                </c:pt>
                <c:pt idx="12">
                  <c:v>1.26</c:v>
                </c:pt>
                <c:pt idx="13">
                  <c:v>5.04</c:v>
                </c:pt>
                <c:pt idx="14">
                  <c:v>3.68</c:v>
                </c:pt>
                <c:pt idx="15">
                  <c:v>-16.57</c:v>
                </c:pt>
                <c:pt idx="16">
                  <c:v>1.92</c:v>
                </c:pt>
                <c:pt idx="17">
                  <c:v>3.13</c:v>
                </c:pt>
                <c:pt idx="18">
                  <c:v>6.74</c:v>
                </c:pt>
                <c:pt idx="19">
                  <c:v>13.96</c:v>
                </c:pt>
                <c:pt idx="20">
                  <c:v>4.76</c:v>
                </c:pt>
                <c:pt idx="21">
                  <c:v>3.6</c:v>
                </c:pt>
                <c:pt idx="22">
                  <c:v>-33.89</c:v>
                </c:pt>
                <c:pt idx="23">
                  <c:v>3.54</c:v>
                </c:pt>
                <c:pt idx="24">
                  <c:v>2.86</c:v>
                </c:pt>
                <c:pt idx="25">
                  <c:v>8.7200000000000006</c:v>
                </c:pt>
                <c:pt idx="26">
                  <c:v>-9.15</c:v>
                </c:pt>
                <c:pt idx="27">
                  <c:v>4.4400000000000004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</c:ser>
        <c:axId val="206001664"/>
        <c:axId val="206003584"/>
      </c:scatterChart>
      <c:valAx>
        <c:axId val="2060016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0.184417</a:t>
                </a:r>
              </a:p>
            </c:rich>
          </c:tx>
        </c:title>
        <c:numFmt formatCode="_(#,##0.0%_);_(\(#,##0.0%\)_);_(#,##0.0%_)" sourceLinked="1"/>
        <c:tickLblPos val="nextTo"/>
        <c:crossAx val="206003584"/>
        <c:crosses val="autoZero"/>
        <c:crossBetween val="midCat"/>
      </c:valAx>
      <c:valAx>
        <c:axId val="20600358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</c:title>
        <c:numFmt formatCode="#,##0.0\x" sourceLinked="1"/>
        <c:tickLblPos val="nextTo"/>
        <c:crossAx val="2060016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0.632254 Line Fit  Plot</a:t>
            </a:r>
          </a:p>
        </c:rich>
      </c:tx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MRegression!$E$6:$E$44</c:f>
              <c:numCache>
                <c:formatCode>_(#,##0.0%_);_(\(#,##0.0%\)_);_(#,##0.0%_)</c:formatCode>
                <c:ptCount val="39"/>
                <c:pt idx="0">
                  <c:v>3.7769611018878386</c:v>
                </c:pt>
                <c:pt idx="1">
                  <c:v>3.7939027839895854</c:v>
                </c:pt>
                <c:pt idx="2">
                  <c:v>3.0393189209114189</c:v>
                </c:pt>
                <c:pt idx="3">
                  <c:v>1.6694098672877826</c:v>
                </c:pt>
                <c:pt idx="4">
                  <c:v>3.0026799967838054</c:v>
                </c:pt>
                <c:pt idx="5">
                  <c:v>2.3732615061616817</c:v>
                </c:pt>
                <c:pt idx="6">
                  <c:v>1.7682680164515479</c:v>
                </c:pt>
                <c:pt idx="7">
                  <c:v>4.5</c:v>
                </c:pt>
                <c:pt idx="8">
                  <c:v>1.6474807731736756</c:v>
                </c:pt>
                <c:pt idx="9">
                  <c:v>3.5408310642373224</c:v>
                </c:pt>
                <c:pt idx="10">
                  <c:v>4.5</c:v>
                </c:pt>
                <c:pt idx="11">
                  <c:v>1.7531999141994159</c:v>
                </c:pt>
                <c:pt idx="12">
                  <c:v>1.2005769267548481</c:v>
                </c:pt>
                <c:pt idx="13">
                  <c:v>4.5216577487453833</c:v>
                </c:pt>
                <c:pt idx="14">
                  <c:v>2.1608585306799912</c:v>
                </c:pt>
                <c:pt idx="15">
                  <c:v>1.3868555291847242</c:v>
                </c:pt>
                <c:pt idx="16">
                  <c:v>1.2938043599193367</c:v>
                </c:pt>
                <c:pt idx="17">
                  <c:v>0.66838591669000014</c:v>
                </c:pt>
                <c:pt idx="18">
                  <c:v>2.0473138158153881</c:v>
                </c:pt>
                <c:pt idx="19">
                  <c:v>1.63978521298682</c:v>
                </c:pt>
                <c:pt idx="20">
                  <c:v>3.7980502275653722</c:v>
                </c:pt>
                <c:pt idx="21">
                  <c:v>2.2785935682411336</c:v>
                </c:pt>
                <c:pt idx="22">
                  <c:v>4.5</c:v>
                </c:pt>
                <c:pt idx="23">
                  <c:v>2.6770043618401727</c:v>
                </c:pt>
                <c:pt idx="24">
                  <c:v>2.5775147777733647</c:v>
                </c:pt>
                <c:pt idx="25">
                  <c:v>3.5383789110505259</c:v>
                </c:pt>
                <c:pt idx="26">
                  <c:v>2.6051110251239025</c:v>
                </c:pt>
                <c:pt idx="27">
                  <c:v>2.4383841070347136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MRegression!$E$6:$E$44</c:f>
              <c:numCache>
                <c:formatCode>_(#,##0.0%_);_(\(#,##0.0%\)_);_(#,##0.0%_)</c:formatCode>
                <c:ptCount val="39"/>
                <c:pt idx="0">
                  <c:v>3.7769611018878386</c:v>
                </c:pt>
                <c:pt idx="1">
                  <c:v>3.7939027839895854</c:v>
                </c:pt>
                <c:pt idx="2">
                  <c:v>3.0393189209114189</c:v>
                </c:pt>
                <c:pt idx="3">
                  <c:v>1.6694098672877826</c:v>
                </c:pt>
                <c:pt idx="4">
                  <c:v>3.0026799967838054</c:v>
                </c:pt>
                <c:pt idx="5">
                  <c:v>2.3732615061616817</c:v>
                </c:pt>
                <c:pt idx="6">
                  <c:v>1.7682680164515479</c:v>
                </c:pt>
                <c:pt idx="7">
                  <c:v>4.5</c:v>
                </c:pt>
                <c:pt idx="8">
                  <c:v>1.6474807731736756</c:v>
                </c:pt>
                <c:pt idx="9">
                  <c:v>3.5408310642373224</c:v>
                </c:pt>
                <c:pt idx="10">
                  <c:v>4.5</c:v>
                </c:pt>
                <c:pt idx="11">
                  <c:v>1.7531999141994159</c:v>
                </c:pt>
                <c:pt idx="12">
                  <c:v>1.2005769267548481</c:v>
                </c:pt>
                <c:pt idx="13">
                  <c:v>4.5216577487453833</c:v>
                </c:pt>
                <c:pt idx="14">
                  <c:v>2.1608585306799912</c:v>
                </c:pt>
                <c:pt idx="15">
                  <c:v>1.3868555291847242</c:v>
                </c:pt>
                <c:pt idx="16">
                  <c:v>1.2938043599193367</c:v>
                </c:pt>
                <c:pt idx="17">
                  <c:v>0.66838591669000014</c:v>
                </c:pt>
                <c:pt idx="18">
                  <c:v>2.0473138158153881</c:v>
                </c:pt>
                <c:pt idx="19">
                  <c:v>1.63978521298682</c:v>
                </c:pt>
                <c:pt idx="20">
                  <c:v>3.7980502275653722</c:v>
                </c:pt>
                <c:pt idx="21">
                  <c:v>2.2785935682411336</c:v>
                </c:pt>
                <c:pt idx="22">
                  <c:v>4.5</c:v>
                </c:pt>
                <c:pt idx="23">
                  <c:v>2.6770043618401727</c:v>
                </c:pt>
                <c:pt idx="24">
                  <c:v>2.5775147777733647</c:v>
                </c:pt>
                <c:pt idx="25">
                  <c:v>3.5383789110505259</c:v>
                </c:pt>
                <c:pt idx="26">
                  <c:v>2.6051110251239025</c:v>
                </c:pt>
                <c:pt idx="27">
                  <c:v>2.4383841070347136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</c:ser>
        <c:axId val="206045568"/>
        <c:axId val="206047488"/>
      </c:scatterChart>
      <c:valAx>
        <c:axId val="2060455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0.632254</a:t>
                </a:r>
              </a:p>
            </c:rich>
          </c:tx>
        </c:title>
        <c:numFmt formatCode="_(#,##0.0%_);_(\(#,##0.0%\)_);_(#,##0.0%_)" sourceLinked="1"/>
        <c:tickLblPos val="nextTo"/>
        <c:crossAx val="206047488"/>
        <c:crosses val="autoZero"/>
        <c:crossBetween val="midCat"/>
      </c:valAx>
      <c:valAx>
        <c:axId val="2060474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</c:title>
        <c:numFmt formatCode="#,##0.0\x" sourceLinked="1"/>
        <c:tickLblPos val="nextTo"/>
        <c:crossAx val="20604556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0.163405 Line Fit  Plot</a:t>
            </a:r>
          </a:p>
        </c:rich>
      </c:tx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MRegression!$F$6:$F$44</c:f>
              <c:numCache>
                <c:formatCode>#,##0.0\x</c:formatCode>
                <c:ptCount val="39"/>
                <c:pt idx="0">
                  <c:v>23.3</c:v>
                </c:pt>
                <c:pt idx="1">
                  <c:v>6.7</c:v>
                </c:pt>
                <c:pt idx="2">
                  <c:v>6</c:v>
                </c:pt>
                <c:pt idx="3">
                  <c:v>16.3</c:v>
                </c:pt>
                <c:pt idx="4">
                  <c:v>12.3</c:v>
                </c:pt>
                <c:pt idx="5">
                  <c:v>8.4</c:v>
                </c:pt>
                <c:pt idx="6">
                  <c:v>19</c:v>
                </c:pt>
                <c:pt idx="7">
                  <c:v>7.4</c:v>
                </c:pt>
                <c:pt idx="8">
                  <c:v>16.8</c:v>
                </c:pt>
                <c:pt idx="9">
                  <c:v>15.7</c:v>
                </c:pt>
                <c:pt idx="10">
                  <c:v>7.9</c:v>
                </c:pt>
                <c:pt idx="11">
                  <c:v>6.9</c:v>
                </c:pt>
                <c:pt idx="12">
                  <c:v>23.3</c:v>
                </c:pt>
                <c:pt idx="13">
                  <c:v>7.9</c:v>
                </c:pt>
                <c:pt idx="14">
                  <c:v>14.5</c:v>
                </c:pt>
                <c:pt idx="15">
                  <c:v>9.9</c:v>
                </c:pt>
                <c:pt idx="16">
                  <c:v>6.6</c:v>
                </c:pt>
                <c:pt idx="17">
                  <c:v>3.2</c:v>
                </c:pt>
                <c:pt idx="18">
                  <c:v>11.1</c:v>
                </c:pt>
                <c:pt idx="19">
                  <c:v>10.9</c:v>
                </c:pt>
                <c:pt idx="20">
                  <c:v>8.6</c:v>
                </c:pt>
                <c:pt idx="21">
                  <c:v>11.4</c:v>
                </c:pt>
                <c:pt idx="22">
                  <c:v>23</c:v>
                </c:pt>
                <c:pt idx="23">
                  <c:v>7.1</c:v>
                </c:pt>
                <c:pt idx="24">
                  <c:v>8.9</c:v>
                </c:pt>
                <c:pt idx="25">
                  <c:v>15</c:v>
                </c:pt>
                <c:pt idx="26">
                  <c:v>13.6</c:v>
                </c:pt>
                <c:pt idx="27">
                  <c:v>9.5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MRegression!$F$6:$F$44</c:f>
              <c:numCache>
                <c:formatCode>#,##0.0\x</c:formatCode>
                <c:ptCount val="39"/>
                <c:pt idx="0">
                  <c:v>23.3</c:v>
                </c:pt>
                <c:pt idx="1">
                  <c:v>6.7</c:v>
                </c:pt>
                <c:pt idx="2">
                  <c:v>6</c:v>
                </c:pt>
                <c:pt idx="3">
                  <c:v>16.3</c:v>
                </c:pt>
                <c:pt idx="4">
                  <c:v>12.3</c:v>
                </c:pt>
                <c:pt idx="5">
                  <c:v>8.4</c:v>
                </c:pt>
                <c:pt idx="6">
                  <c:v>19</c:v>
                </c:pt>
                <c:pt idx="7">
                  <c:v>7.4</c:v>
                </c:pt>
                <c:pt idx="8">
                  <c:v>16.8</c:v>
                </c:pt>
                <c:pt idx="9">
                  <c:v>15.7</c:v>
                </c:pt>
                <c:pt idx="10">
                  <c:v>7.9</c:v>
                </c:pt>
                <c:pt idx="11">
                  <c:v>6.9</c:v>
                </c:pt>
                <c:pt idx="12">
                  <c:v>23.3</c:v>
                </c:pt>
                <c:pt idx="13">
                  <c:v>7.9</c:v>
                </c:pt>
                <c:pt idx="14">
                  <c:v>14.5</c:v>
                </c:pt>
                <c:pt idx="15">
                  <c:v>9.9</c:v>
                </c:pt>
                <c:pt idx="16">
                  <c:v>6.6</c:v>
                </c:pt>
                <c:pt idx="17">
                  <c:v>3.2</c:v>
                </c:pt>
                <c:pt idx="18">
                  <c:v>11.1</c:v>
                </c:pt>
                <c:pt idx="19">
                  <c:v>10.9</c:v>
                </c:pt>
                <c:pt idx="20">
                  <c:v>8.6</c:v>
                </c:pt>
                <c:pt idx="21">
                  <c:v>11.4</c:v>
                </c:pt>
                <c:pt idx="22">
                  <c:v>23</c:v>
                </c:pt>
                <c:pt idx="23">
                  <c:v>7.1</c:v>
                </c:pt>
                <c:pt idx="24">
                  <c:v>8.9</c:v>
                </c:pt>
                <c:pt idx="25">
                  <c:v>15</c:v>
                </c:pt>
                <c:pt idx="26">
                  <c:v>13.6</c:v>
                </c:pt>
                <c:pt idx="27">
                  <c:v>9.5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</c:ser>
        <c:axId val="206093312"/>
        <c:axId val="206095488"/>
      </c:scatterChart>
      <c:valAx>
        <c:axId val="2060933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0.163405</a:t>
                </a:r>
              </a:p>
            </c:rich>
          </c:tx>
        </c:title>
        <c:numFmt formatCode="#,##0.0\x" sourceLinked="1"/>
        <c:tickLblPos val="nextTo"/>
        <c:crossAx val="206095488"/>
        <c:crosses val="autoZero"/>
        <c:crossBetween val="midCat"/>
      </c:valAx>
      <c:valAx>
        <c:axId val="2060954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</c:title>
        <c:numFmt formatCode="#,##0.0\x" sourceLinked="1"/>
        <c:tickLblPos val="nextTo"/>
        <c:crossAx val="20609331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0.184417 Line Fit  Plot</a:t>
            </a:r>
          </a:p>
        </c:rich>
      </c:tx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MRegression!$G$6:$G$44</c:f>
              <c:numCache>
                <c:formatCode>_(#,##0.0%_);_(\(#,##0.0%\)_);_(#,##0.0%_)</c:formatCode>
                <c:ptCount val="39"/>
                <c:pt idx="0">
                  <c:v>2.8220000000000001</c:v>
                </c:pt>
                <c:pt idx="1">
                  <c:v>1.383</c:v>
                </c:pt>
                <c:pt idx="2">
                  <c:v>3.1779999999999999</c:v>
                </c:pt>
                <c:pt idx="3">
                  <c:v>1.8680000000000001</c:v>
                </c:pt>
                <c:pt idx="4">
                  <c:v>1.794</c:v>
                </c:pt>
                <c:pt idx="5">
                  <c:v>3.254</c:v>
                </c:pt>
                <c:pt idx="6">
                  <c:v>2</c:v>
                </c:pt>
                <c:pt idx="7">
                  <c:v>1.431</c:v>
                </c:pt>
                <c:pt idx="8">
                  <c:v>2.9910000000000001</c:v>
                </c:pt>
                <c:pt idx="9">
                  <c:v>0.97499999999999998</c:v>
                </c:pt>
                <c:pt idx="10">
                  <c:v>3.8410000000000002</c:v>
                </c:pt>
                <c:pt idx="11">
                  <c:v>0.433</c:v>
                </c:pt>
                <c:pt idx="12">
                  <c:v>5.0810000000000004</c:v>
                </c:pt>
                <c:pt idx="13">
                  <c:v>1.7090000000000001</c:v>
                </c:pt>
                <c:pt idx="14">
                  <c:v>3.085</c:v>
                </c:pt>
                <c:pt idx="15">
                  <c:v>2.2999999999999998</c:v>
                </c:pt>
                <c:pt idx="16">
                  <c:v>1.849</c:v>
                </c:pt>
                <c:pt idx="17">
                  <c:v>1.1519999999999999</c:v>
                </c:pt>
                <c:pt idx="18">
                  <c:v>1.268</c:v>
                </c:pt>
                <c:pt idx="19">
                  <c:v>2.778</c:v>
                </c:pt>
                <c:pt idx="20">
                  <c:v>3.3119999999999998</c:v>
                </c:pt>
                <c:pt idx="21">
                  <c:v>2.1520000000000001</c:v>
                </c:pt>
                <c:pt idx="22">
                  <c:v>1.91</c:v>
                </c:pt>
                <c:pt idx="23">
                  <c:v>2.145</c:v>
                </c:pt>
                <c:pt idx="24">
                  <c:v>0</c:v>
                </c:pt>
                <c:pt idx="25">
                  <c:v>0.85</c:v>
                </c:pt>
                <c:pt idx="26">
                  <c:v>5.2060000000000004</c:v>
                </c:pt>
                <c:pt idx="27">
                  <c:v>5.306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MRegression!$G$6:$G$44</c:f>
              <c:numCache>
                <c:formatCode>_(#,##0.0%_);_(\(#,##0.0%\)_);_(#,##0.0%_)</c:formatCode>
                <c:ptCount val="39"/>
                <c:pt idx="0">
                  <c:v>2.8220000000000001</c:v>
                </c:pt>
                <c:pt idx="1">
                  <c:v>1.383</c:v>
                </c:pt>
                <c:pt idx="2">
                  <c:v>3.1779999999999999</c:v>
                </c:pt>
                <c:pt idx="3">
                  <c:v>1.8680000000000001</c:v>
                </c:pt>
                <c:pt idx="4">
                  <c:v>1.794</c:v>
                </c:pt>
                <c:pt idx="5">
                  <c:v>3.254</c:v>
                </c:pt>
                <c:pt idx="6">
                  <c:v>2</c:v>
                </c:pt>
                <c:pt idx="7">
                  <c:v>1.431</c:v>
                </c:pt>
                <c:pt idx="8">
                  <c:v>2.9910000000000001</c:v>
                </c:pt>
                <c:pt idx="9">
                  <c:v>0.97499999999999998</c:v>
                </c:pt>
                <c:pt idx="10">
                  <c:v>3.8410000000000002</c:v>
                </c:pt>
                <c:pt idx="11">
                  <c:v>0.433</c:v>
                </c:pt>
                <c:pt idx="12">
                  <c:v>5.0810000000000004</c:v>
                </c:pt>
                <c:pt idx="13">
                  <c:v>1.7090000000000001</c:v>
                </c:pt>
                <c:pt idx="14">
                  <c:v>3.085</c:v>
                </c:pt>
                <c:pt idx="15">
                  <c:v>2.2999999999999998</c:v>
                </c:pt>
                <c:pt idx="16">
                  <c:v>1.849</c:v>
                </c:pt>
                <c:pt idx="17">
                  <c:v>1.1519999999999999</c:v>
                </c:pt>
                <c:pt idx="18">
                  <c:v>1.268</c:v>
                </c:pt>
                <c:pt idx="19">
                  <c:v>2.778</c:v>
                </c:pt>
                <c:pt idx="20">
                  <c:v>3.3119999999999998</c:v>
                </c:pt>
                <c:pt idx="21">
                  <c:v>2.1520000000000001</c:v>
                </c:pt>
                <c:pt idx="22">
                  <c:v>1.91</c:v>
                </c:pt>
                <c:pt idx="23">
                  <c:v>2.145</c:v>
                </c:pt>
                <c:pt idx="24">
                  <c:v>0</c:v>
                </c:pt>
                <c:pt idx="25">
                  <c:v>0.85</c:v>
                </c:pt>
                <c:pt idx="26">
                  <c:v>5.2060000000000004</c:v>
                </c:pt>
                <c:pt idx="27">
                  <c:v>5.306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</c:ser>
        <c:axId val="206088064"/>
        <c:axId val="206139392"/>
      </c:scatterChart>
      <c:valAx>
        <c:axId val="2060880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0.184417</a:t>
                </a:r>
              </a:p>
            </c:rich>
          </c:tx>
        </c:title>
        <c:numFmt formatCode="_(#,##0.0%_);_(\(#,##0.0%\)_);_(#,##0.0%_)" sourceLinked="1"/>
        <c:tickLblPos val="nextTo"/>
        <c:crossAx val="206139392"/>
        <c:crosses val="autoZero"/>
        <c:crossBetween val="midCat"/>
      </c:valAx>
      <c:valAx>
        <c:axId val="2061393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</c:title>
        <c:numFmt formatCode="#,##0.0\x" sourceLinked="1"/>
        <c:tickLblPos val="nextTo"/>
        <c:crossAx val="2060880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0.206161137440758 Line Fit  Plot</a:t>
            </a:r>
          </a:p>
        </c:rich>
      </c:tx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MRegression!$H$6:$H$44</c:f>
              <c:numCache>
                <c:formatCode>_(#,##0.0%_);_(\(#,##0.0%\)_);_(#,##0.0%_)</c:formatCode>
                <c:ptCount val="39"/>
                <c:pt idx="0">
                  <c:v>43.878</c:v>
                </c:pt>
                <c:pt idx="1">
                  <c:v>47.604999999999997</c:v>
                </c:pt>
                <c:pt idx="2">
                  <c:v>73.75</c:v>
                </c:pt>
                <c:pt idx="3">
                  <c:v>103.486</c:v>
                </c:pt>
                <c:pt idx="4">
                  <c:v>31.420999999999999</c:v>
                </c:pt>
                <c:pt idx="5">
                  <c:v>112.07599999999999</c:v>
                </c:pt>
                <c:pt idx="6">
                  <c:v>82.049000000000007</c:v>
                </c:pt>
                <c:pt idx="7">
                  <c:v>29.521999999999998</c:v>
                </c:pt>
                <c:pt idx="8">
                  <c:v>65.185000000000002</c:v>
                </c:pt>
                <c:pt idx="9">
                  <c:v>26.202999999999999</c:v>
                </c:pt>
                <c:pt idx="10">
                  <c:v>11.54</c:v>
                </c:pt>
                <c:pt idx="11">
                  <c:v>61.848999999999997</c:v>
                </c:pt>
                <c:pt idx="12">
                  <c:v>112</c:v>
                </c:pt>
                <c:pt idx="13">
                  <c:v>19.646000000000001</c:v>
                </c:pt>
                <c:pt idx="14">
                  <c:v>26.344000000000001</c:v>
                </c:pt>
                <c:pt idx="15">
                  <c:v>63.185000000000002</c:v>
                </c:pt>
                <c:pt idx="16">
                  <c:v>67.024000000000001</c:v>
                </c:pt>
                <c:pt idx="17">
                  <c:v>26.568000000000001</c:v>
                </c:pt>
                <c:pt idx="18">
                  <c:v>105.297</c:v>
                </c:pt>
                <c:pt idx="19">
                  <c:v>34.716000000000001</c:v>
                </c:pt>
                <c:pt idx="20">
                  <c:v>24.498999999999999</c:v>
                </c:pt>
                <c:pt idx="21">
                  <c:v>45.140999999999998</c:v>
                </c:pt>
                <c:pt idx="22">
                  <c:v>103.312</c:v>
                </c:pt>
                <c:pt idx="23">
                  <c:v>24.538</c:v>
                </c:pt>
                <c:pt idx="24">
                  <c:v>56.74</c:v>
                </c:pt>
                <c:pt idx="25">
                  <c:v>36.582999999999998</c:v>
                </c:pt>
                <c:pt idx="26">
                  <c:v>103.54900000000001</c:v>
                </c:pt>
                <c:pt idx="27">
                  <c:v>112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MRegression!$H$6:$H$44</c:f>
              <c:numCache>
                <c:formatCode>_(#,##0.0%_);_(\(#,##0.0%\)_);_(#,##0.0%_)</c:formatCode>
                <c:ptCount val="39"/>
                <c:pt idx="0">
                  <c:v>43.878</c:v>
                </c:pt>
                <c:pt idx="1">
                  <c:v>47.604999999999997</c:v>
                </c:pt>
                <c:pt idx="2">
                  <c:v>73.75</c:v>
                </c:pt>
                <c:pt idx="3">
                  <c:v>103.486</c:v>
                </c:pt>
                <c:pt idx="4">
                  <c:v>31.420999999999999</c:v>
                </c:pt>
                <c:pt idx="5">
                  <c:v>112.07599999999999</c:v>
                </c:pt>
                <c:pt idx="6">
                  <c:v>82.049000000000007</c:v>
                </c:pt>
                <c:pt idx="7">
                  <c:v>29.521999999999998</c:v>
                </c:pt>
                <c:pt idx="8">
                  <c:v>65.185000000000002</c:v>
                </c:pt>
                <c:pt idx="9">
                  <c:v>26.202999999999999</c:v>
                </c:pt>
                <c:pt idx="10">
                  <c:v>11.54</c:v>
                </c:pt>
                <c:pt idx="11">
                  <c:v>61.848999999999997</c:v>
                </c:pt>
                <c:pt idx="12">
                  <c:v>112</c:v>
                </c:pt>
                <c:pt idx="13">
                  <c:v>19.646000000000001</c:v>
                </c:pt>
                <c:pt idx="14">
                  <c:v>26.344000000000001</c:v>
                </c:pt>
                <c:pt idx="15">
                  <c:v>63.185000000000002</c:v>
                </c:pt>
                <c:pt idx="16">
                  <c:v>67.024000000000001</c:v>
                </c:pt>
                <c:pt idx="17">
                  <c:v>26.568000000000001</c:v>
                </c:pt>
                <c:pt idx="18">
                  <c:v>105.297</c:v>
                </c:pt>
                <c:pt idx="19">
                  <c:v>34.716000000000001</c:v>
                </c:pt>
                <c:pt idx="20">
                  <c:v>24.498999999999999</c:v>
                </c:pt>
                <c:pt idx="21">
                  <c:v>45.140999999999998</c:v>
                </c:pt>
                <c:pt idx="22">
                  <c:v>103.312</c:v>
                </c:pt>
                <c:pt idx="23">
                  <c:v>24.538</c:v>
                </c:pt>
                <c:pt idx="24">
                  <c:v>56.74</c:v>
                </c:pt>
                <c:pt idx="25">
                  <c:v>36.582999999999998</c:v>
                </c:pt>
                <c:pt idx="26">
                  <c:v>103.54900000000001</c:v>
                </c:pt>
                <c:pt idx="27">
                  <c:v>112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</c:ser>
        <c:axId val="206316288"/>
        <c:axId val="206318208"/>
      </c:scatterChart>
      <c:valAx>
        <c:axId val="2063162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0.206161137440758</a:t>
                </a:r>
              </a:p>
            </c:rich>
          </c:tx>
        </c:title>
        <c:numFmt formatCode="_(#,##0.0%_);_(\(#,##0.0%\)_);_(#,##0.0%_)" sourceLinked="1"/>
        <c:tickLblPos val="nextTo"/>
        <c:crossAx val="206318208"/>
        <c:crosses val="autoZero"/>
        <c:crossBetween val="midCat"/>
      </c:valAx>
      <c:valAx>
        <c:axId val="20631820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</c:title>
        <c:numFmt formatCode="#,##0.0\x" sourceLinked="1"/>
        <c:tickLblPos val="nextTo"/>
        <c:crossAx val="20631628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0.184417 Line Fit  Plot</a:t>
            </a:r>
          </a:p>
        </c:rich>
      </c:tx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MRegression!$I$6:$I$44</c:f>
              <c:numCache>
                <c:formatCode>_(#,##0.0%_);_(\(#,##0.0%\)_);_(#,##0.0%_)</c:formatCode>
                <c:ptCount val="39"/>
                <c:pt idx="0">
                  <c:v>7.35</c:v>
                </c:pt>
                <c:pt idx="1">
                  <c:v>5.49</c:v>
                </c:pt>
                <c:pt idx="2">
                  <c:v>4.2</c:v>
                </c:pt>
                <c:pt idx="3">
                  <c:v>-4.76</c:v>
                </c:pt>
                <c:pt idx="4">
                  <c:v>5.28</c:v>
                </c:pt>
                <c:pt idx="5">
                  <c:v>12.25</c:v>
                </c:pt>
                <c:pt idx="6">
                  <c:v>-8.35</c:v>
                </c:pt>
                <c:pt idx="7">
                  <c:v>2.02</c:v>
                </c:pt>
                <c:pt idx="8">
                  <c:v>22.97</c:v>
                </c:pt>
                <c:pt idx="9">
                  <c:v>8.98</c:v>
                </c:pt>
                <c:pt idx="10">
                  <c:v>5.2</c:v>
                </c:pt>
                <c:pt idx="11">
                  <c:v>18.489999999999998</c:v>
                </c:pt>
                <c:pt idx="12">
                  <c:v>1.26</c:v>
                </c:pt>
                <c:pt idx="13">
                  <c:v>5.04</c:v>
                </c:pt>
                <c:pt idx="14">
                  <c:v>3.68</c:v>
                </c:pt>
                <c:pt idx="15">
                  <c:v>-16.57</c:v>
                </c:pt>
                <c:pt idx="16">
                  <c:v>1.92</c:v>
                </c:pt>
                <c:pt idx="17">
                  <c:v>3.13</c:v>
                </c:pt>
                <c:pt idx="18">
                  <c:v>6.74</c:v>
                </c:pt>
                <c:pt idx="19">
                  <c:v>13.96</c:v>
                </c:pt>
                <c:pt idx="20">
                  <c:v>4.76</c:v>
                </c:pt>
                <c:pt idx="21">
                  <c:v>3.6</c:v>
                </c:pt>
                <c:pt idx="22">
                  <c:v>-33.89</c:v>
                </c:pt>
                <c:pt idx="23">
                  <c:v>3.54</c:v>
                </c:pt>
                <c:pt idx="24">
                  <c:v>2.86</c:v>
                </c:pt>
                <c:pt idx="25">
                  <c:v>8.7200000000000006</c:v>
                </c:pt>
                <c:pt idx="26">
                  <c:v>-9.15</c:v>
                </c:pt>
                <c:pt idx="27">
                  <c:v>4.4400000000000004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MRegression!$I$6:$I$44</c:f>
              <c:numCache>
                <c:formatCode>_(#,##0.0%_);_(\(#,##0.0%\)_);_(#,##0.0%_)</c:formatCode>
                <c:ptCount val="39"/>
                <c:pt idx="0">
                  <c:v>7.35</c:v>
                </c:pt>
                <c:pt idx="1">
                  <c:v>5.49</c:v>
                </c:pt>
                <c:pt idx="2">
                  <c:v>4.2</c:v>
                </c:pt>
                <c:pt idx="3">
                  <c:v>-4.76</c:v>
                </c:pt>
                <c:pt idx="4">
                  <c:v>5.28</c:v>
                </c:pt>
                <c:pt idx="5">
                  <c:v>12.25</c:v>
                </c:pt>
                <c:pt idx="6">
                  <c:v>-8.35</c:v>
                </c:pt>
                <c:pt idx="7">
                  <c:v>2.02</c:v>
                </c:pt>
                <c:pt idx="8">
                  <c:v>22.97</c:v>
                </c:pt>
                <c:pt idx="9">
                  <c:v>8.98</c:v>
                </c:pt>
                <c:pt idx="10">
                  <c:v>5.2</c:v>
                </c:pt>
                <c:pt idx="11">
                  <c:v>18.489999999999998</c:v>
                </c:pt>
                <c:pt idx="12">
                  <c:v>1.26</c:v>
                </c:pt>
                <c:pt idx="13">
                  <c:v>5.04</c:v>
                </c:pt>
                <c:pt idx="14">
                  <c:v>3.68</c:v>
                </c:pt>
                <c:pt idx="15">
                  <c:v>-16.57</c:v>
                </c:pt>
                <c:pt idx="16">
                  <c:v>1.92</c:v>
                </c:pt>
                <c:pt idx="17">
                  <c:v>3.13</c:v>
                </c:pt>
                <c:pt idx="18">
                  <c:v>6.74</c:v>
                </c:pt>
                <c:pt idx="19">
                  <c:v>13.96</c:v>
                </c:pt>
                <c:pt idx="20">
                  <c:v>4.76</c:v>
                </c:pt>
                <c:pt idx="21">
                  <c:v>3.6</c:v>
                </c:pt>
                <c:pt idx="22">
                  <c:v>-33.89</c:v>
                </c:pt>
                <c:pt idx="23">
                  <c:v>3.54</c:v>
                </c:pt>
                <c:pt idx="24">
                  <c:v>2.86</c:v>
                </c:pt>
                <c:pt idx="25">
                  <c:v>8.7200000000000006</c:v>
                </c:pt>
                <c:pt idx="26">
                  <c:v>-9.15</c:v>
                </c:pt>
                <c:pt idx="27">
                  <c:v>4.4400000000000004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</c:ser>
        <c:axId val="206339456"/>
        <c:axId val="206358016"/>
      </c:scatterChart>
      <c:valAx>
        <c:axId val="2063394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0.184417</a:t>
                </a:r>
              </a:p>
            </c:rich>
          </c:tx>
        </c:title>
        <c:numFmt formatCode="_(#,##0.0%_);_(\(#,##0.0%\)_);_(#,##0.0%_)" sourceLinked="1"/>
        <c:tickLblPos val="nextTo"/>
        <c:crossAx val="206358016"/>
        <c:crosses val="autoZero"/>
        <c:crossBetween val="midCat"/>
      </c:valAx>
      <c:valAx>
        <c:axId val="20635801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</c:title>
        <c:numFmt formatCode="#,##0.0\x" sourceLinked="1"/>
        <c:tickLblPos val="nextTo"/>
        <c:crossAx val="20633945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0.632254 Line Fit  Plot</a:t>
            </a:r>
          </a:p>
        </c:rich>
      </c:tx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MRegression!$E$6:$E$44</c:f>
              <c:numCache>
                <c:formatCode>_(#,##0.0%_);_(\(#,##0.0%\)_);_(#,##0.0%_)</c:formatCode>
                <c:ptCount val="39"/>
                <c:pt idx="0">
                  <c:v>3.7769611018878386</c:v>
                </c:pt>
                <c:pt idx="1">
                  <c:v>3.7939027839895854</c:v>
                </c:pt>
                <c:pt idx="2">
                  <c:v>3.0393189209114189</c:v>
                </c:pt>
                <c:pt idx="3">
                  <c:v>1.6694098672877826</c:v>
                </c:pt>
                <c:pt idx="4">
                  <c:v>3.0026799967838054</c:v>
                </c:pt>
                <c:pt idx="5">
                  <c:v>2.3732615061616817</c:v>
                </c:pt>
                <c:pt idx="6">
                  <c:v>1.7682680164515479</c:v>
                </c:pt>
                <c:pt idx="7">
                  <c:v>4.5</c:v>
                </c:pt>
                <c:pt idx="8">
                  <c:v>1.6474807731736756</c:v>
                </c:pt>
                <c:pt idx="9">
                  <c:v>3.5408310642373224</c:v>
                </c:pt>
                <c:pt idx="10">
                  <c:v>4.5</c:v>
                </c:pt>
                <c:pt idx="11">
                  <c:v>1.7531999141994159</c:v>
                </c:pt>
                <c:pt idx="12">
                  <c:v>1.2005769267548481</c:v>
                </c:pt>
                <c:pt idx="13">
                  <c:v>4.5216577487453833</c:v>
                </c:pt>
                <c:pt idx="14">
                  <c:v>2.1608585306799912</c:v>
                </c:pt>
                <c:pt idx="15">
                  <c:v>1.3868555291847242</c:v>
                </c:pt>
                <c:pt idx="16">
                  <c:v>1.2938043599193367</c:v>
                </c:pt>
                <c:pt idx="17">
                  <c:v>0.66838591669000014</c:v>
                </c:pt>
                <c:pt idx="18">
                  <c:v>2.0473138158153881</c:v>
                </c:pt>
                <c:pt idx="19">
                  <c:v>1.63978521298682</c:v>
                </c:pt>
                <c:pt idx="20">
                  <c:v>3.7980502275653722</c:v>
                </c:pt>
                <c:pt idx="21">
                  <c:v>2.2785935682411336</c:v>
                </c:pt>
                <c:pt idx="22">
                  <c:v>4.5</c:v>
                </c:pt>
                <c:pt idx="23">
                  <c:v>2.6770043618401727</c:v>
                </c:pt>
                <c:pt idx="24">
                  <c:v>2.5775147777733647</c:v>
                </c:pt>
                <c:pt idx="25">
                  <c:v>3.5383789110505259</c:v>
                </c:pt>
                <c:pt idx="26">
                  <c:v>2.6051110251239025</c:v>
                </c:pt>
                <c:pt idx="27">
                  <c:v>2.4383841070347136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MRegression!$E$6:$E$44</c:f>
              <c:numCache>
                <c:formatCode>_(#,##0.0%_);_(\(#,##0.0%\)_);_(#,##0.0%_)</c:formatCode>
                <c:ptCount val="39"/>
                <c:pt idx="0">
                  <c:v>3.7769611018878386</c:v>
                </c:pt>
                <c:pt idx="1">
                  <c:v>3.7939027839895854</c:v>
                </c:pt>
                <c:pt idx="2">
                  <c:v>3.0393189209114189</c:v>
                </c:pt>
                <c:pt idx="3">
                  <c:v>1.6694098672877826</c:v>
                </c:pt>
                <c:pt idx="4">
                  <c:v>3.0026799967838054</c:v>
                </c:pt>
                <c:pt idx="5">
                  <c:v>2.3732615061616817</c:v>
                </c:pt>
                <c:pt idx="6">
                  <c:v>1.7682680164515479</c:v>
                </c:pt>
                <c:pt idx="7">
                  <c:v>4.5</c:v>
                </c:pt>
                <c:pt idx="8">
                  <c:v>1.6474807731736756</c:v>
                </c:pt>
                <c:pt idx="9">
                  <c:v>3.5408310642373224</c:v>
                </c:pt>
                <c:pt idx="10">
                  <c:v>4.5</c:v>
                </c:pt>
                <c:pt idx="11">
                  <c:v>1.7531999141994159</c:v>
                </c:pt>
                <c:pt idx="12">
                  <c:v>1.2005769267548481</c:v>
                </c:pt>
                <c:pt idx="13">
                  <c:v>4.5216577487453833</c:v>
                </c:pt>
                <c:pt idx="14">
                  <c:v>2.1608585306799912</c:v>
                </c:pt>
                <c:pt idx="15">
                  <c:v>1.3868555291847242</c:v>
                </c:pt>
                <c:pt idx="16">
                  <c:v>1.2938043599193367</c:v>
                </c:pt>
                <c:pt idx="17">
                  <c:v>0.66838591669000014</c:v>
                </c:pt>
                <c:pt idx="18">
                  <c:v>2.0473138158153881</c:v>
                </c:pt>
                <c:pt idx="19">
                  <c:v>1.63978521298682</c:v>
                </c:pt>
                <c:pt idx="20">
                  <c:v>3.7980502275653722</c:v>
                </c:pt>
                <c:pt idx="21">
                  <c:v>2.2785935682411336</c:v>
                </c:pt>
                <c:pt idx="22">
                  <c:v>4.5</c:v>
                </c:pt>
                <c:pt idx="23">
                  <c:v>2.6770043618401727</c:v>
                </c:pt>
                <c:pt idx="24">
                  <c:v>2.5775147777733647</c:v>
                </c:pt>
                <c:pt idx="25">
                  <c:v>3.5383789110505259</c:v>
                </c:pt>
                <c:pt idx="26">
                  <c:v>2.6051110251239025</c:v>
                </c:pt>
                <c:pt idx="27">
                  <c:v>2.4383841070347136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'Test-regression'!$B$122:$B$160</c:f>
              <c:numCache>
                <c:formatCode>General</c:formatCode>
                <c:ptCount val="39"/>
                <c:pt idx="0">
                  <c:v>11.298709873969685</c:v>
                </c:pt>
                <c:pt idx="1">
                  <c:v>11.320771983171769</c:v>
                </c:pt>
                <c:pt idx="2">
                  <c:v>10.963307321689461</c:v>
                </c:pt>
                <c:pt idx="3">
                  <c:v>10.740510723745164</c:v>
                </c:pt>
                <c:pt idx="4">
                  <c:v>10.378982661503835</c:v>
                </c:pt>
                <c:pt idx="5">
                  <c:v>11.445720900953431</c:v>
                </c:pt>
                <c:pt idx="6">
                  <c:v>10.485863871502239</c:v>
                </c:pt>
                <c:pt idx="7">
                  <c:v>11.13327871752808</c:v>
                </c:pt>
                <c:pt idx="8">
                  <c:v>11.386309664973931</c:v>
                </c:pt>
                <c:pt idx="9">
                  <c:v>10.489742012599413</c:v>
                </c:pt>
                <c:pt idx="10">
                  <c:v>10.090839030484084</c:v>
                </c:pt>
                <c:pt idx="11">
                  <c:v>10.62976906084273</c:v>
                </c:pt>
                <c:pt idx="12">
                  <c:v>9.3038441794855729</c:v>
                </c:pt>
                <c:pt idx="13">
                  <c:v>9.8525518985113933</c:v>
                </c:pt>
                <c:pt idx="14">
                  <c:v>9.2710777401060742</c:v>
                </c:pt>
                <c:pt idx="15">
                  <c:v>9.0780662586205434</c:v>
                </c:pt>
                <c:pt idx="16">
                  <c:v>8.8939058297710005</c:v>
                </c:pt>
                <c:pt idx="17">
                  <c:v>9.1141091593705017</c:v>
                </c:pt>
                <c:pt idx="18">
                  <c:v>8.3666093702630473</c:v>
                </c:pt>
                <c:pt idx="19">
                  <c:v>6.0157173794343226</c:v>
                </c:pt>
                <c:pt idx="20">
                  <c:v>5.0966468801122167</c:v>
                </c:pt>
                <c:pt idx="21">
                  <c:v>7.9558290483052136</c:v>
                </c:pt>
                <c:pt idx="22">
                  <c:v>8.7617085867356277</c:v>
                </c:pt>
                <c:pt idx="23">
                  <c:v>9.5313284856301408</c:v>
                </c:pt>
                <c:pt idx="24">
                  <c:v>10.869698570743907</c:v>
                </c:pt>
                <c:pt idx="25">
                  <c:v>9.8956016329860592</c:v>
                </c:pt>
                <c:pt idx="26">
                  <c:v>9.2844008925257242</c:v>
                </c:pt>
                <c:pt idx="27">
                  <c:v>8.4489280846800874</c:v>
                </c:pt>
                <c:pt idx="28">
                  <c:v>9.4736478983219623</c:v>
                </c:pt>
                <c:pt idx="29">
                  <c:v>9.625655228728494</c:v>
                </c:pt>
                <c:pt idx="30">
                  <c:v>8.9708310654330905</c:v>
                </c:pt>
                <c:pt idx="31">
                  <c:v>9.2622835753791506</c:v>
                </c:pt>
                <c:pt idx="32">
                  <c:v>9.7386112895096915</c:v>
                </c:pt>
                <c:pt idx="33">
                  <c:v>9.2481065220639351</c:v>
                </c:pt>
                <c:pt idx="34">
                  <c:v>9.2060973117202192</c:v>
                </c:pt>
                <c:pt idx="35">
                  <c:v>8.8884330385348651</c:v>
                </c:pt>
                <c:pt idx="36">
                  <c:v>9.2317867931854956</c:v>
                </c:pt>
                <c:pt idx="37">
                  <c:v>9.2997740549073793</c:v>
                </c:pt>
                <c:pt idx="38">
                  <c:v>9.5786104019704847</c:v>
                </c:pt>
              </c:numCache>
            </c:numRef>
          </c:yVal>
        </c:ser>
        <c:axId val="206178560"/>
        <c:axId val="206205312"/>
      </c:scatterChart>
      <c:valAx>
        <c:axId val="2061785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0.632254</a:t>
                </a:r>
              </a:p>
            </c:rich>
          </c:tx>
        </c:title>
        <c:numFmt formatCode="_(#,##0.0%_);_(\(#,##0.0%\)_);_(#,##0.0%_)" sourceLinked="1"/>
        <c:tickLblPos val="nextTo"/>
        <c:crossAx val="206205312"/>
        <c:crosses val="autoZero"/>
        <c:crossBetween val="midCat"/>
      </c:valAx>
      <c:valAx>
        <c:axId val="20620531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</c:title>
        <c:numFmt formatCode="#,##0.0\x" sourceLinked="1"/>
        <c:tickLblPos val="nextTo"/>
        <c:crossAx val="20617856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0.163405 Line Fit  Plot</a:t>
            </a:r>
          </a:p>
        </c:rich>
      </c:tx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MRegression!$F$6:$F$44</c:f>
              <c:numCache>
                <c:formatCode>#,##0.0\x</c:formatCode>
                <c:ptCount val="39"/>
                <c:pt idx="0">
                  <c:v>23.3</c:v>
                </c:pt>
                <c:pt idx="1">
                  <c:v>6.7</c:v>
                </c:pt>
                <c:pt idx="2">
                  <c:v>6</c:v>
                </c:pt>
                <c:pt idx="3">
                  <c:v>16.3</c:v>
                </c:pt>
                <c:pt idx="4">
                  <c:v>12.3</c:v>
                </c:pt>
                <c:pt idx="5">
                  <c:v>8.4</c:v>
                </c:pt>
                <c:pt idx="6">
                  <c:v>19</c:v>
                </c:pt>
                <c:pt idx="7">
                  <c:v>7.4</c:v>
                </c:pt>
                <c:pt idx="8">
                  <c:v>16.8</c:v>
                </c:pt>
                <c:pt idx="9">
                  <c:v>15.7</c:v>
                </c:pt>
                <c:pt idx="10">
                  <c:v>7.9</c:v>
                </c:pt>
                <c:pt idx="11">
                  <c:v>6.9</c:v>
                </c:pt>
                <c:pt idx="12">
                  <c:v>23.3</c:v>
                </c:pt>
                <c:pt idx="13">
                  <c:v>7.9</c:v>
                </c:pt>
                <c:pt idx="14">
                  <c:v>14.5</c:v>
                </c:pt>
                <c:pt idx="15">
                  <c:v>9.9</c:v>
                </c:pt>
                <c:pt idx="16">
                  <c:v>6.6</c:v>
                </c:pt>
                <c:pt idx="17">
                  <c:v>3.2</c:v>
                </c:pt>
                <c:pt idx="18">
                  <c:v>11.1</c:v>
                </c:pt>
                <c:pt idx="19">
                  <c:v>10.9</c:v>
                </c:pt>
                <c:pt idx="20">
                  <c:v>8.6</c:v>
                </c:pt>
                <c:pt idx="21">
                  <c:v>11.4</c:v>
                </c:pt>
                <c:pt idx="22">
                  <c:v>23</c:v>
                </c:pt>
                <c:pt idx="23">
                  <c:v>7.1</c:v>
                </c:pt>
                <c:pt idx="24">
                  <c:v>8.9</c:v>
                </c:pt>
                <c:pt idx="25">
                  <c:v>15</c:v>
                </c:pt>
                <c:pt idx="26">
                  <c:v>13.6</c:v>
                </c:pt>
                <c:pt idx="27">
                  <c:v>9.5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MRegression!$F$6:$F$44</c:f>
              <c:numCache>
                <c:formatCode>#,##0.0\x</c:formatCode>
                <c:ptCount val="39"/>
                <c:pt idx="0">
                  <c:v>23.3</c:v>
                </c:pt>
                <c:pt idx="1">
                  <c:v>6.7</c:v>
                </c:pt>
                <c:pt idx="2">
                  <c:v>6</c:v>
                </c:pt>
                <c:pt idx="3">
                  <c:v>16.3</c:v>
                </c:pt>
                <c:pt idx="4">
                  <c:v>12.3</c:v>
                </c:pt>
                <c:pt idx="5">
                  <c:v>8.4</c:v>
                </c:pt>
                <c:pt idx="6">
                  <c:v>19</c:v>
                </c:pt>
                <c:pt idx="7">
                  <c:v>7.4</c:v>
                </c:pt>
                <c:pt idx="8">
                  <c:v>16.8</c:v>
                </c:pt>
                <c:pt idx="9">
                  <c:v>15.7</c:v>
                </c:pt>
                <c:pt idx="10">
                  <c:v>7.9</c:v>
                </c:pt>
                <c:pt idx="11">
                  <c:v>6.9</c:v>
                </c:pt>
                <c:pt idx="12">
                  <c:v>23.3</c:v>
                </c:pt>
                <c:pt idx="13">
                  <c:v>7.9</c:v>
                </c:pt>
                <c:pt idx="14">
                  <c:v>14.5</c:v>
                </c:pt>
                <c:pt idx="15">
                  <c:v>9.9</c:v>
                </c:pt>
                <c:pt idx="16">
                  <c:v>6.6</c:v>
                </c:pt>
                <c:pt idx="17">
                  <c:v>3.2</c:v>
                </c:pt>
                <c:pt idx="18">
                  <c:v>11.1</c:v>
                </c:pt>
                <c:pt idx="19">
                  <c:v>10.9</c:v>
                </c:pt>
                <c:pt idx="20">
                  <c:v>8.6</c:v>
                </c:pt>
                <c:pt idx="21">
                  <c:v>11.4</c:v>
                </c:pt>
                <c:pt idx="22">
                  <c:v>23</c:v>
                </c:pt>
                <c:pt idx="23">
                  <c:v>7.1</c:v>
                </c:pt>
                <c:pt idx="24">
                  <c:v>8.9</c:v>
                </c:pt>
                <c:pt idx="25">
                  <c:v>15</c:v>
                </c:pt>
                <c:pt idx="26">
                  <c:v>13.6</c:v>
                </c:pt>
                <c:pt idx="27">
                  <c:v>9.5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'Test-regression'!$B$122:$B$160</c:f>
              <c:numCache>
                <c:formatCode>General</c:formatCode>
                <c:ptCount val="39"/>
                <c:pt idx="0">
                  <c:v>11.298709873969685</c:v>
                </c:pt>
                <c:pt idx="1">
                  <c:v>11.320771983171769</c:v>
                </c:pt>
                <c:pt idx="2">
                  <c:v>10.963307321689461</c:v>
                </c:pt>
                <c:pt idx="3">
                  <c:v>10.740510723745164</c:v>
                </c:pt>
                <c:pt idx="4">
                  <c:v>10.378982661503835</c:v>
                </c:pt>
                <c:pt idx="5">
                  <c:v>11.445720900953431</c:v>
                </c:pt>
                <c:pt idx="6">
                  <c:v>10.485863871502239</c:v>
                </c:pt>
                <c:pt idx="7">
                  <c:v>11.13327871752808</c:v>
                </c:pt>
                <c:pt idx="8">
                  <c:v>11.386309664973931</c:v>
                </c:pt>
                <c:pt idx="9">
                  <c:v>10.489742012599413</c:v>
                </c:pt>
                <c:pt idx="10">
                  <c:v>10.090839030484084</c:v>
                </c:pt>
                <c:pt idx="11">
                  <c:v>10.62976906084273</c:v>
                </c:pt>
                <c:pt idx="12">
                  <c:v>9.3038441794855729</c:v>
                </c:pt>
                <c:pt idx="13">
                  <c:v>9.8525518985113933</c:v>
                </c:pt>
                <c:pt idx="14">
                  <c:v>9.2710777401060742</c:v>
                </c:pt>
                <c:pt idx="15">
                  <c:v>9.0780662586205434</c:v>
                </c:pt>
                <c:pt idx="16">
                  <c:v>8.8939058297710005</c:v>
                </c:pt>
                <c:pt idx="17">
                  <c:v>9.1141091593705017</c:v>
                </c:pt>
                <c:pt idx="18">
                  <c:v>8.3666093702630473</c:v>
                </c:pt>
                <c:pt idx="19">
                  <c:v>6.0157173794343226</c:v>
                </c:pt>
                <c:pt idx="20">
                  <c:v>5.0966468801122167</c:v>
                </c:pt>
                <c:pt idx="21">
                  <c:v>7.9558290483052136</c:v>
                </c:pt>
                <c:pt idx="22">
                  <c:v>8.7617085867356277</c:v>
                </c:pt>
                <c:pt idx="23">
                  <c:v>9.5313284856301408</c:v>
                </c:pt>
                <c:pt idx="24">
                  <c:v>10.869698570743907</c:v>
                </c:pt>
                <c:pt idx="25">
                  <c:v>9.8956016329860592</c:v>
                </c:pt>
                <c:pt idx="26">
                  <c:v>9.2844008925257242</c:v>
                </c:pt>
                <c:pt idx="27">
                  <c:v>8.4489280846800874</c:v>
                </c:pt>
                <c:pt idx="28">
                  <c:v>9.4736478983219623</c:v>
                </c:pt>
                <c:pt idx="29">
                  <c:v>9.625655228728494</c:v>
                </c:pt>
                <c:pt idx="30">
                  <c:v>8.9708310654330905</c:v>
                </c:pt>
                <c:pt idx="31">
                  <c:v>9.2622835753791506</c:v>
                </c:pt>
                <c:pt idx="32">
                  <c:v>9.7386112895096915</c:v>
                </c:pt>
                <c:pt idx="33">
                  <c:v>9.2481065220639351</c:v>
                </c:pt>
                <c:pt idx="34">
                  <c:v>9.2060973117202192</c:v>
                </c:pt>
                <c:pt idx="35">
                  <c:v>8.8884330385348651</c:v>
                </c:pt>
                <c:pt idx="36">
                  <c:v>9.2317867931854956</c:v>
                </c:pt>
                <c:pt idx="37">
                  <c:v>9.2997740549073793</c:v>
                </c:pt>
                <c:pt idx="38">
                  <c:v>9.5786104019704847</c:v>
                </c:pt>
              </c:numCache>
            </c:numRef>
          </c:yVal>
        </c:ser>
        <c:axId val="206222464"/>
        <c:axId val="206224384"/>
      </c:scatterChart>
      <c:valAx>
        <c:axId val="2062224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0.163405</a:t>
                </a:r>
              </a:p>
            </c:rich>
          </c:tx>
        </c:title>
        <c:numFmt formatCode="#,##0.0\x" sourceLinked="1"/>
        <c:tickLblPos val="nextTo"/>
        <c:crossAx val="206224384"/>
        <c:crosses val="autoZero"/>
        <c:crossBetween val="midCat"/>
      </c:valAx>
      <c:valAx>
        <c:axId val="20622438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</c:title>
        <c:numFmt formatCode="#,##0.0\x" sourceLinked="1"/>
        <c:tickLblPos val="nextTo"/>
        <c:crossAx val="2062224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0.184417 Line Fit  Plot</a:t>
            </a:r>
          </a:p>
        </c:rich>
      </c:tx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MRegression!$G$6:$G$44</c:f>
              <c:numCache>
                <c:formatCode>_(#,##0.0%_);_(\(#,##0.0%\)_);_(#,##0.0%_)</c:formatCode>
                <c:ptCount val="39"/>
                <c:pt idx="0">
                  <c:v>2.8220000000000001</c:v>
                </c:pt>
                <c:pt idx="1">
                  <c:v>1.383</c:v>
                </c:pt>
                <c:pt idx="2">
                  <c:v>3.1779999999999999</c:v>
                </c:pt>
                <c:pt idx="3">
                  <c:v>1.8680000000000001</c:v>
                </c:pt>
                <c:pt idx="4">
                  <c:v>1.794</c:v>
                </c:pt>
                <c:pt idx="5">
                  <c:v>3.254</c:v>
                </c:pt>
                <c:pt idx="6">
                  <c:v>2</c:v>
                </c:pt>
                <c:pt idx="7">
                  <c:v>1.431</c:v>
                </c:pt>
                <c:pt idx="8">
                  <c:v>2.9910000000000001</c:v>
                </c:pt>
                <c:pt idx="9">
                  <c:v>0.97499999999999998</c:v>
                </c:pt>
                <c:pt idx="10">
                  <c:v>3.8410000000000002</c:v>
                </c:pt>
                <c:pt idx="11">
                  <c:v>0.433</c:v>
                </c:pt>
                <c:pt idx="12">
                  <c:v>5.0810000000000004</c:v>
                </c:pt>
                <c:pt idx="13">
                  <c:v>1.7090000000000001</c:v>
                </c:pt>
                <c:pt idx="14">
                  <c:v>3.085</c:v>
                </c:pt>
                <c:pt idx="15">
                  <c:v>2.2999999999999998</c:v>
                </c:pt>
                <c:pt idx="16">
                  <c:v>1.849</c:v>
                </c:pt>
                <c:pt idx="17">
                  <c:v>1.1519999999999999</c:v>
                </c:pt>
                <c:pt idx="18">
                  <c:v>1.268</c:v>
                </c:pt>
                <c:pt idx="19">
                  <c:v>2.778</c:v>
                </c:pt>
                <c:pt idx="20">
                  <c:v>3.3119999999999998</c:v>
                </c:pt>
                <c:pt idx="21">
                  <c:v>2.1520000000000001</c:v>
                </c:pt>
                <c:pt idx="22">
                  <c:v>1.91</c:v>
                </c:pt>
                <c:pt idx="23">
                  <c:v>2.145</c:v>
                </c:pt>
                <c:pt idx="24">
                  <c:v>0</c:v>
                </c:pt>
                <c:pt idx="25">
                  <c:v>0.85</c:v>
                </c:pt>
                <c:pt idx="26">
                  <c:v>5.2060000000000004</c:v>
                </c:pt>
                <c:pt idx="27">
                  <c:v>5.306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MRegression!$G$6:$G$44</c:f>
              <c:numCache>
                <c:formatCode>_(#,##0.0%_);_(\(#,##0.0%\)_);_(#,##0.0%_)</c:formatCode>
                <c:ptCount val="39"/>
                <c:pt idx="0">
                  <c:v>2.8220000000000001</c:v>
                </c:pt>
                <c:pt idx="1">
                  <c:v>1.383</c:v>
                </c:pt>
                <c:pt idx="2">
                  <c:v>3.1779999999999999</c:v>
                </c:pt>
                <c:pt idx="3">
                  <c:v>1.8680000000000001</c:v>
                </c:pt>
                <c:pt idx="4">
                  <c:v>1.794</c:v>
                </c:pt>
                <c:pt idx="5">
                  <c:v>3.254</c:v>
                </c:pt>
                <c:pt idx="6">
                  <c:v>2</c:v>
                </c:pt>
                <c:pt idx="7">
                  <c:v>1.431</c:v>
                </c:pt>
                <c:pt idx="8">
                  <c:v>2.9910000000000001</c:v>
                </c:pt>
                <c:pt idx="9">
                  <c:v>0.97499999999999998</c:v>
                </c:pt>
                <c:pt idx="10">
                  <c:v>3.8410000000000002</c:v>
                </c:pt>
                <c:pt idx="11">
                  <c:v>0.433</c:v>
                </c:pt>
                <c:pt idx="12">
                  <c:v>5.0810000000000004</c:v>
                </c:pt>
                <c:pt idx="13">
                  <c:v>1.7090000000000001</c:v>
                </c:pt>
                <c:pt idx="14">
                  <c:v>3.085</c:v>
                </c:pt>
                <c:pt idx="15">
                  <c:v>2.2999999999999998</c:v>
                </c:pt>
                <c:pt idx="16">
                  <c:v>1.849</c:v>
                </c:pt>
                <c:pt idx="17">
                  <c:v>1.1519999999999999</c:v>
                </c:pt>
                <c:pt idx="18">
                  <c:v>1.268</c:v>
                </c:pt>
                <c:pt idx="19">
                  <c:v>2.778</c:v>
                </c:pt>
                <c:pt idx="20">
                  <c:v>3.3119999999999998</c:v>
                </c:pt>
                <c:pt idx="21">
                  <c:v>2.1520000000000001</c:v>
                </c:pt>
                <c:pt idx="22">
                  <c:v>1.91</c:v>
                </c:pt>
                <c:pt idx="23">
                  <c:v>2.145</c:v>
                </c:pt>
                <c:pt idx="24">
                  <c:v>0</c:v>
                </c:pt>
                <c:pt idx="25">
                  <c:v>0.85</c:v>
                </c:pt>
                <c:pt idx="26">
                  <c:v>5.2060000000000004</c:v>
                </c:pt>
                <c:pt idx="27">
                  <c:v>5.306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'Test-regression'!$B$122:$B$160</c:f>
              <c:numCache>
                <c:formatCode>General</c:formatCode>
                <c:ptCount val="39"/>
                <c:pt idx="0">
                  <c:v>11.298709873969685</c:v>
                </c:pt>
                <c:pt idx="1">
                  <c:v>11.320771983171769</c:v>
                </c:pt>
                <c:pt idx="2">
                  <c:v>10.963307321689461</c:v>
                </c:pt>
                <c:pt idx="3">
                  <c:v>10.740510723745164</c:v>
                </c:pt>
                <c:pt idx="4">
                  <c:v>10.378982661503835</c:v>
                </c:pt>
                <c:pt idx="5">
                  <c:v>11.445720900953431</c:v>
                </c:pt>
                <c:pt idx="6">
                  <c:v>10.485863871502239</c:v>
                </c:pt>
                <c:pt idx="7">
                  <c:v>11.13327871752808</c:v>
                </c:pt>
                <c:pt idx="8">
                  <c:v>11.386309664973931</c:v>
                </c:pt>
                <c:pt idx="9">
                  <c:v>10.489742012599413</c:v>
                </c:pt>
                <c:pt idx="10">
                  <c:v>10.090839030484084</c:v>
                </c:pt>
                <c:pt idx="11">
                  <c:v>10.62976906084273</c:v>
                </c:pt>
                <c:pt idx="12">
                  <c:v>9.3038441794855729</c:v>
                </c:pt>
                <c:pt idx="13">
                  <c:v>9.8525518985113933</c:v>
                </c:pt>
                <c:pt idx="14">
                  <c:v>9.2710777401060742</c:v>
                </c:pt>
                <c:pt idx="15">
                  <c:v>9.0780662586205434</c:v>
                </c:pt>
                <c:pt idx="16">
                  <c:v>8.8939058297710005</c:v>
                </c:pt>
                <c:pt idx="17">
                  <c:v>9.1141091593705017</c:v>
                </c:pt>
                <c:pt idx="18">
                  <c:v>8.3666093702630473</c:v>
                </c:pt>
                <c:pt idx="19">
                  <c:v>6.0157173794343226</c:v>
                </c:pt>
                <c:pt idx="20">
                  <c:v>5.0966468801122167</c:v>
                </c:pt>
                <c:pt idx="21">
                  <c:v>7.9558290483052136</c:v>
                </c:pt>
                <c:pt idx="22">
                  <c:v>8.7617085867356277</c:v>
                </c:pt>
                <c:pt idx="23">
                  <c:v>9.5313284856301408</c:v>
                </c:pt>
                <c:pt idx="24">
                  <c:v>10.869698570743907</c:v>
                </c:pt>
                <c:pt idx="25">
                  <c:v>9.8956016329860592</c:v>
                </c:pt>
                <c:pt idx="26">
                  <c:v>9.2844008925257242</c:v>
                </c:pt>
                <c:pt idx="27">
                  <c:v>8.4489280846800874</c:v>
                </c:pt>
                <c:pt idx="28">
                  <c:v>9.4736478983219623</c:v>
                </c:pt>
                <c:pt idx="29">
                  <c:v>9.625655228728494</c:v>
                </c:pt>
                <c:pt idx="30">
                  <c:v>8.9708310654330905</c:v>
                </c:pt>
                <c:pt idx="31">
                  <c:v>9.2622835753791506</c:v>
                </c:pt>
                <c:pt idx="32">
                  <c:v>9.7386112895096915</c:v>
                </c:pt>
                <c:pt idx="33">
                  <c:v>9.2481065220639351</c:v>
                </c:pt>
                <c:pt idx="34">
                  <c:v>9.2060973117202192</c:v>
                </c:pt>
                <c:pt idx="35">
                  <c:v>8.8884330385348651</c:v>
                </c:pt>
                <c:pt idx="36">
                  <c:v>9.2317867931854956</c:v>
                </c:pt>
                <c:pt idx="37">
                  <c:v>9.2997740549073793</c:v>
                </c:pt>
                <c:pt idx="38">
                  <c:v>9.5786104019704847</c:v>
                </c:pt>
              </c:numCache>
            </c:numRef>
          </c:yVal>
        </c:ser>
        <c:axId val="206282752"/>
        <c:axId val="206284672"/>
      </c:scatterChart>
      <c:valAx>
        <c:axId val="2062827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0.184417</a:t>
                </a:r>
              </a:p>
            </c:rich>
          </c:tx>
        </c:title>
        <c:numFmt formatCode="_(#,##0.0%_);_(\(#,##0.0%\)_);_(#,##0.0%_)" sourceLinked="1"/>
        <c:tickLblPos val="nextTo"/>
        <c:crossAx val="206284672"/>
        <c:crosses val="autoZero"/>
        <c:crossBetween val="midCat"/>
      </c:valAx>
      <c:valAx>
        <c:axId val="20628467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</c:title>
        <c:numFmt formatCode="#,##0.0\x" sourceLinked="1"/>
        <c:tickLblPos val="nextTo"/>
        <c:crossAx val="20628275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0.206161137440758 Line Fit  Plot</a:t>
            </a:r>
          </a:p>
        </c:rich>
      </c:tx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MRegression!$H$6:$H$44</c:f>
              <c:numCache>
                <c:formatCode>_(#,##0.0%_);_(\(#,##0.0%\)_);_(#,##0.0%_)</c:formatCode>
                <c:ptCount val="39"/>
                <c:pt idx="0">
                  <c:v>43.878</c:v>
                </c:pt>
                <c:pt idx="1">
                  <c:v>47.604999999999997</c:v>
                </c:pt>
                <c:pt idx="2">
                  <c:v>73.75</c:v>
                </c:pt>
                <c:pt idx="3">
                  <c:v>103.486</c:v>
                </c:pt>
                <c:pt idx="4">
                  <c:v>31.420999999999999</c:v>
                </c:pt>
                <c:pt idx="5">
                  <c:v>112.07599999999999</c:v>
                </c:pt>
                <c:pt idx="6">
                  <c:v>82.049000000000007</c:v>
                </c:pt>
                <c:pt idx="7">
                  <c:v>29.521999999999998</c:v>
                </c:pt>
                <c:pt idx="8">
                  <c:v>65.185000000000002</c:v>
                </c:pt>
                <c:pt idx="9">
                  <c:v>26.202999999999999</c:v>
                </c:pt>
                <c:pt idx="10">
                  <c:v>11.54</c:v>
                </c:pt>
                <c:pt idx="11">
                  <c:v>61.848999999999997</c:v>
                </c:pt>
                <c:pt idx="12">
                  <c:v>112</c:v>
                </c:pt>
                <c:pt idx="13">
                  <c:v>19.646000000000001</c:v>
                </c:pt>
                <c:pt idx="14">
                  <c:v>26.344000000000001</c:v>
                </c:pt>
                <c:pt idx="15">
                  <c:v>63.185000000000002</c:v>
                </c:pt>
                <c:pt idx="16">
                  <c:v>67.024000000000001</c:v>
                </c:pt>
                <c:pt idx="17">
                  <c:v>26.568000000000001</c:v>
                </c:pt>
                <c:pt idx="18">
                  <c:v>105.297</c:v>
                </c:pt>
                <c:pt idx="19">
                  <c:v>34.716000000000001</c:v>
                </c:pt>
                <c:pt idx="20">
                  <c:v>24.498999999999999</c:v>
                </c:pt>
                <c:pt idx="21">
                  <c:v>45.140999999999998</c:v>
                </c:pt>
                <c:pt idx="22">
                  <c:v>103.312</c:v>
                </c:pt>
                <c:pt idx="23">
                  <c:v>24.538</c:v>
                </c:pt>
                <c:pt idx="24">
                  <c:v>56.74</c:v>
                </c:pt>
                <c:pt idx="25">
                  <c:v>36.582999999999998</c:v>
                </c:pt>
                <c:pt idx="26">
                  <c:v>103.54900000000001</c:v>
                </c:pt>
                <c:pt idx="27">
                  <c:v>112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MRegression!$H$6:$H$44</c:f>
              <c:numCache>
                <c:formatCode>_(#,##0.0%_);_(\(#,##0.0%\)_);_(#,##0.0%_)</c:formatCode>
                <c:ptCount val="39"/>
                <c:pt idx="0">
                  <c:v>43.878</c:v>
                </c:pt>
                <c:pt idx="1">
                  <c:v>47.604999999999997</c:v>
                </c:pt>
                <c:pt idx="2">
                  <c:v>73.75</c:v>
                </c:pt>
                <c:pt idx="3">
                  <c:v>103.486</c:v>
                </c:pt>
                <c:pt idx="4">
                  <c:v>31.420999999999999</c:v>
                </c:pt>
                <c:pt idx="5">
                  <c:v>112.07599999999999</c:v>
                </c:pt>
                <c:pt idx="6">
                  <c:v>82.049000000000007</c:v>
                </c:pt>
                <c:pt idx="7">
                  <c:v>29.521999999999998</c:v>
                </c:pt>
                <c:pt idx="8">
                  <c:v>65.185000000000002</c:v>
                </c:pt>
                <c:pt idx="9">
                  <c:v>26.202999999999999</c:v>
                </c:pt>
                <c:pt idx="10">
                  <c:v>11.54</c:v>
                </c:pt>
                <c:pt idx="11">
                  <c:v>61.848999999999997</c:v>
                </c:pt>
                <c:pt idx="12">
                  <c:v>112</c:v>
                </c:pt>
                <c:pt idx="13">
                  <c:v>19.646000000000001</c:v>
                </c:pt>
                <c:pt idx="14">
                  <c:v>26.344000000000001</c:v>
                </c:pt>
                <c:pt idx="15">
                  <c:v>63.185000000000002</c:v>
                </c:pt>
                <c:pt idx="16">
                  <c:v>67.024000000000001</c:v>
                </c:pt>
                <c:pt idx="17">
                  <c:v>26.568000000000001</c:v>
                </c:pt>
                <c:pt idx="18">
                  <c:v>105.297</c:v>
                </c:pt>
                <c:pt idx="19">
                  <c:v>34.716000000000001</c:v>
                </c:pt>
                <c:pt idx="20">
                  <c:v>24.498999999999999</c:v>
                </c:pt>
                <c:pt idx="21">
                  <c:v>45.140999999999998</c:v>
                </c:pt>
                <c:pt idx="22">
                  <c:v>103.312</c:v>
                </c:pt>
                <c:pt idx="23">
                  <c:v>24.538</c:v>
                </c:pt>
                <c:pt idx="24">
                  <c:v>56.74</c:v>
                </c:pt>
                <c:pt idx="25">
                  <c:v>36.582999999999998</c:v>
                </c:pt>
                <c:pt idx="26">
                  <c:v>103.54900000000001</c:v>
                </c:pt>
                <c:pt idx="27">
                  <c:v>112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'Test-regression'!$B$122:$B$160</c:f>
              <c:numCache>
                <c:formatCode>General</c:formatCode>
                <c:ptCount val="39"/>
                <c:pt idx="0">
                  <c:v>11.298709873969685</c:v>
                </c:pt>
                <c:pt idx="1">
                  <c:v>11.320771983171769</c:v>
                </c:pt>
                <c:pt idx="2">
                  <c:v>10.963307321689461</c:v>
                </c:pt>
                <c:pt idx="3">
                  <c:v>10.740510723745164</c:v>
                </c:pt>
                <c:pt idx="4">
                  <c:v>10.378982661503835</c:v>
                </c:pt>
                <c:pt idx="5">
                  <c:v>11.445720900953431</c:v>
                </c:pt>
                <c:pt idx="6">
                  <c:v>10.485863871502239</c:v>
                </c:pt>
                <c:pt idx="7">
                  <c:v>11.13327871752808</c:v>
                </c:pt>
                <c:pt idx="8">
                  <c:v>11.386309664973931</c:v>
                </c:pt>
                <c:pt idx="9">
                  <c:v>10.489742012599413</c:v>
                </c:pt>
                <c:pt idx="10">
                  <c:v>10.090839030484084</c:v>
                </c:pt>
                <c:pt idx="11">
                  <c:v>10.62976906084273</c:v>
                </c:pt>
                <c:pt idx="12">
                  <c:v>9.3038441794855729</c:v>
                </c:pt>
                <c:pt idx="13">
                  <c:v>9.8525518985113933</c:v>
                </c:pt>
                <c:pt idx="14">
                  <c:v>9.2710777401060742</c:v>
                </c:pt>
                <c:pt idx="15">
                  <c:v>9.0780662586205434</c:v>
                </c:pt>
                <c:pt idx="16">
                  <c:v>8.8939058297710005</c:v>
                </c:pt>
                <c:pt idx="17">
                  <c:v>9.1141091593705017</c:v>
                </c:pt>
                <c:pt idx="18">
                  <c:v>8.3666093702630473</c:v>
                </c:pt>
                <c:pt idx="19">
                  <c:v>6.0157173794343226</c:v>
                </c:pt>
                <c:pt idx="20">
                  <c:v>5.0966468801122167</c:v>
                </c:pt>
                <c:pt idx="21">
                  <c:v>7.9558290483052136</c:v>
                </c:pt>
                <c:pt idx="22">
                  <c:v>8.7617085867356277</c:v>
                </c:pt>
                <c:pt idx="23">
                  <c:v>9.5313284856301408</c:v>
                </c:pt>
                <c:pt idx="24">
                  <c:v>10.869698570743907</c:v>
                </c:pt>
                <c:pt idx="25">
                  <c:v>9.8956016329860592</c:v>
                </c:pt>
                <c:pt idx="26">
                  <c:v>9.2844008925257242</c:v>
                </c:pt>
                <c:pt idx="27">
                  <c:v>8.4489280846800874</c:v>
                </c:pt>
                <c:pt idx="28">
                  <c:v>9.4736478983219623</c:v>
                </c:pt>
                <c:pt idx="29">
                  <c:v>9.625655228728494</c:v>
                </c:pt>
                <c:pt idx="30">
                  <c:v>8.9708310654330905</c:v>
                </c:pt>
                <c:pt idx="31">
                  <c:v>9.2622835753791506</c:v>
                </c:pt>
                <c:pt idx="32">
                  <c:v>9.7386112895096915</c:v>
                </c:pt>
                <c:pt idx="33">
                  <c:v>9.2481065220639351</c:v>
                </c:pt>
                <c:pt idx="34">
                  <c:v>9.2060973117202192</c:v>
                </c:pt>
                <c:pt idx="35">
                  <c:v>8.8884330385348651</c:v>
                </c:pt>
                <c:pt idx="36">
                  <c:v>9.2317867931854956</c:v>
                </c:pt>
                <c:pt idx="37">
                  <c:v>9.2997740549073793</c:v>
                </c:pt>
                <c:pt idx="38">
                  <c:v>9.5786104019704847</c:v>
                </c:pt>
              </c:numCache>
            </c:numRef>
          </c:yVal>
        </c:ser>
        <c:axId val="206281728"/>
        <c:axId val="206398592"/>
      </c:scatterChart>
      <c:valAx>
        <c:axId val="2062817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0.206161137440758</a:t>
                </a:r>
              </a:p>
            </c:rich>
          </c:tx>
        </c:title>
        <c:numFmt formatCode="_(#,##0.0%_);_(\(#,##0.0%\)_);_(#,##0.0%_)" sourceLinked="1"/>
        <c:tickLblPos val="nextTo"/>
        <c:crossAx val="206398592"/>
        <c:crosses val="autoZero"/>
        <c:crossBetween val="midCat"/>
      </c:valAx>
      <c:valAx>
        <c:axId val="2063985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</c:title>
        <c:numFmt formatCode="#,##0.0\x" sourceLinked="1"/>
        <c:tickLblPos val="nextTo"/>
        <c:crossAx val="20628172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rendline>
            <c:trendlineType val="linear"/>
          </c:trendline>
          <c:cat>
            <c:numRef>
              <c:f>Basics!$B$7:$B$11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5</c:v>
                </c:pt>
                <c:pt idx="4">
                  <c:v>10</c:v>
                </c:pt>
              </c:numCache>
            </c:numRef>
          </c:cat>
          <c:val>
            <c:numRef>
              <c:f>Basics!$A$7:$A$11</c:f>
              <c:numCache>
                <c:formatCode>General</c:formatCode>
                <c:ptCount val="5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</c:numCache>
            </c:numRef>
          </c:val>
        </c:ser>
        <c:marker val="1"/>
        <c:axId val="206441472"/>
        <c:axId val="206451456"/>
      </c:lineChart>
      <c:catAx>
        <c:axId val="206441472"/>
        <c:scaling>
          <c:orientation val="minMax"/>
        </c:scaling>
        <c:axPos val="b"/>
        <c:numFmt formatCode="General" sourceLinked="1"/>
        <c:tickLblPos val="nextTo"/>
        <c:crossAx val="206451456"/>
        <c:crosses val="autoZero"/>
        <c:auto val="1"/>
        <c:lblAlgn val="ctr"/>
        <c:lblOffset val="100"/>
      </c:catAx>
      <c:valAx>
        <c:axId val="206451456"/>
        <c:scaling>
          <c:orientation val="minMax"/>
          <c:min val="6"/>
        </c:scaling>
        <c:axPos val="l"/>
        <c:majorGridlines/>
        <c:numFmt formatCode="General" sourceLinked="1"/>
        <c:tickLblPos val="nextTo"/>
        <c:crossAx val="206441472"/>
        <c:crosses val="autoZero"/>
        <c:crossBetween val="between"/>
      </c:valAx>
    </c:plotArea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3 Line Fit  Plot</a:t>
            </a:r>
          </a:p>
        </c:rich>
      </c:tx>
    </c:title>
    <c:plotArea>
      <c:layout>
        <c:manualLayout>
          <c:layoutTarget val="inner"/>
          <c:xMode val="edge"/>
          <c:yMode val="edge"/>
          <c:x val="0.16361411854768154"/>
          <c:y val="0.27637148804675282"/>
          <c:w val="0.66125738188976357"/>
          <c:h val="0.50519374733330769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showVal val="1"/>
          </c:dLbls>
          <c:trendline>
            <c:trendlineType val="linear"/>
            <c:dispRSqr val="1"/>
            <c:trendlineLbl>
              <c:layout>
                <c:manualLayout>
                  <c:x val="8.3620406824147245E-2"/>
                  <c:y val="0.22937563839002884"/>
                </c:manualLayout>
              </c:layout>
              <c:numFmt formatCode="General" sourceLinked="0"/>
            </c:trendlineLbl>
          </c:trendline>
          <c:trendline>
            <c:trendlineType val="linear"/>
          </c:trendline>
          <c:trendline>
            <c:trendlineType val="linear"/>
          </c:trendline>
          <c:xVal>
            <c:numRef>
              <c:f>Basics!$B$8:$B$11</c:f>
              <c:numCache>
                <c:formatCode>General</c:formatCode>
                <c:ptCount val="4"/>
                <c:pt idx="0">
                  <c:v>4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</c:numCache>
            </c:numRef>
          </c:xVal>
          <c:yVal>
            <c:numRef>
              <c:f>Basics!$A$8:$A$11</c:f>
              <c:numCache>
                <c:formatCode>General</c:formatCode>
                <c:ptCount val="4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</c:numCache>
            </c:numRef>
          </c:yVal>
        </c:ser>
        <c:ser>
          <c:idx val="1"/>
          <c:order val="1"/>
          <c:tx>
            <c:v>Predicted 10</c:v>
          </c:tx>
          <c:spPr>
            <a:ln w="28575">
              <a:noFill/>
            </a:ln>
          </c:spPr>
          <c:xVal>
            <c:numRef>
              <c:f>Basics!$B$8:$B$11</c:f>
              <c:numCache>
                <c:formatCode>General</c:formatCode>
                <c:ptCount val="4"/>
                <c:pt idx="0">
                  <c:v>4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</c:numCache>
            </c:numRef>
          </c:xVal>
          <c:yVal>
            <c:numRef>
              <c:f>Basics!$C$59:$C$62</c:f>
              <c:numCache>
                <c:formatCode>General</c:formatCode>
                <c:ptCount val="4"/>
                <c:pt idx="0">
                  <c:v>11.982758620689655</c:v>
                </c:pt>
                <c:pt idx="1">
                  <c:v>11.637931034482758</c:v>
                </c:pt>
                <c:pt idx="2">
                  <c:v>12.327586206896552</c:v>
                </c:pt>
                <c:pt idx="3">
                  <c:v>14.051724137931034</c:v>
                </c:pt>
              </c:numCache>
            </c:numRef>
          </c:yVal>
        </c:ser>
        <c:axId val="206490624"/>
        <c:axId val="206505088"/>
      </c:scatterChart>
      <c:valAx>
        <c:axId val="2064906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3</a:t>
                </a:r>
              </a:p>
            </c:rich>
          </c:tx>
        </c:title>
        <c:numFmt formatCode="General" sourceLinked="1"/>
        <c:tickLblPos val="nextTo"/>
        <c:crossAx val="206505088"/>
        <c:crosses val="autoZero"/>
        <c:crossBetween val="midCat"/>
      </c:valAx>
      <c:valAx>
        <c:axId val="206505088"/>
        <c:scaling>
          <c:orientation val="minMax"/>
          <c:min val="6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10</a:t>
                </a:r>
              </a:p>
            </c:rich>
          </c:tx>
        </c:title>
        <c:numFmt formatCode="General" sourceLinked="1"/>
        <c:tickLblPos val="nextTo"/>
        <c:crossAx val="20649062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0" Type="http://schemas.openxmlformats.org/officeDocument/2006/relationships/chart" Target="../charts/chart2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10" Type="http://schemas.openxmlformats.org/officeDocument/2006/relationships/chart" Target="../charts/chart13.xml"/><Relationship Id="rId19" Type="http://schemas.openxmlformats.org/officeDocument/2006/relationships/chart" Target="../charts/chart22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0</xdr:rowOff>
    </xdr:from>
    <xdr:to>
      <xdr:col>3</xdr:col>
      <xdr:colOff>504825</xdr:colOff>
      <xdr:row>21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457200</xdr:colOff>
      <xdr:row>21</xdr:row>
      <xdr:rowOff>123825</xdr:rowOff>
    </xdr:from>
    <xdr:to>
      <xdr:col>13</xdr:col>
      <xdr:colOff>152400</xdr:colOff>
      <xdr:row>36</xdr:row>
      <xdr:rowOff>9525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128</xdr:row>
      <xdr:rowOff>161925</xdr:rowOff>
    </xdr:from>
    <xdr:to>
      <xdr:col>11</xdr:col>
      <xdr:colOff>9525</xdr:colOff>
      <xdr:row>143</xdr:row>
      <xdr:rowOff>47625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0</xdr:row>
      <xdr:rowOff>0</xdr:rowOff>
    </xdr:from>
    <xdr:to>
      <xdr:col>13</xdr:col>
      <xdr:colOff>438150</xdr:colOff>
      <xdr:row>10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</xdr:row>
      <xdr:rowOff>0</xdr:rowOff>
    </xdr:from>
    <xdr:to>
      <xdr:col>16</xdr:col>
      <xdr:colOff>0</xdr:colOff>
      <xdr:row>12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4</xdr:row>
      <xdr:rowOff>1</xdr:rowOff>
    </xdr:from>
    <xdr:to>
      <xdr:col>17</xdr:col>
      <xdr:colOff>0</xdr:colOff>
      <xdr:row>14</xdr:row>
      <xdr:rowOff>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6</xdr:row>
      <xdr:rowOff>0</xdr:rowOff>
    </xdr:from>
    <xdr:to>
      <xdr:col>18</xdr:col>
      <xdr:colOff>0</xdr:colOff>
      <xdr:row>16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1</xdr:rowOff>
    </xdr:from>
    <xdr:to>
      <xdr:col>19</xdr:col>
      <xdr:colOff>0</xdr:colOff>
      <xdr:row>18</xdr:row>
      <xdr:rowOff>1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10</xdr:row>
      <xdr:rowOff>0</xdr:rowOff>
    </xdr:from>
    <xdr:to>
      <xdr:col>20</xdr:col>
      <xdr:colOff>0</xdr:colOff>
      <xdr:row>20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94</xdr:row>
      <xdr:rowOff>1</xdr:rowOff>
    </xdr:from>
    <xdr:to>
      <xdr:col>15</xdr:col>
      <xdr:colOff>0</xdr:colOff>
      <xdr:row>104</xdr:row>
      <xdr:rowOff>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96</xdr:row>
      <xdr:rowOff>0</xdr:rowOff>
    </xdr:from>
    <xdr:to>
      <xdr:col>16</xdr:col>
      <xdr:colOff>0</xdr:colOff>
      <xdr:row>106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0</xdr:colOff>
      <xdr:row>98</xdr:row>
      <xdr:rowOff>1</xdr:rowOff>
    </xdr:from>
    <xdr:to>
      <xdr:col>17</xdr:col>
      <xdr:colOff>0</xdr:colOff>
      <xdr:row>108</xdr:row>
      <xdr:rowOff>1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100</xdr:row>
      <xdr:rowOff>0</xdr:rowOff>
    </xdr:from>
    <xdr:to>
      <xdr:col>18</xdr:col>
      <xdr:colOff>0</xdr:colOff>
      <xdr:row>110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102</xdr:row>
      <xdr:rowOff>1</xdr:rowOff>
    </xdr:from>
    <xdr:to>
      <xdr:col>19</xdr:col>
      <xdr:colOff>0</xdr:colOff>
      <xdr:row>112</xdr:row>
      <xdr:rowOff>1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94</xdr:row>
      <xdr:rowOff>1</xdr:rowOff>
    </xdr:from>
    <xdr:to>
      <xdr:col>15</xdr:col>
      <xdr:colOff>0</xdr:colOff>
      <xdr:row>104</xdr:row>
      <xdr:rowOff>1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0</xdr:colOff>
      <xdr:row>96</xdr:row>
      <xdr:rowOff>0</xdr:rowOff>
    </xdr:from>
    <xdr:to>
      <xdr:col>16</xdr:col>
      <xdr:colOff>0</xdr:colOff>
      <xdr:row>106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98</xdr:row>
      <xdr:rowOff>1</xdr:rowOff>
    </xdr:from>
    <xdr:to>
      <xdr:col>17</xdr:col>
      <xdr:colOff>0</xdr:colOff>
      <xdr:row>108</xdr:row>
      <xdr:rowOff>1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0</xdr:colOff>
      <xdr:row>100</xdr:row>
      <xdr:rowOff>0</xdr:rowOff>
    </xdr:from>
    <xdr:to>
      <xdr:col>18</xdr:col>
      <xdr:colOff>0</xdr:colOff>
      <xdr:row>110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102</xdr:row>
      <xdr:rowOff>1</xdr:rowOff>
    </xdr:from>
    <xdr:to>
      <xdr:col>19</xdr:col>
      <xdr:colOff>0</xdr:colOff>
      <xdr:row>112</xdr:row>
      <xdr:rowOff>1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0</xdr:colOff>
      <xdr:row>94</xdr:row>
      <xdr:rowOff>1</xdr:rowOff>
    </xdr:from>
    <xdr:to>
      <xdr:col>15</xdr:col>
      <xdr:colOff>0</xdr:colOff>
      <xdr:row>104</xdr:row>
      <xdr:rowOff>1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</xdr:col>
      <xdr:colOff>0</xdr:colOff>
      <xdr:row>96</xdr:row>
      <xdr:rowOff>0</xdr:rowOff>
    </xdr:from>
    <xdr:to>
      <xdr:col>16</xdr:col>
      <xdr:colOff>0</xdr:colOff>
      <xdr:row>106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</xdr:col>
      <xdr:colOff>0</xdr:colOff>
      <xdr:row>98</xdr:row>
      <xdr:rowOff>1</xdr:rowOff>
    </xdr:from>
    <xdr:to>
      <xdr:col>17</xdr:col>
      <xdr:colOff>0</xdr:colOff>
      <xdr:row>108</xdr:row>
      <xdr:rowOff>1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12</xdr:col>
      <xdr:colOff>0</xdr:colOff>
      <xdr:row>100</xdr:row>
      <xdr:rowOff>0</xdr:rowOff>
    </xdr:from>
    <xdr:to>
      <xdr:col>18</xdr:col>
      <xdr:colOff>0</xdr:colOff>
      <xdr:row>110</xdr:row>
      <xdr:rowOff>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228600</xdr:colOff>
      <xdr:row>0</xdr:row>
      <xdr:rowOff>57150</xdr:rowOff>
    </xdr:from>
    <xdr:to>
      <xdr:col>18</xdr:col>
      <xdr:colOff>533400</xdr:colOff>
      <xdr:row>14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609599</xdr:colOff>
      <xdr:row>34</xdr:row>
      <xdr:rowOff>1</xdr:rowOff>
    </xdr:from>
    <xdr:to>
      <xdr:col>17</xdr:col>
      <xdr:colOff>409574</xdr:colOff>
      <xdr:row>61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18</xdr:row>
      <xdr:rowOff>104775</xdr:rowOff>
    </xdr:from>
    <xdr:to>
      <xdr:col>7</xdr:col>
      <xdr:colOff>114300</xdr:colOff>
      <xdr:row>25</xdr:row>
      <xdr:rowOff>180975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3533775"/>
          <a:ext cx="4381500" cy="1409700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C%20framework%20v13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odo"/>
      <sheetName val="Input"/>
      <sheetName val="Projection"/>
      <sheetName val="Residuals"/>
      <sheetName val="Paths"/>
      <sheetName val="De-seasonalization"/>
      <sheetName val="MRegression"/>
      <sheetName val="Jumps"/>
      <sheetName val="Mean_Reversion"/>
      <sheetName val="Ra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8">
          <cell r="B8">
            <v>1.5363418112215665</v>
          </cell>
        </row>
        <row r="9">
          <cell r="B9">
            <v>0.26975837873632846</v>
          </cell>
        </row>
        <row r="10">
          <cell r="B10">
            <v>0.02</v>
          </cell>
        </row>
        <row r="11">
          <cell r="B11">
            <v>0</v>
          </cell>
        </row>
        <row r="12">
          <cell r="B12">
            <v>0.01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office.microsoft.com/en-001/excel-help/linest-function-HP010069838.aspx" TargetMode="External"/><Relationship Id="rId2" Type="http://schemas.openxmlformats.org/officeDocument/2006/relationships/hyperlink" Target="http://www.cpearson.com/excel/indirect.htm" TargetMode="External"/><Relationship Id="rId1" Type="http://schemas.openxmlformats.org/officeDocument/2006/relationships/hyperlink" Target="http://exceluser.com/formulas/dynname1.htm" TargetMode="External"/><Relationship Id="rId5" Type="http://schemas.openxmlformats.org/officeDocument/2006/relationships/drawing" Target="../drawings/drawing2.xml"/><Relationship Id="rId4" Type="http://schemas.openxmlformats.org/officeDocument/2006/relationships/hyperlink" Target="http://www.excelfunctions.net/Excel-Linest-Function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20"/>
  <sheetViews>
    <sheetView topLeftCell="C1" workbookViewId="0">
      <selection activeCell="F10" sqref="F10"/>
    </sheetView>
  </sheetViews>
  <sheetFormatPr defaultRowHeight="15"/>
  <cols>
    <col min="2" max="2" width="27.7109375" bestFit="1" customWidth="1"/>
    <col min="5" max="5" width="27.7109375" bestFit="1" customWidth="1"/>
    <col min="16" max="16" width="16.42578125" bestFit="1" customWidth="1"/>
  </cols>
  <sheetData>
    <row r="1" spans="1:17">
      <c r="A1" t="s">
        <v>171</v>
      </c>
      <c r="P1" t="s">
        <v>179</v>
      </c>
    </row>
    <row r="2" spans="1:17">
      <c r="E2" s="89" t="s">
        <v>29</v>
      </c>
      <c r="F2" s="55">
        <f ca="1">MRegression!F62</f>
        <v>52.963728591908513</v>
      </c>
      <c r="I2">
        <f ca="1">F2</f>
        <v>52.963728591908513</v>
      </c>
      <c r="P2" s="89" t="s">
        <v>29</v>
      </c>
      <c r="Q2" s="97">
        <f ca="1">I2</f>
        <v>52.963728591908513</v>
      </c>
    </row>
    <row r="3" spans="1:17">
      <c r="E3" s="17"/>
      <c r="F3" s="49"/>
      <c r="L3" t="str">
        <f t="array" ref="L3:L19">TRANSPOSE(IFERROR(MRegression!D4:T4,""))</f>
        <v>EV/EBITDA</v>
      </c>
      <c r="P3" s="1" t="s">
        <v>3</v>
      </c>
      <c r="Q3" s="97">
        <f ca="1">I5</f>
        <v>-1.6849826330896753</v>
      </c>
    </row>
    <row r="4" spans="1:17">
      <c r="E4" s="89" t="s">
        <v>172</v>
      </c>
      <c r="F4" s="55" t="s">
        <v>28</v>
      </c>
      <c r="K4" t="s">
        <v>102</v>
      </c>
      <c r="L4" t="str">
        <v>Market Cap</v>
      </c>
      <c r="M4">
        <f t="array" ref="M4:M19" ca="1">IFERROR(TRANSPOSE(MRegression!E49:U49),NA())</f>
        <v>-0.69102428457785525</v>
      </c>
      <c r="N4">
        <f t="array" ref="N4:N19">TRANSPOSE(MRegression!E3:T3)</f>
        <v>1</v>
      </c>
      <c r="P4" s="17" t="s">
        <v>4</v>
      </c>
      <c r="Q4" s="97">
        <f t="shared" ref="Q4:Q6" ca="1" si="0">I6</f>
        <v>-2.3901340466821632</v>
      </c>
    </row>
    <row r="5" spans="1:17">
      <c r="E5" s="1" t="str">
        <f t="shared" ref="E5:E13" si="1">IF(N4&lt;&gt;0,L4,"")</f>
        <v>Market Cap</v>
      </c>
      <c r="F5" s="49">
        <f t="shared" ref="F5:F7" ca="1" si="2">IFERROR(1*M4,"")</f>
        <v>-0.69102428457785525</v>
      </c>
      <c r="H5">
        <f t="array" ref="H5:H10">TRANSPOSE(MRegression!E33:J33)</f>
        <v>2.4383841070347136</v>
      </c>
      <c r="I5">
        <f ca="1">H5*F5</f>
        <v>-1.6849826330896753</v>
      </c>
      <c r="K5" t="s">
        <v>174</v>
      </c>
      <c r="L5" t="str">
        <v>ROE %</v>
      </c>
      <c r="M5">
        <f ca="1"/>
        <v>-0.25159305754549088</v>
      </c>
      <c r="N5">
        <v>2</v>
      </c>
      <c r="P5" s="17" t="s">
        <v>175</v>
      </c>
      <c r="Q5" s="97">
        <f t="shared" ca="1" si="0"/>
        <v>-19.340856276594828</v>
      </c>
    </row>
    <row r="6" spans="1:17">
      <c r="E6" s="17" t="str">
        <f t="shared" si="1"/>
        <v>ROE %</v>
      </c>
      <c r="F6" s="49">
        <f t="shared" ca="1" si="2"/>
        <v>-0.25159305754549088</v>
      </c>
      <c r="H6">
        <v>9.5</v>
      </c>
      <c r="I6">
        <f t="shared" ref="I6:I8" ca="1" si="3">H6*F6</f>
        <v>-2.3901340466821632</v>
      </c>
      <c r="K6" t="s">
        <v>102</v>
      </c>
      <c r="L6" t="str">
        <v>Div. Yield %</v>
      </c>
      <c r="M6">
        <f ca="1"/>
        <v>-3.6450916465500995</v>
      </c>
      <c r="N6">
        <v>3</v>
      </c>
      <c r="P6" s="19" t="s">
        <v>176</v>
      </c>
      <c r="Q6" s="97">
        <f t="shared" ca="1" si="0"/>
        <v>-4.4523375619179735</v>
      </c>
    </row>
    <row r="7" spans="1:17">
      <c r="E7" s="17" t="str">
        <f t="shared" si="1"/>
        <v>Div. Yield %</v>
      </c>
      <c r="F7" s="49">
        <f t="shared" ca="1" si="2"/>
        <v>-3.6450916465500995</v>
      </c>
      <c r="H7">
        <v>5.306</v>
      </c>
      <c r="I7">
        <f t="shared" ca="1" si="3"/>
        <v>-19.340856276594828</v>
      </c>
      <c r="K7" t="s">
        <v>173</v>
      </c>
      <c r="L7" t="str">
        <v>Debt to Equity</v>
      </c>
      <c r="M7">
        <f ca="1"/>
        <v>-3.9753013945696192E-2</v>
      </c>
      <c r="N7">
        <v>4</v>
      </c>
    </row>
    <row r="8" spans="1:17">
      <c r="E8" s="19" t="str">
        <f t="shared" si="1"/>
        <v>Debt to Equity</v>
      </c>
      <c r="F8" s="50">
        <f ca="1">IFERROR(1*M7,"")</f>
        <v>-3.9753013945696192E-2</v>
      </c>
      <c r="H8">
        <v>112</v>
      </c>
      <c r="I8">
        <f t="shared" ca="1" si="3"/>
        <v>-4.4523375619179735</v>
      </c>
      <c r="K8" t="s">
        <v>105</v>
      </c>
      <c r="L8" t="str">
        <v>Price to Book</v>
      </c>
      <c r="M8">
        <f ca="1"/>
        <v>0.55085329821534579</v>
      </c>
      <c r="N8">
        <v>5</v>
      </c>
    </row>
    <row r="9" spans="1:17">
      <c r="E9" s="17" t="str">
        <f t="shared" si="1"/>
        <v>Price to Book</v>
      </c>
      <c r="F9" s="12">
        <f t="shared" ref="F9:F12" ca="1" si="4">IFERROR(N8*M8,"")</f>
        <v>2.7542664910767289</v>
      </c>
      <c r="H9">
        <v>4.4400000000000004</v>
      </c>
      <c r="K9" t="s">
        <v>102</v>
      </c>
      <c r="L9" t="str">
        <v>Net Profit Margin (mrq)</v>
      </c>
      <c r="M9">
        <f ca="1"/>
        <v>-1.0452850456974125</v>
      </c>
      <c r="N9">
        <v>6</v>
      </c>
    </row>
    <row r="10" spans="1:17">
      <c r="E10" s="17" t="str">
        <f t="shared" si="1"/>
        <v>Net Profit Margin (mrq)</v>
      </c>
      <c r="F10" s="12">
        <f t="shared" ca="1" si="4"/>
        <v>-6.2717102741844748</v>
      </c>
      <c r="H10">
        <v>5.9</v>
      </c>
      <c r="K10" t="s">
        <v>103</v>
      </c>
      <c r="L10" t="str">
        <v/>
      </c>
      <c r="M10">
        <f ca="1"/>
        <v>52.963728591908513</v>
      </c>
      <c r="N10" t="e">
        <v>#N/A</v>
      </c>
    </row>
    <row r="11" spans="1:17">
      <c r="E11" s="17" t="e">
        <f t="shared" si="1"/>
        <v>#N/A</v>
      </c>
      <c r="F11" s="12" t="str">
        <f t="shared" ca="1" si="4"/>
        <v/>
      </c>
      <c r="K11" t="s">
        <v>103</v>
      </c>
      <c r="L11" t="str">
        <v/>
      </c>
      <c r="M11" t="e">
        <f ca="1"/>
        <v>#N/A</v>
      </c>
      <c r="N11" t="e">
        <v>#N/A</v>
      </c>
    </row>
    <row r="12" spans="1:17">
      <c r="E12" s="19" t="e">
        <f t="shared" si="1"/>
        <v>#N/A</v>
      </c>
      <c r="F12" s="10" t="str">
        <f t="shared" ca="1" si="4"/>
        <v/>
      </c>
      <c r="K12" t="s">
        <v>103</v>
      </c>
      <c r="L12" t="str">
        <v/>
      </c>
      <c r="M12" t="e">
        <f ca="1"/>
        <v>#N/A</v>
      </c>
      <c r="N12" t="e">
        <v>#N/A</v>
      </c>
    </row>
    <row r="13" spans="1:17">
      <c r="E13" t="e">
        <f t="shared" si="1"/>
        <v>#N/A</v>
      </c>
      <c r="F13" t="e">
        <f>IF(N12&lt;&gt;0,M12,"")</f>
        <v>#N/A</v>
      </c>
      <c r="H13" t="s">
        <v>43</v>
      </c>
      <c r="I13">
        <f ca="1">SUM(I2:I12)</f>
        <v>25.095418073623875</v>
      </c>
      <c r="K13" t="s">
        <v>105</v>
      </c>
      <c r="L13" t="str">
        <v/>
      </c>
      <c r="M13" t="e">
        <f ca="1"/>
        <v>#N/A</v>
      </c>
      <c r="N13" t="e">
        <v>#N/A</v>
      </c>
    </row>
    <row r="14" spans="1:17">
      <c r="H14" t="s">
        <v>97</v>
      </c>
      <c r="I14" t="e">
        <f>MRegression!D44</f>
        <v>#N/A</v>
      </c>
      <c r="K14" t="s">
        <v>105</v>
      </c>
      <c r="L14" t="str">
        <v/>
      </c>
      <c r="M14" t="e">
        <f ca="1"/>
        <v>#N/A</v>
      </c>
      <c r="N14" t="e">
        <v>#N/A</v>
      </c>
    </row>
    <row r="15" spans="1:17">
      <c r="E15" t="e">
        <f t="shared" ref="E15:E20" si="5">IF(N14&lt;&gt;0,L14,"")</f>
        <v>#N/A</v>
      </c>
      <c r="F15" t="str">
        <f t="shared" ref="F15:F20" ca="1" si="6">IFERROR(N14*M14,"")</f>
        <v/>
      </c>
      <c r="K15" t="s">
        <v>105</v>
      </c>
      <c r="L15" t="str">
        <v/>
      </c>
      <c r="M15" t="e">
        <f ca="1"/>
        <v>#N/A</v>
      </c>
      <c r="N15" t="e">
        <v>#N/A</v>
      </c>
    </row>
    <row r="16" spans="1:17">
      <c r="E16" t="e">
        <f t="shared" si="5"/>
        <v>#N/A</v>
      </c>
      <c r="F16" t="str">
        <f t="shared" ca="1" si="6"/>
        <v/>
      </c>
      <c r="K16" t="str">
        <f>K7</f>
        <v>Return</v>
      </c>
      <c r="L16" t="str">
        <v/>
      </c>
      <c r="M16" t="e">
        <f ca="1"/>
        <v>#N/A</v>
      </c>
      <c r="N16" t="e">
        <v>#N/A</v>
      </c>
    </row>
    <row r="17" spans="5:14">
      <c r="E17" t="e">
        <f t="shared" si="5"/>
        <v>#N/A</v>
      </c>
      <c r="F17" t="str">
        <f t="shared" ca="1" si="6"/>
        <v/>
      </c>
      <c r="K17" t="str">
        <f>K15</f>
        <v>Risk</v>
      </c>
      <c r="L17" t="str">
        <v/>
      </c>
      <c r="M17" t="e">
        <f ca="1"/>
        <v>#N/A</v>
      </c>
      <c r="N17" t="e">
        <v>#N/A</v>
      </c>
    </row>
    <row r="18" spans="5:14">
      <c r="E18" t="e">
        <f t="shared" si="5"/>
        <v>#N/A</v>
      </c>
      <c r="F18" t="str">
        <f t="shared" ca="1" si="6"/>
        <v/>
      </c>
      <c r="K18" t="s">
        <v>104</v>
      </c>
      <c r="L18" t="str">
        <v/>
      </c>
      <c r="M18" t="e">
        <f ca="1"/>
        <v>#N/A</v>
      </c>
      <c r="N18" t="e">
        <v>#N/A</v>
      </c>
    </row>
    <row r="19" spans="5:14">
      <c r="E19" t="e">
        <f t="shared" si="5"/>
        <v>#N/A</v>
      </c>
      <c r="F19" t="str">
        <f t="shared" ca="1" si="6"/>
        <v/>
      </c>
      <c r="K19" t="s">
        <v>104</v>
      </c>
      <c r="L19" t="str">
        <v/>
      </c>
      <c r="M19" t="e">
        <f ca="1"/>
        <v>#N/A</v>
      </c>
      <c r="N19" t="e">
        <v>#N/A</v>
      </c>
    </row>
    <row r="20" spans="5:14">
      <c r="E20" t="e">
        <f t="shared" si="5"/>
        <v>#N/A</v>
      </c>
      <c r="F20" t="str">
        <f t="shared" ca="1" si="6"/>
        <v/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U146"/>
  <sheetViews>
    <sheetView topLeftCell="A46" workbookViewId="0">
      <selection activeCell="E55" sqref="E55"/>
    </sheetView>
  </sheetViews>
  <sheetFormatPr defaultRowHeight="15"/>
  <cols>
    <col min="4" max="4" width="12.42578125" customWidth="1"/>
    <col min="5" max="5" width="15.85546875" customWidth="1"/>
    <col min="6" max="6" width="14.42578125" customWidth="1"/>
    <col min="7" max="7" width="12" customWidth="1"/>
    <col min="8" max="8" width="11.5703125" customWidth="1"/>
    <col min="9" max="9" width="11.28515625" customWidth="1"/>
    <col min="10" max="10" width="8.7109375" customWidth="1"/>
    <col min="11" max="11" width="10.42578125" customWidth="1"/>
    <col min="12" max="12" width="12" customWidth="1"/>
    <col min="13" max="16" width="9.7109375" bestFit="1" customWidth="1"/>
  </cols>
  <sheetData>
    <row r="1" spans="1:20">
      <c r="A1" t="s">
        <v>27</v>
      </c>
      <c r="B1" t="s">
        <v>15</v>
      </c>
      <c r="C1" t="s">
        <v>18</v>
      </c>
      <c r="E1" s="65">
        <f>E64</f>
        <v>0</v>
      </c>
      <c r="F1" s="65" t="b">
        <f t="shared" ref="F1:T1" si="0">F64</f>
        <v>1</v>
      </c>
      <c r="G1" s="65" t="b">
        <f t="shared" si="0"/>
        <v>1</v>
      </c>
      <c r="H1" s="65" t="b">
        <f t="shared" si="0"/>
        <v>1</v>
      </c>
      <c r="I1" s="65" t="b">
        <f t="shared" si="0"/>
        <v>1</v>
      </c>
      <c r="J1" s="65" t="b">
        <f t="shared" si="0"/>
        <v>1</v>
      </c>
      <c r="K1" s="65" t="b">
        <f t="shared" si="0"/>
        <v>1</v>
      </c>
      <c r="L1" s="65">
        <f t="shared" si="0"/>
        <v>0</v>
      </c>
      <c r="M1" s="65">
        <f t="shared" si="0"/>
        <v>0</v>
      </c>
      <c r="N1" s="65">
        <f t="shared" si="0"/>
        <v>0</v>
      </c>
      <c r="O1" s="65">
        <f t="shared" si="0"/>
        <v>0</v>
      </c>
      <c r="P1" s="65">
        <f t="shared" si="0"/>
        <v>0</v>
      </c>
      <c r="Q1" s="65">
        <f t="shared" si="0"/>
        <v>0</v>
      </c>
      <c r="R1" s="65">
        <f t="shared" si="0"/>
        <v>0</v>
      </c>
      <c r="S1" s="65">
        <f t="shared" si="0"/>
        <v>0</v>
      </c>
      <c r="T1" s="65">
        <f t="shared" si="0"/>
        <v>0</v>
      </c>
    </row>
    <row r="2" spans="1:20">
      <c r="D2">
        <f>COUNTIF(E1:T1,TRUE)</f>
        <v>6</v>
      </c>
      <c r="E2" s="2">
        <v>1</v>
      </c>
      <c r="F2" s="2">
        <v>2</v>
      </c>
      <c r="G2" s="2">
        <v>3</v>
      </c>
      <c r="H2" s="2">
        <v>4</v>
      </c>
      <c r="I2" s="2">
        <v>5</v>
      </c>
      <c r="J2" s="2">
        <v>6</v>
      </c>
      <c r="K2" s="2">
        <v>7</v>
      </c>
      <c r="L2" s="2">
        <v>8</v>
      </c>
      <c r="M2" s="2">
        <v>9</v>
      </c>
      <c r="N2" s="2">
        <v>10</v>
      </c>
      <c r="O2" s="2">
        <v>11</v>
      </c>
      <c r="P2" s="2">
        <v>12</v>
      </c>
      <c r="Q2" s="11">
        <v>13</v>
      </c>
      <c r="R2" s="11">
        <v>14</v>
      </c>
      <c r="S2" s="11">
        <v>15</v>
      </c>
      <c r="T2" s="11">
        <v>16</v>
      </c>
    </row>
    <row r="3" spans="1:20">
      <c r="C3" s="1"/>
      <c r="D3" s="2"/>
      <c r="E3" s="2">
        <f>IF(E2&lt;=$D$2,E2,NA())</f>
        <v>1</v>
      </c>
      <c r="F3" s="2">
        <f t="shared" ref="F3:T3" si="1">IF(F2&lt;=$D$2,F2,NA())</f>
        <v>2</v>
      </c>
      <c r="G3" s="2">
        <f t="shared" si="1"/>
        <v>3</v>
      </c>
      <c r="H3" s="2">
        <f t="shared" si="1"/>
        <v>4</v>
      </c>
      <c r="I3" s="2">
        <f t="shared" si="1"/>
        <v>5</v>
      </c>
      <c r="J3" s="2">
        <f t="shared" si="1"/>
        <v>6</v>
      </c>
      <c r="K3" s="2" t="e">
        <f t="shared" si="1"/>
        <v>#N/A</v>
      </c>
      <c r="L3" s="2" t="e">
        <f t="shared" si="1"/>
        <v>#N/A</v>
      </c>
      <c r="M3" s="2" t="e">
        <f t="shared" si="1"/>
        <v>#N/A</v>
      </c>
      <c r="N3" s="2" t="e">
        <f t="shared" si="1"/>
        <v>#N/A</v>
      </c>
      <c r="O3" s="2" t="e">
        <f t="shared" si="1"/>
        <v>#N/A</v>
      </c>
      <c r="P3" s="2" t="e">
        <f t="shared" si="1"/>
        <v>#N/A</v>
      </c>
      <c r="Q3" s="2" t="e">
        <f t="shared" si="1"/>
        <v>#N/A</v>
      </c>
      <c r="R3" s="2" t="e">
        <f t="shared" si="1"/>
        <v>#N/A</v>
      </c>
      <c r="S3" s="2" t="e">
        <f t="shared" si="1"/>
        <v>#N/A</v>
      </c>
      <c r="T3" s="2" t="e">
        <f t="shared" si="1"/>
        <v>#N/A</v>
      </c>
    </row>
    <row r="4" spans="1:20" ht="30">
      <c r="A4" t="s">
        <v>24</v>
      </c>
      <c r="C4" s="4" t="s">
        <v>0</v>
      </c>
      <c r="D4" s="5" t="s">
        <v>1</v>
      </c>
      <c r="E4" s="6" t="str">
        <f>HLOOKUP(E$3,$E$70:$T$111,$C5+1,FALSE)</f>
        <v>Market Cap</v>
      </c>
      <c r="F4" s="6" t="str">
        <f t="shared" ref="F4:T19" si="2">HLOOKUP(F$3,$E$70:$T$111,$C5+1,FALSE)</f>
        <v>ROE %</v>
      </c>
      <c r="G4" s="6" t="str">
        <f t="shared" si="2"/>
        <v>Div. Yield %</v>
      </c>
      <c r="H4" s="6" t="str">
        <f t="shared" si="2"/>
        <v>Debt to Equity</v>
      </c>
      <c r="I4" s="6" t="str">
        <f t="shared" si="2"/>
        <v>Price to Book</v>
      </c>
      <c r="J4" s="6" t="str">
        <f t="shared" si="2"/>
        <v>Net Profit Margin (mrq)</v>
      </c>
      <c r="K4" s="6" t="e">
        <f t="shared" si="2"/>
        <v>#N/A</v>
      </c>
      <c r="L4" s="6" t="e">
        <f t="shared" si="2"/>
        <v>#N/A</v>
      </c>
      <c r="M4" s="6" t="e">
        <f t="shared" si="2"/>
        <v>#N/A</v>
      </c>
      <c r="N4" s="6" t="e">
        <f t="shared" si="2"/>
        <v>#N/A</v>
      </c>
      <c r="O4" s="6" t="e">
        <f t="shared" si="2"/>
        <v>#N/A</v>
      </c>
      <c r="P4" s="6" t="e">
        <f t="shared" si="2"/>
        <v>#N/A</v>
      </c>
      <c r="Q4" s="6" t="e">
        <f t="shared" si="2"/>
        <v>#N/A</v>
      </c>
      <c r="R4" s="6" t="e">
        <f t="shared" si="2"/>
        <v>#N/A</v>
      </c>
      <c r="S4" s="6" t="e">
        <f t="shared" si="2"/>
        <v>#N/A</v>
      </c>
      <c r="T4" s="6" t="e">
        <f t="shared" si="2"/>
        <v>#N/A</v>
      </c>
    </row>
    <row r="5" spans="1:20">
      <c r="A5" s="43">
        <f ca="1">B5+INDIRECT($D$62)</f>
        <v>42.195495681161262</v>
      </c>
      <c r="B5" s="38">
        <f t="array" aca="1" ref="B5" ca="1">SUMPRODUCT(IFERROR(E5:T5,""),IFERROR($E$49:$T$49,""))</f>
        <v>-10.768232910747248</v>
      </c>
      <c r="C5" s="1">
        <v>1</v>
      </c>
      <c r="D5" s="96">
        <f t="shared" ref="D5:D44" si="3">IF(ISNUMBER(D72),D72,NA())</f>
        <v>32.700000000000003</v>
      </c>
      <c r="E5" s="21">
        <f t="shared" ref="E5:E43" si="4">HLOOKUP(E$3,$E$70:$P$111,$C6+1,FALSE)</f>
        <v>2.7167460199658002</v>
      </c>
      <c r="F5" s="22">
        <f t="shared" ref="F5:F43" si="5">HLOOKUP(F$3,$E$70:$P$111,$C6+1,FALSE)</f>
        <v>16.899999999999999</v>
      </c>
      <c r="G5" s="21">
        <f t="shared" ref="G5:G43" si="6">HLOOKUP(G$3,$E$70:$P$111,$C6+1,FALSE)</f>
        <v>1.0900000000000001</v>
      </c>
      <c r="H5" s="21">
        <f t="shared" ref="H5:H43" si="7">HLOOKUP(H$3,$E$70:$P$111,$C6+1,FALSE)</f>
        <v>50.131</v>
      </c>
      <c r="I5" s="21">
        <f t="shared" ref="I5:I44" si="8">HLOOKUP(I$3,$E$70:$P$111,$C6+1,FALSE)</f>
        <v>32.96</v>
      </c>
      <c r="J5" s="29">
        <f t="shared" ref="J5:J44" si="9">HLOOKUP(J$3,$E$70:$P$111,$C6+1,FALSE)</f>
        <v>16.100000000000001</v>
      </c>
      <c r="K5" s="33" t="e">
        <f t="shared" ref="K5:K44" si="10">HLOOKUP(K$3,$E$70:$P$111,$C6+1,FALSE)</f>
        <v>#N/A</v>
      </c>
      <c r="L5" s="30" t="e">
        <f t="shared" ref="L5:L44" si="11">HLOOKUP(L$3,$E$70:$P$111,$C6+1,FALSE)</f>
        <v>#N/A</v>
      </c>
      <c r="M5" s="30" t="e">
        <f t="shared" ref="M5:M44" si="12">HLOOKUP(M$3,$E$70:$P$111,$C6+1,FALSE)</f>
        <v>#N/A</v>
      </c>
      <c r="N5" s="9" t="e">
        <f t="shared" ref="N5:N44" si="13">HLOOKUP(N$3,$E$70:$P$111,$C6+1,FALSE)</f>
        <v>#N/A</v>
      </c>
      <c r="O5" s="9" t="e">
        <f t="shared" ref="O5:O44" si="14">HLOOKUP(O$3,$E$70:$P$111,$C6+1,FALSE)</f>
        <v>#N/A</v>
      </c>
      <c r="P5" s="9" t="e">
        <f t="shared" ref="P5:P44" si="15">HLOOKUP(P$3,$E$70:$P$111,$C6+1,FALSE)</f>
        <v>#N/A</v>
      </c>
      <c r="Q5" s="7" t="e">
        <f>HLOOKUP(Q$3,$E$70:$T$111,$C6+1,FALSE)</f>
        <v>#N/A</v>
      </c>
      <c r="R5" s="7" t="e">
        <f t="shared" si="2"/>
        <v>#N/A</v>
      </c>
      <c r="S5" s="7" t="e">
        <f t="shared" si="2"/>
        <v>#N/A</v>
      </c>
      <c r="T5" s="7" t="e">
        <f t="shared" si="2"/>
        <v>#N/A</v>
      </c>
    </row>
    <row r="6" spans="1:20">
      <c r="A6" s="43">
        <f t="shared" ref="A6:A43" ca="1" si="16">B6+INDIRECT($D$62)</f>
        <v>18.426247586632066</v>
      </c>
      <c r="B6" s="38">
        <f t="array" aca="1" ref="B6" ca="1">SUMPRODUCT(IFERROR(E6:P6,""),IFERROR($E$49:$P$49,""))</f>
        <v>-34.537481005276447</v>
      </c>
      <c r="C6" s="1">
        <v>2</v>
      </c>
      <c r="D6" s="96">
        <f t="shared" si="3"/>
        <v>18.600000000000001</v>
      </c>
      <c r="E6" s="23">
        <f t="shared" si="4"/>
        <v>3.7769611018878386</v>
      </c>
      <c r="F6" s="24">
        <f t="shared" si="5"/>
        <v>23.3</v>
      </c>
      <c r="G6" s="23">
        <f t="shared" si="6"/>
        <v>2.8220000000000001</v>
      </c>
      <c r="H6" s="23">
        <f t="shared" si="7"/>
        <v>43.878</v>
      </c>
      <c r="I6" s="23">
        <f t="shared" si="8"/>
        <v>7.35</v>
      </c>
      <c r="J6" s="29">
        <f t="shared" si="9"/>
        <v>17.3</v>
      </c>
      <c r="K6" s="33" t="e">
        <f t="shared" si="10"/>
        <v>#N/A</v>
      </c>
      <c r="L6" s="30" t="e">
        <f t="shared" si="11"/>
        <v>#N/A</v>
      </c>
      <c r="M6" s="30" t="e">
        <f t="shared" si="12"/>
        <v>#N/A</v>
      </c>
      <c r="N6" s="9" t="e">
        <f t="shared" si="13"/>
        <v>#N/A</v>
      </c>
      <c r="O6" s="9" t="e">
        <f t="shared" si="14"/>
        <v>#N/A</v>
      </c>
      <c r="P6" s="9" t="e">
        <f t="shared" si="15"/>
        <v>#N/A</v>
      </c>
      <c r="Q6" s="7" t="e">
        <f t="shared" ref="Q6:Q44" si="17">HLOOKUP(Q$3,$E$70:$T$111,$C7+1,FALSE)</f>
        <v>#N/A</v>
      </c>
      <c r="R6" s="7" t="e">
        <f t="shared" si="2"/>
        <v>#N/A</v>
      </c>
      <c r="S6" s="7" t="e">
        <f t="shared" si="2"/>
        <v>#N/A</v>
      </c>
      <c r="T6" s="7" t="e">
        <f t="shared" si="2"/>
        <v>#N/A</v>
      </c>
    </row>
    <row r="7" spans="1:20">
      <c r="A7" s="43">
        <f t="shared" ca="1" si="16"/>
        <v>40.147702579359361</v>
      </c>
      <c r="B7" s="38">
        <f t="array" aca="1" ref="B7" ca="1">SUMPRODUCT(IFERROR(E7:P7,""),IFERROR($E$49:$P$49,""))</f>
        <v>-12.816026012549148</v>
      </c>
      <c r="C7" s="1">
        <v>3</v>
      </c>
      <c r="D7" s="96">
        <f t="shared" si="3"/>
        <v>49.1</v>
      </c>
      <c r="E7" s="23">
        <f t="shared" si="4"/>
        <v>3.7939027839895854</v>
      </c>
      <c r="F7" s="24">
        <f t="shared" si="5"/>
        <v>6.7</v>
      </c>
      <c r="G7" s="23">
        <f t="shared" si="6"/>
        <v>1.383</v>
      </c>
      <c r="H7" s="23">
        <f t="shared" si="7"/>
        <v>47.604999999999997</v>
      </c>
      <c r="I7" s="23">
        <f t="shared" si="8"/>
        <v>5.49</v>
      </c>
      <c r="J7" s="29">
        <f t="shared" si="9"/>
        <v>4.4000000000000004</v>
      </c>
      <c r="K7" s="33" t="e">
        <f t="shared" si="10"/>
        <v>#N/A</v>
      </c>
      <c r="L7" s="30" t="e">
        <f t="shared" si="11"/>
        <v>#N/A</v>
      </c>
      <c r="M7" s="30" t="e">
        <f t="shared" si="12"/>
        <v>#N/A</v>
      </c>
      <c r="N7" s="9" t="e">
        <f t="shared" si="13"/>
        <v>#N/A</v>
      </c>
      <c r="O7" s="9" t="e">
        <f t="shared" si="14"/>
        <v>#N/A</v>
      </c>
      <c r="P7" s="9" t="e">
        <f t="shared" si="15"/>
        <v>#N/A</v>
      </c>
      <c r="Q7" s="7" t="e">
        <f t="shared" si="17"/>
        <v>#N/A</v>
      </c>
      <c r="R7" s="7" t="e">
        <f t="shared" si="2"/>
        <v>#N/A</v>
      </c>
      <c r="S7" s="7" t="e">
        <f t="shared" si="2"/>
        <v>#N/A</v>
      </c>
      <c r="T7" s="7" t="e">
        <f t="shared" si="2"/>
        <v>#N/A</v>
      </c>
    </row>
    <row r="8" spans="1:20">
      <c r="A8" s="43">
        <f t="shared" ca="1" si="16"/>
        <v>34.538412270738426</v>
      </c>
      <c r="B8" s="38">
        <f t="array" aca="1" ref="B8" ca="1">SUMPRODUCT(IFERROR(E8:P8,""),IFERROR($E$49:$P$49,""))</f>
        <v>-18.425316321170087</v>
      </c>
      <c r="C8" s="1">
        <v>4</v>
      </c>
      <c r="D8" s="96">
        <f t="shared" si="3"/>
        <v>47.6</v>
      </c>
      <c r="E8" s="23">
        <f t="shared" si="4"/>
        <v>3.0393189209114189</v>
      </c>
      <c r="F8" s="24">
        <f t="shared" si="5"/>
        <v>6</v>
      </c>
      <c r="G8" s="23">
        <f t="shared" si="6"/>
        <v>3.1779999999999999</v>
      </c>
      <c r="H8" s="23">
        <f t="shared" si="7"/>
        <v>73.75</v>
      </c>
      <c r="I8" s="23">
        <f t="shared" si="8"/>
        <v>4.2</v>
      </c>
      <c r="J8" s="29">
        <f t="shared" si="9"/>
        <v>2.5</v>
      </c>
      <c r="K8" s="33" t="e">
        <f t="shared" si="10"/>
        <v>#N/A</v>
      </c>
      <c r="L8" s="30" t="e">
        <f t="shared" si="11"/>
        <v>#N/A</v>
      </c>
      <c r="M8" s="30" t="e">
        <f t="shared" si="12"/>
        <v>#N/A</v>
      </c>
      <c r="N8" s="9" t="e">
        <f t="shared" si="13"/>
        <v>#N/A</v>
      </c>
      <c r="O8" s="9" t="e">
        <f t="shared" si="14"/>
        <v>#N/A</v>
      </c>
      <c r="P8" s="9" t="e">
        <f t="shared" si="15"/>
        <v>#N/A</v>
      </c>
      <c r="Q8" s="7" t="e">
        <f t="shared" si="17"/>
        <v>#N/A</v>
      </c>
      <c r="R8" s="7" t="e">
        <f t="shared" si="2"/>
        <v>#N/A</v>
      </c>
      <c r="S8" s="7" t="e">
        <f t="shared" si="2"/>
        <v>#N/A</v>
      </c>
      <c r="T8" s="7" t="e">
        <f t="shared" si="2"/>
        <v>#N/A</v>
      </c>
    </row>
    <row r="9" spans="1:20">
      <c r="A9" s="43">
        <f t="shared" ca="1" si="16"/>
        <v>26.533604864671197</v>
      </c>
      <c r="B9" s="38">
        <f t="array" aca="1" ref="B9" ca="1">SUMPRODUCT(IFERROR(E9:P9,""),IFERROR($E$49:$P$49,""))</f>
        <v>-26.430123727237316</v>
      </c>
      <c r="C9" s="1">
        <v>5</v>
      </c>
      <c r="D9" s="96">
        <f>IF(ISNUMBER(D76),D76,NA())</f>
        <v>27.4</v>
      </c>
      <c r="E9" s="23">
        <f t="shared" si="4"/>
        <v>1.6694098672877826</v>
      </c>
      <c r="F9" s="24">
        <f t="shared" si="5"/>
        <v>16.3</v>
      </c>
      <c r="G9" s="23">
        <f t="shared" si="6"/>
        <v>1.8680000000000001</v>
      </c>
      <c r="H9" s="23">
        <f t="shared" si="7"/>
        <v>103.486</v>
      </c>
      <c r="I9" s="23">
        <f t="shared" si="8"/>
        <v>-4.76</v>
      </c>
      <c r="J9" s="29">
        <f t="shared" si="9"/>
        <v>7.3</v>
      </c>
      <c r="K9" s="33" t="e">
        <f t="shared" si="10"/>
        <v>#N/A</v>
      </c>
      <c r="L9" s="30" t="e">
        <f t="shared" si="11"/>
        <v>#N/A</v>
      </c>
      <c r="M9" s="30" t="e">
        <f t="shared" si="12"/>
        <v>#N/A</v>
      </c>
      <c r="N9" s="9" t="e">
        <f t="shared" si="13"/>
        <v>#N/A</v>
      </c>
      <c r="O9" s="9" t="e">
        <f t="shared" si="14"/>
        <v>#N/A</v>
      </c>
      <c r="P9" s="9" t="e">
        <f t="shared" si="15"/>
        <v>#N/A</v>
      </c>
      <c r="Q9" s="7" t="e">
        <f t="shared" si="17"/>
        <v>#N/A</v>
      </c>
      <c r="R9" s="7" t="e">
        <f t="shared" si="2"/>
        <v>#N/A</v>
      </c>
      <c r="S9" s="7" t="e">
        <f t="shared" si="2"/>
        <v>#N/A</v>
      </c>
      <c r="T9" s="7" t="e">
        <f t="shared" si="2"/>
        <v>#N/A</v>
      </c>
    </row>
    <row r="10" spans="1:20">
      <c r="A10" s="43">
        <f t="shared" ca="1" si="16"/>
        <v>33.715832334846404</v>
      </c>
      <c r="B10" s="38">
        <f t="array" aca="1" ref="B10" ca="1">SUMPRODUCT(IFERROR(E10:P10,""),IFERROR($E$49:$P$49,""))</f>
        <v>-19.247896257062109</v>
      </c>
      <c r="C10" s="1">
        <v>6</v>
      </c>
      <c r="D10" s="96">
        <f t="shared" si="3"/>
        <v>24.3</v>
      </c>
      <c r="E10" s="23">
        <f t="shared" si="4"/>
        <v>3.0026799967838054</v>
      </c>
      <c r="F10" s="24">
        <f t="shared" si="5"/>
        <v>12.3</v>
      </c>
      <c r="G10" s="23">
        <f t="shared" si="6"/>
        <v>1.794</v>
      </c>
      <c r="H10" s="23">
        <f t="shared" si="7"/>
        <v>31.420999999999999</v>
      </c>
      <c r="I10" s="23">
        <f t="shared" si="8"/>
        <v>5.28</v>
      </c>
      <c r="J10" s="29">
        <f t="shared" si="9"/>
        <v>8.8000000000000007</v>
      </c>
      <c r="K10" s="33" t="e">
        <f t="shared" si="10"/>
        <v>#N/A</v>
      </c>
      <c r="L10" s="30" t="e">
        <f t="shared" si="11"/>
        <v>#N/A</v>
      </c>
      <c r="M10" s="30" t="e">
        <f t="shared" si="12"/>
        <v>#N/A</v>
      </c>
      <c r="N10" s="9" t="e">
        <f t="shared" si="13"/>
        <v>#N/A</v>
      </c>
      <c r="O10" s="9" t="e">
        <f t="shared" si="14"/>
        <v>#N/A</v>
      </c>
      <c r="P10" s="9" t="e">
        <f t="shared" si="15"/>
        <v>#N/A</v>
      </c>
      <c r="Q10" s="7" t="e">
        <f t="shared" si="17"/>
        <v>#N/A</v>
      </c>
      <c r="R10" s="7" t="e">
        <f t="shared" si="2"/>
        <v>#N/A</v>
      </c>
      <c r="S10" s="7" t="e">
        <f t="shared" si="2"/>
        <v>#N/A</v>
      </c>
      <c r="T10" s="7" t="e">
        <f t="shared" si="2"/>
        <v>#N/A</v>
      </c>
    </row>
    <row r="11" spans="1:20">
      <c r="A11" s="43">
        <f t="shared" ca="1" si="16"/>
        <v>34.310877735344164</v>
      </c>
      <c r="B11" s="38">
        <f t="array" aca="1" ref="B11" ca="1">SUMPRODUCT(IFERROR(E11:P11,""),IFERROR($E$49:$P$49,""))</f>
        <v>-18.652850856564349</v>
      </c>
      <c r="C11" s="1">
        <v>7</v>
      </c>
      <c r="D11" s="96">
        <f t="shared" si="3"/>
        <v>18.100000000000001</v>
      </c>
      <c r="E11" s="23">
        <f t="shared" si="4"/>
        <v>2.3732615061616817</v>
      </c>
      <c r="F11" s="24">
        <f t="shared" si="5"/>
        <v>8.4</v>
      </c>
      <c r="G11" s="23">
        <f t="shared" si="6"/>
        <v>3.254</v>
      </c>
      <c r="H11" s="23">
        <f t="shared" si="7"/>
        <v>112.07599999999999</v>
      </c>
      <c r="I11" s="23">
        <f t="shared" si="8"/>
        <v>12.25</v>
      </c>
      <c r="J11" s="29">
        <f t="shared" si="9"/>
        <v>5.0999999999999996</v>
      </c>
      <c r="K11" s="33" t="e">
        <f t="shared" si="10"/>
        <v>#N/A</v>
      </c>
      <c r="L11" s="30" t="e">
        <f t="shared" si="11"/>
        <v>#N/A</v>
      </c>
      <c r="M11" s="30" t="e">
        <f t="shared" si="12"/>
        <v>#N/A</v>
      </c>
      <c r="N11" s="9" t="e">
        <f t="shared" si="13"/>
        <v>#N/A</v>
      </c>
      <c r="O11" s="9" t="e">
        <f t="shared" si="14"/>
        <v>#N/A</v>
      </c>
      <c r="P11" s="9" t="e">
        <f t="shared" si="15"/>
        <v>#N/A</v>
      </c>
      <c r="Q11" s="7" t="e">
        <f t="shared" si="17"/>
        <v>#N/A</v>
      </c>
      <c r="R11" s="7" t="e">
        <f t="shared" si="2"/>
        <v>#N/A</v>
      </c>
      <c r="S11" s="7" t="e">
        <f t="shared" si="2"/>
        <v>#N/A</v>
      </c>
      <c r="T11" s="7" t="e">
        <f t="shared" si="2"/>
        <v>#N/A</v>
      </c>
    </row>
    <row r="12" spans="1:20">
      <c r="A12" s="43">
        <f t="shared" ca="1" si="16"/>
        <v>27.001729772896994</v>
      </c>
      <c r="B12" s="38">
        <f t="array" aca="1" ref="B12" ca="1">SUMPRODUCT(IFERROR(E12:P12,""),IFERROR($E$49:$P$49,""))</f>
        <v>-25.961998819011519</v>
      </c>
      <c r="C12" s="1">
        <v>8</v>
      </c>
      <c r="D12" s="96">
        <f t="shared" si="3"/>
        <v>10.6</v>
      </c>
      <c r="E12" s="23">
        <f t="shared" si="4"/>
        <v>1.7682680164515479</v>
      </c>
      <c r="F12" s="24">
        <f t="shared" si="5"/>
        <v>19</v>
      </c>
      <c r="G12" s="23">
        <f t="shared" si="6"/>
        <v>2</v>
      </c>
      <c r="H12" s="23">
        <f t="shared" si="7"/>
        <v>82.049000000000007</v>
      </c>
      <c r="I12" s="23">
        <f t="shared" si="8"/>
        <v>-8.35</v>
      </c>
      <c r="J12" s="29">
        <f t="shared" si="9"/>
        <v>4.5999999999999996</v>
      </c>
      <c r="K12" s="33" t="e">
        <f t="shared" si="10"/>
        <v>#N/A</v>
      </c>
      <c r="L12" s="30" t="e">
        <f t="shared" si="11"/>
        <v>#N/A</v>
      </c>
      <c r="M12" s="30" t="e">
        <f t="shared" si="12"/>
        <v>#N/A</v>
      </c>
      <c r="N12" s="9" t="e">
        <f t="shared" si="13"/>
        <v>#N/A</v>
      </c>
      <c r="O12" s="9" t="e">
        <f t="shared" si="14"/>
        <v>#N/A</v>
      </c>
      <c r="P12" s="9" t="e">
        <f t="shared" si="15"/>
        <v>#N/A</v>
      </c>
      <c r="Q12" s="7" t="e">
        <f t="shared" si="17"/>
        <v>#N/A</v>
      </c>
      <c r="R12" s="7" t="e">
        <f t="shared" si="2"/>
        <v>#N/A</v>
      </c>
      <c r="S12" s="7" t="e">
        <f t="shared" si="2"/>
        <v>#N/A</v>
      </c>
      <c r="T12" s="7" t="e">
        <f t="shared" si="2"/>
        <v>#N/A</v>
      </c>
    </row>
    <row r="13" spans="1:20">
      <c r="A13" s="43">
        <f t="shared" ca="1" si="16"/>
        <v>36.54815795433376</v>
      </c>
      <c r="B13" s="38">
        <f t="array" aca="1" ref="B13" ca="1">SUMPRODUCT(IFERROR(E13:P13,""),IFERROR($E$49:$P$49,""))</f>
        <v>-16.415570637574753</v>
      </c>
      <c r="C13" s="1">
        <v>9</v>
      </c>
      <c r="D13" s="96">
        <f t="shared" si="3"/>
        <v>22.5</v>
      </c>
      <c r="E13" s="23">
        <f t="shared" si="4"/>
        <v>4.5</v>
      </c>
      <c r="F13" s="24">
        <f t="shared" si="5"/>
        <v>7.4</v>
      </c>
      <c r="G13" s="23">
        <f t="shared" si="6"/>
        <v>1.431</v>
      </c>
      <c r="H13" s="23">
        <f t="shared" si="7"/>
        <v>29.521999999999998</v>
      </c>
      <c r="I13" s="23">
        <f t="shared" si="8"/>
        <v>2.02</v>
      </c>
      <c r="J13" s="29">
        <f t="shared" si="9"/>
        <v>5.9</v>
      </c>
      <c r="K13" s="33" t="e">
        <f t="shared" si="10"/>
        <v>#N/A</v>
      </c>
      <c r="L13" s="30" t="e">
        <f t="shared" si="11"/>
        <v>#N/A</v>
      </c>
      <c r="M13" s="30" t="e">
        <f t="shared" si="12"/>
        <v>#N/A</v>
      </c>
      <c r="N13" s="9" t="e">
        <f t="shared" si="13"/>
        <v>#N/A</v>
      </c>
      <c r="O13" s="9" t="e">
        <f t="shared" si="14"/>
        <v>#N/A</v>
      </c>
      <c r="P13" s="9" t="e">
        <f t="shared" si="15"/>
        <v>#N/A</v>
      </c>
      <c r="Q13" s="7" t="e">
        <f t="shared" si="17"/>
        <v>#N/A</v>
      </c>
      <c r="R13" s="7" t="e">
        <f t="shared" si="2"/>
        <v>#N/A</v>
      </c>
      <c r="S13" s="7" t="e">
        <f t="shared" si="2"/>
        <v>#N/A</v>
      </c>
      <c r="T13" s="7" t="e">
        <f t="shared" si="2"/>
        <v>#N/A</v>
      </c>
    </row>
    <row r="14" spans="1:20">
      <c r="A14" s="43">
        <f t="shared" ca="1" si="16"/>
        <v>38.500095072621534</v>
      </c>
      <c r="B14" s="38">
        <f t="array" aca="1" ref="B14" ca="1">SUMPRODUCT(IFERROR(E14:P14,""),IFERROR($E$49:$P$49,""))</f>
        <v>-14.463633519286981</v>
      </c>
      <c r="C14" s="1">
        <v>10</v>
      </c>
      <c r="D14" s="96">
        <f t="shared" si="3"/>
        <v>66.8</v>
      </c>
      <c r="E14" s="23">
        <f t="shared" si="4"/>
        <v>1.6474807731736756</v>
      </c>
      <c r="F14" s="24">
        <f t="shared" si="5"/>
        <v>16.8</v>
      </c>
      <c r="G14" s="23">
        <f t="shared" si="6"/>
        <v>2.9910000000000001</v>
      </c>
      <c r="H14" s="23">
        <f t="shared" si="7"/>
        <v>65.185000000000002</v>
      </c>
      <c r="I14" s="23">
        <f t="shared" si="8"/>
        <v>22.97</v>
      </c>
      <c r="J14" s="29">
        <f t="shared" si="9"/>
        <v>7.9</v>
      </c>
      <c r="K14" s="33" t="e">
        <f t="shared" si="10"/>
        <v>#N/A</v>
      </c>
      <c r="L14" s="30" t="e">
        <f t="shared" si="11"/>
        <v>#N/A</v>
      </c>
      <c r="M14" s="30" t="e">
        <f t="shared" si="12"/>
        <v>#N/A</v>
      </c>
      <c r="N14" s="9" t="e">
        <f t="shared" si="13"/>
        <v>#N/A</v>
      </c>
      <c r="O14" s="9" t="e">
        <f t="shared" si="14"/>
        <v>#N/A</v>
      </c>
      <c r="P14" s="9" t="e">
        <f t="shared" si="15"/>
        <v>#N/A</v>
      </c>
      <c r="Q14" s="7" t="e">
        <f t="shared" si="17"/>
        <v>#N/A</v>
      </c>
      <c r="R14" s="7" t="e">
        <f t="shared" si="2"/>
        <v>#N/A</v>
      </c>
      <c r="S14" s="7" t="e">
        <f t="shared" si="2"/>
        <v>#N/A</v>
      </c>
      <c r="T14" s="7" t="e">
        <f t="shared" si="2"/>
        <v>#N/A</v>
      </c>
    </row>
    <row r="15" spans="1:20">
      <c r="A15" s="43">
        <f t="shared" ca="1" si="16"/>
        <v>28.834536083071811</v>
      </c>
      <c r="B15" s="38">
        <f t="array" aca="1" ref="B15" ca="1">SUMPRODUCT(IFERROR(E15:P15,""),IFERROR($E$49:$P$49,""))</f>
        <v>-24.129192508836702</v>
      </c>
      <c r="C15" s="1">
        <v>11</v>
      </c>
      <c r="D15" s="96">
        <f t="shared" si="3"/>
        <v>41.6</v>
      </c>
      <c r="E15" s="23">
        <f t="shared" si="4"/>
        <v>3.5408310642373224</v>
      </c>
      <c r="F15" s="24">
        <f t="shared" si="5"/>
        <v>15.7</v>
      </c>
      <c r="G15" s="23">
        <f t="shared" si="6"/>
        <v>0.97499999999999998</v>
      </c>
      <c r="H15" s="23">
        <f t="shared" si="7"/>
        <v>26.202999999999999</v>
      </c>
      <c r="I15" s="23">
        <f t="shared" si="8"/>
        <v>8.98</v>
      </c>
      <c r="J15" s="29">
        <f t="shared" si="9"/>
        <v>17.3</v>
      </c>
      <c r="K15" s="33" t="e">
        <f t="shared" si="10"/>
        <v>#N/A</v>
      </c>
      <c r="L15" s="30" t="e">
        <f t="shared" si="11"/>
        <v>#N/A</v>
      </c>
      <c r="M15" s="30" t="e">
        <f t="shared" si="12"/>
        <v>#N/A</v>
      </c>
      <c r="N15" s="9" t="e">
        <f t="shared" si="13"/>
        <v>#N/A</v>
      </c>
      <c r="O15" s="9" t="e">
        <f t="shared" si="14"/>
        <v>#N/A</v>
      </c>
      <c r="P15" s="9" t="e">
        <f t="shared" si="15"/>
        <v>#N/A</v>
      </c>
      <c r="Q15" s="7" t="e">
        <f t="shared" si="17"/>
        <v>#N/A</v>
      </c>
      <c r="R15" s="7" t="e">
        <f t="shared" si="2"/>
        <v>#N/A</v>
      </c>
      <c r="S15" s="7" t="e">
        <f t="shared" si="2"/>
        <v>#N/A</v>
      </c>
      <c r="T15" s="7" t="e">
        <f t="shared" si="2"/>
        <v>#N/A</v>
      </c>
    </row>
    <row r="16" spans="1:20">
      <c r="A16" s="43">
        <f t="shared" ca="1" si="16"/>
        <v>29.477071715053135</v>
      </c>
      <c r="B16" s="38">
        <f t="array" aca="1" ref="B16" ca="1">SUMPRODUCT(IFERROR(E16:P16,""),IFERROR($E$49:$P$49,""))</f>
        <v>-23.486656876855378</v>
      </c>
      <c r="C16" s="1">
        <v>12</v>
      </c>
      <c r="D16" s="96">
        <f t="shared" si="3"/>
        <v>27.2</v>
      </c>
      <c r="E16" s="23">
        <f t="shared" si="4"/>
        <v>4.5</v>
      </c>
      <c r="F16" s="24">
        <f t="shared" si="5"/>
        <v>7.9</v>
      </c>
      <c r="G16" s="23">
        <f t="shared" si="6"/>
        <v>3.8410000000000002</v>
      </c>
      <c r="H16" s="23">
        <f t="shared" si="7"/>
        <v>11.54</v>
      </c>
      <c r="I16" s="23">
        <f t="shared" si="8"/>
        <v>5.2</v>
      </c>
      <c r="J16" s="29">
        <f t="shared" si="9"/>
        <v>6.5</v>
      </c>
      <c r="K16" s="33" t="e">
        <f t="shared" si="10"/>
        <v>#N/A</v>
      </c>
      <c r="L16" s="30" t="e">
        <f t="shared" si="11"/>
        <v>#N/A</v>
      </c>
      <c r="M16" s="30" t="e">
        <f t="shared" si="12"/>
        <v>#N/A</v>
      </c>
      <c r="N16" s="9" t="e">
        <f t="shared" si="13"/>
        <v>#N/A</v>
      </c>
      <c r="O16" s="9" t="e">
        <f t="shared" si="14"/>
        <v>#N/A</v>
      </c>
      <c r="P16" s="9" t="e">
        <f t="shared" si="15"/>
        <v>#N/A</v>
      </c>
      <c r="Q16" s="7" t="e">
        <f t="shared" si="17"/>
        <v>#N/A</v>
      </c>
      <c r="R16" s="7" t="e">
        <f t="shared" si="2"/>
        <v>#N/A</v>
      </c>
      <c r="S16" s="7" t="e">
        <f t="shared" si="2"/>
        <v>#N/A</v>
      </c>
      <c r="T16" s="7" t="e">
        <f t="shared" si="2"/>
        <v>#N/A</v>
      </c>
    </row>
    <row r="17" spans="1:20">
      <c r="A17" s="43">
        <f t="shared" ca="1" si="16"/>
        <v>50.310905164025691</v>
      </c>
      <c r="B17" s="38">
        <f t="array" aca="1" ref="B17" ca="1">SUMPRODUCT(IFERROR(E17:P17,""),IFERROR($E$49:$P$49,""))</f>
        <v>-2.6528234278828196</v>
      </c>
      <c r="C17" s="1">
        <v>13</v>
      </c>
      <c r="D17" s="96">
        <f t="shared" si="3"/>
        <v>74</v>
      </c>
      <c r="E17" s="23">
        <f t="shared" si="4"/>
        <v>1.7531999141994159</v>
      </c>
      <c r="F17" s="24">
        <f t="shared" si="5"/>
        <v>6.9</v>
      </c>
      <c r="G17" s="23">
        <f t="shared" si="6"/>
        <v>0.433</v>
      </c>
      <c r="H17" s="23">
        <f t="shared" si="7"/>
        <v>61.848999999999997</v>
      </c>
      <c r="I17" s="23">
        <f t="shared" si="8"/>
        <v>18.489999999999998</v>
      </c>
      <c r="J17" s="29">
        <f t="shared" si="9"/>
        <v>5.6</v>
      </c>
      <c r="K17" s="33" t="e">
        <f t="shared" si="10"/>
        <v>#N/A</v>
      </c>
      <c r="L17" s="30" t="e">
        <f t="shared" si="11"/>
        <v>#N/A</v>
      </c>
      <c r="M17" s="30" t="e">
        <f t="shared" si="12"/>
        <v>#N/A</v>
      </c>
      <c r="N17" s="9" t="e">
        <f t="shared" si="13"/>
        <v>#N/A</v>
      </c>
      <c r="O17" s="9" t="e">
        <f t="shared" si="14"/>
        <v>#N/A</v>
      </c>
      <c r="P17" s="9" t="e">
        <f t="shared" si="15"/>
        <v>#N/A</v>
      </c>
      <c r="Q17" s="7" t="e">
        <f t="shared" si="17"/>
        <v>#N/A</v>
      </c>
      <c r="R17" s="7" t="e">
        <f t="shared" si="2"/>
        <v>#N/A</v>
      </c>
      <c r="S17" s="7" t="e">
        <f t="shared" si="2"/>
        <v>#N/A</v>
      </c>
      <c r="T17" s="7" t="e">
        <f t="shared" si="2"/>
        <v>#N/A</v>
      </c>
    </row>
    <row r="18" spans="1:20">
      <c r="A18" s="43">
        <f t="shared" ca="1" si="16"/>
        <v>14.899029579351946</v>
      </c>
      <c r="B18" s="38">
        <f t="array" aca="1" ref="B18" ca="1">SUMPRODUCT(IFERROR(E18:P18,""),IFERROR($E$49:$P$49,""))</f>
        <v>-38.064699012556567</v>
      </c>
      <c r="C18" s="1">
        <v>14</v>
      </c>
      <c r="D18" s="96">
        <f t="shared" si="3"/>
        <v>4.5999999999999996</v>
      </c>
      <c r="E18" s="23">
        <f t="shared" si="4"/>
        <v>1.2005769267548481</v>
      </c>
      <c r="F18" s="24">
        <f t="shared" si="5"/>
        <v>23.3</v>
      </c>
      <c r="G18" s="23">
        <f t="shared" si="6"/>
        <v>5.0810000000000004</v>
      </c>
      <c r="H18" s="23">
        <f t="shared" si="7"/>
        <v>112</v>
      </c>
      <c r="I18" s="23">
        <f t="shared" si="8"/>
        <v>1.26</v>
      </c>
      <c r="J18" s="29">
        <f t="shared" si="9"/>
        <v>8.6999999999999993</v>
      </c>
      <c r="K18" s="33" t="e">
        <f t="shared" si="10"/>
        <v>#N/A</v>
      </c>
      <c r="L18" s="30" t="e">
        <f t="shared" si="11"/>
        <v>#N/A</v>
      </c>
      <c r="M18" s="30" t="e">
        <f t="shared" si="12"/>
        <v>#N/A</v>
      </c>
      <c r="N18" s="9" t="e">
        <f t="shared" si="13"/>
        <v>#N/A</v>
      </c>
      <c r="O18" s="9" t="e">
        <f t="shared" si="14"/>
        <v>#N/A</v>
      </c>
      <c r="P18" s="9" t="e">
        <f t="shared" si="15"/>
        <v>#N/A</v>
      </c>
      <c r="Q18" s="7" t="e">
        <f t="shared" si="17"/>
        <v>#N/A</v>
      </c>
      <c r="R18" s="7" t="e">
        <f t="shared" si="2"/>
        <v>#N/A</v>
      </c>
      <c r="S18" s="7" t="e">
        <f t="shared" si="2"/>
        <v>#N/A</v>
      </c>
      <c r="T18" s="7" t="e">
        <f t="shared" si="2"/>
        <v>#N/A</v>
      </c>
    </row>
    <row r="19" spans="1:20">
      <c r="A19" s="43">
        <f t="shared" ca="1" si="16"/>
        <v>33.269097461036132</v>
      </c>
      <c r="B19" s="38">
        <f t="array" aca="1" ref="B19" ca="1">SUMPRODUCT(IFERROR(E19:P19,""),IFERROR($E$49:$P$49,""))</f>
        <v>-19.694631130872381</v>
      </c>
      <c r="C19" s="1">
        <v>15</v>
      </c>
      <c r="D19" s="96">
        <f t="shared" si="3"/>
        <v>24.7</v>
      </c>
      <c r="E19" s="23">
        <f t="shared" si="4"/>
        <v>4.5216577487453833</v>
      </c>
      <c r="F19" s="24">
        <f t="shared" si="5"/>
        <v>7.9</v>
      </c>
      <c r="G19" s="23">
        <f t="shared" si="6"/>
        <v>1.7090000000000001</v>
      </c>
      <c r="H19" s="23">
        <f t="shared" si="7"/>
        <v>19.646000000000001</v>
      </c>
      <c r="I19" s="23">
        <f t="shared" si="8"/>
        <v>5.04</v>
      </c>
      <c r="J19" s="29">
        <f t="shared" si="9"/>
        <v>9.9</v>
      </c>
      <c r="K19" s="33" t="e">
        <f t="shared" si="10"/>
        <v>#N/A</v>
      </c>
      <c r="L19" s="30" t="e">
        <f t="shared" si="11"/>
        <v>#N/A</v>
      </c>
      <c r="M19" s="30" t="e">
        <f t="shared" si="12"/>
        <v>#N/A</v>
      </c>
      <c r="N19" s="9" t="e">
        <f t="shared" si="13"/>
        <v>#N/A</v>
      </c>
      <c r="O19" s="9" t="e">
        <f t="shared" si="14"/>
        <v>#N/A</v>
      </c>
      <c r="P19" s="9" t="e">
        <f t="shared" si="15"/>
        <v>#N/A</v>
      </c>
      <c r="Q19" s="7" t="e">
        <f t="shared" si="17"/>
        <v>#N/A</v>
      </c>
      <c r="R19" s="7" t="e">
        <f t="shared" si="2"/>
        <v>#N/A</v>
      </c>
      <c r="S19" s="7" t="e">
        <f t="shared" si="2"/>
        <v>#N/A</v>
      </c>
      <c r="T19" s="7" t="e">
        <f t="shared" si="2"/>
        <v>#N/A</v>
      </c>
    </row>
    <row r="20" spans="1:20">
      <c r="A20" s="43">
        <f t="shared" ca="1" si="16"/>
        <v>19.473771255136555</v>
      </c>
      <c r="B20" s="38">
        <f t="array" aca="1" ref="B20" ca="1">SUMPRODUCT(IFERROR(E20:P20,""),IFERROR($E$49:$P$49,""))</f>
        <v>-33.489957336771958</v>
      </c>
      <c r="C20" s="1">
        <v>16</v>
      </c>
      <c r="D20" s="96">
        <f t="shared" si="3"/>
        <v>14.4</v>
      </c>
      <c r="E20" s="23">
        <f t="shared" si="4"/>
        <v>2.1608585306799912</v>
      </c>
      <c r="F20" s="24">
        <f t="shared" si="5"/>
        <v>14.5</v>
      </c>
      <c r="G20" s="23">
        <f t="shared" si="6"/>
        <v>3.085</v>
      </c>
      <c r="H20" s="23">
        <f t="shared" si="7"/>
        <v>26.344000000000001</v>
      </c>
      <c r="I20" s="23">
        <f t="shared" si="8"/>
        <v>3.68</v>
      </c>
      <c r="J20" s="29">
        <f t="shared" si="9"/>
        <v>17.3</v>
      </c>
      <c r="K20" s="33" t="e">
        <f t="shared" si="10"/>
        <v>#N/A</v>
      </c>
      <c r="L20" s="30" t="e">
        <f t="shared" si="11"/>
        <v>#N/A</v>
      </c>
      <c r="M20" s="30" t="e">
        <f t="shared" si="12"/>
        <v>#N/A</v>
      </c>
      <c r="N20" s="9" t="e">
        <f t="shared" si="13"/>
        <v>#N/A</v>
      </c>
      <c r="O20" s="9" t="e">
        <f t="shared" si="14"/>
        <v>#N/A</v>
      </c>
      <c r="P20" s="9" t="e">
        <f t="shared" si="15"/>
        <v>#N/A</v>
      </c>
      <c r="Q20" s="7" t="e">
        <f t="shared" si="17"/>
        <v>#N/A</v>
      </c>
      <c r="R20" s="7" t="e">
        <f t="shared" ref="R20:R44" si="18">HLOOKUP(R$3,$E$70:$T$111,$C21+1,FALSE)</f>
        <v>#N/A</v>
      </c>
      <c r="S20" s="7" t="e">
        <f t="shared" ref="S20:S44" si="19">HLOOKUP(S$3,$E$70:$T$111,$C21+1,FALSE)</f>
        <v>#N/A</v>
      </c>
      <c r="T20" s="7" t="e">
        <f t="shared" ref="T20:T44" si="20">HLOOKUP(T$3,$E$70:$T$111,$C21+1,FALSE)</f>
        <v>#N/A</v>
      </c>
    </row>
    <row r="21" spans="1:20">
      <c r="A21" s="43">
        <f t="shared" ca="1" si="16"/>
        <v>27.505420760863029</v>
      </c>
      <c r="B21" s="38">
        <f t="array" aca="1" ref="B21" ca="1">SUMPRODUCT(IFERROR(E21:P21,""),IFERROR($E$49:$P$49,""))</f>
        <v>-25.458307831045484</v>
      </c>
      <c r="C21" s="1">
        <v>17</v>
      </c>
      <c r="D21" s="96">
        <f t="shared" si="3"/>
        <v>22.9</v>
      </c>
      <c r="E21" s="23">
        <f t="shared" si="4"/>
        <v>1.3868555291847242</v>
      </c>
      <c r="F21" s="24">
        <f t="shared" si="5"/>
        <v>9.9</v>
      </c>
      <c r="G21" s="23">
        <f t="shared" si="6"/>
        <v>2.2999999999999998</v>
      </c>
      <c r="H21" s="23">
        <f t="shared" si="7"/>
        <v>63.185000000000002</v>
      </c>
      <c r="I21" s="23">
        <f t="shared" si="8"/>
        <v>-16.57</v>
      </c>
      <c r="J21" s="29">
        <f t="shared" si="9"/>
        <v>1.9</v>
      </c>
      <c r="K21" s="33" t="e">
        <f t="shared" si="10"/>
        <v>#N/A</v>
      </c>
      <c r="L21" s="30" t="e">
        <f t="shared" si="11"/>
        <v>#N/A</v>
      </c>
      <c r="M21" s="30" t="e">
        <f t="shared" si="12"/>
        <v>#N/A</v>
      </c>
      <c r="N21" s="9" t="e">
        <f t="shared" si="13"/>
        <v>#N/A</v>
      </c>
      <c r="O21" s="9" t="e">
        <f t="shared" si="14"/>
        <v>#N/A</v>
      </c>
      <c r="P21" s="9" t="e">
        <f t="shared" si="15"/>
        <v>#N/A</v>
      </c>
      <c r="Q21" s="7" t="e">
        <f t="shared" si="17"/>
        <v>#N/A</v>
      </c>
      <c r="R21" s="7" t="e">
        <f t="shared" si="18"/>
        <v>#N/A</v>
      </c>
      <c r="S21" s="7" t="e">
        <f t="shared" si="19"/>
        <v>#N/A</v>
      </c>
      <c r="T21" s="7" t="e">
        <f t="shared" si="20"/>
        <v>#N/A</v>
      </c>
    </row>
    <row r="22" spans="1:20">
      <c r="A22" s="43">
        <f t="shared" ca="1" si="16"/>
        <v>40.912808501050137</v>
      </c>
      <c r="B22" s="38">
        <f t="array" aca="1" ref="B22" ca="1">SUMPRODUCT(IFERROR(E22:P22,""),IFERROR($E$49:$P$49,""))</f>
        <v>-12.050920090858376</v>
      </c>
      <c r="C22" s="1">
        <v>18</v>
      </c>
      <c r="D22" s="96">
        <f t="shared" si="3"/>
        <v>25.8</v>
      </c>
      <c r="E22" s="23">
        <f t="shared" si="4"/>
        <v>1.2938043599193367</v>
      </c>
      <c r="F22" s="24">
        <f t="shared" si="5"/>
        <v>6.6</v>
      </c>
      <c r="G22" s="23">
        <f t="shared" si="6"/>
        <v>1.849</v>
      </c>
      <c r="H22" s="23">
        <f t="shared" si="7"/>
        <v>67.024000000000001</v>
      </c>
      <c r="I22" s="23">
        <f t="shared" si="8"/>
        <v>1.92</v>
      </c>
      <c r="J22" s="29">
        <f t="shared" si="9"/>
        <v>1.1000000000000001</v>
      </c>
      <c r="K22" s="33" t="e">
        <f t="shared" si="10"/>
        <v>#N/A</v>
      </c>
      <c r="L22" s="30" t="e">
        <f t="shared" si="11"/>
        <v>#N/A</v>
      </c>
      <c r="M22" s="30" t="e">
        <f t="shared" si="12"/>
        <v>#N/A</v>
      </c>
      <c r="N22" s="9" t="e">
        <f t="shared" si="13"/>
        <v>#N/A</v>
      </c>
      <c r="O22" s="9" t="e">
        <f t="shared" si="14"/>
        <v>#N/A</v>
      </c>
      <c r="P22" s="9" t="e">
        <f t="shared" si="15"/>
        <v>#N/A</v>
      </c>
      <c r="Q22" s="7" t="e">
        <f t="shared" si="17"/>
        <v>#N/A</v>
      </c>
      <c r="R22" s="7" t="e">
        <f t="shared" si="18"/>
        <v>#N/A</v>
      </c>
      <c r="S22" s="7" t="e">
        <f t="shared" si="19"/>
        <v>#N/A</v>
      </c>
      <c r="T22" s="7" t="e">
        <f t="shared" si="20"/>
        <v>#N/A</v>
      </c>
    </row>
    <row r="23" spans="1:20">
      <c r="A23" s="43">
        <f t="shared" ca="1" si="16"/>
        <v>45.238828951986626</v>
      </c>
      <c r="B23" s="38">
        <f t="array" aca="1" ref="B23" ca="1">SUMPRODUCT(IFERROR(E23:P23,""),IFERROR($E$49:$P$49,""))</f>
        <v>-7.7248996399218859</v>
      </c>
      <c r="C23" s="1">
        <v>19</v>
      </c>
      <c r="D23" s="96">
        <f t="shared" si="3"/>
        <v>60.1</v>
      </c>
      <c r="E23" s="23">
        <f t="shared" si="4"/>
        <v>0.66838591669000014</v>
      </c>
      <c r="F23" s="24">
        <f t="shared" si="5"/>
        <v>3.2</v>
      </c>
      <c r="G23" s="23">
        <f t="shared" si="6"/>
        <v>1.1519999999999999</v>
      </c>
      <c r="H23" s="23">
        <f t="shared" si="7"/>
        <v>26.568000000000001</v>
      </c>
      <c r="I23" s="23">
        <f t="shared" si="8"/>
        <v>3.13</v>
      </c>
      <c r="J23" s="29">
        <f t="shared" si="9"/>
        <v>2.8</v>
      </c>
      <c r="K23" s="33" t="e">
        <f t="shared" si="10"/>
        <v>#N/A</v>
      </c>
      <c r="L23" s="30" t="e">
        <f t="shared" si="11"/>
        <v>#N/A</v>
      </c>
      <c r="M23" s="30" t="e">
        <f t="shared" si="12"/>
        <v>#N/A</v>
      </c>
      <c r="N23" s="9" t="e">
        <f t="shared" si="13"/>
        <v>#N/A</v>
      </c>
      <c r="O23" s="9" t="e">
        <f t="shared" si="14"/>
        <v>#N/A</v>
      </c>
      <c r="P23" s="9" t="e">
        <f t="shared" si="15"/>
        <v>#N/A</v>
      </c>
      <c r="Q23" s="7" t="e">
        <f t="shared" si="17"/>
        <v>#N/A</v>
      </c>
      <c r="R23" s="7" t="e">
        <f t="shared" si="18"/>
        <v>#N/A</v>
      </c>
      <c r="S23" s="7" t="e">
        <f t="shared" si="19"/>
        <v>#N/A</v>
      </c>
      <c r="T23" s="7" t="e">
        <f t="shared" si="20"/>
        <v>#N/A</v>
      </c>
    </row>
    <row r="24" spans="1:20">
      <c r="A24" s="43">
        <f t="shared" ca="1" si="16"/>
        <v>34.149110085132861</v>
      </c>
      <c r="B24" s="38">
        <f t="array" aca="1" ref="B24" ca="1">SUMPRODUCT(IFERROR(E24:P24,""),IFERROR($E$49:$P$49,""))</f>
        <v>-18.814618506775656</v>
      </c>
      <c r="C24" s="1">
        <v>20</v>
      </c>
      <c r="D24" s="96">
        <f t="shared" si="3"/>
        <v>30.2</v>
      </c>
      <c r="E24" s="23">
        <f t="shared" si="4"/>
        <v>2.0473138158153881</v>
      </c>
      <c r="F24" s="24">
        <f t="shared" si="5"/>
        <v>11.1</v>
      </c>
      <c r="G24" s="23">
        <f t="shared" si="6"/>
        <v>1.268</v>
      </c>
      <c r="H24" s="23">
        <f t="shared" si="7"/>
        <v>105.297</v>
      </c>
      <c r="I24" s="23">
        <f t="shared" si="8"/>
        <v>6.74</v>
      </c>
      <c r="J24" s="29">
        <f t="shared" si="9"/>
        <v>9.1</v>
      </c>
      <c r="K24" s="33" t="e">
        <f t="shared" si="10"/>
        <v>#N/A</v>
      </c>
      <c r="L24" s="30" t="e">
        <f t="shared" si="11"/>
        <v>#N/A</v>
      </c>
      <c r="M24" s="30" t="e">
        <f t="shared" si="12"/>
        <v>#N/A</v>
      </c>
      <c r="N24" s="9" t="e">
        <f t="shared" si="13"/>
        <v>#N/A</v>
      </c>
      <c r="O24" s="9" t="e">
        <f t="shared" si="14"/>
        <v>#N/A</v>
      </c>
      <c r="P24" s="9" t="e">
        <f t="shared" si="15"/>
        <v>#N/A</v>
      </c>
      <c r="Q24" s="7" t="e">
        <f t="shared" si="17"/>
        <v>#N/A</v>
      </c>
      <c r="R24" s="7" t="e">
        <f t="shared" si="18"/>
        <v>#N/A</v>
      </c>
      <c r="S24" s="7" t="e">
        <f t="shared" si="19"/>
        <v>#N/A</v>
      </c>
      <c r="T24" s="7" t="e">
        <f t="shared" si="20"/>
        <v>#N/A</v>
      </c>
    </row>
    <row r="25" spans="1:20">
      <c r="A25" s="43">
        <f t="shared" ca="1" si="16"/>
        <v>34.505578707145013</v>
      </c>
      <c r="B25" s="38">
        <f t="array" aca="1" ref="B25" ca="1">SUMPRODUCT(IFERROR(E25:P25,""),IFERROR($E$49:$P$49,""))</f>
        <v>-18.4581498847635</v>
      </c>
      <c r="C25" s="1">
        <v>21</v>
      </c>
      <c r="D25" s="96">
        <f t="shared" si="3"/>
        <v>25.9</v>
      </c>
      <c r="E25" s="23">
        <f t="shared" si="4"/>
        <v>1.63978521298682</v>
      </c>
      <c r="F25" s="24">
        <f t="shared" si="5"/>
        <v>10.9</v>
      </c>
      <c r="G25" s="23">
        <f t="shared" si="6"/>
        <v>2.778</v>
      </c>
      <c r="H25" s="23">
        <f t="shared" si="7"/>
        <v>34.716000000000001</v>
      </c>
      <c r="I25" s="23">
        <f t="shared" si="8"/>
        <v>13.96</v>
      </c>
      <c r="J25" s="29">
        <f t="shared" si="9"/>
        <v>10.3</v>
      </c>
      <c r="K25" s="33" t="e">
        <f t="shared" si="10"/>
        <v>#N/A</v>
      </c>
      <c r="L25" s="30" t="e">
        <f t="shared" si="11"/>
        <v>#N/A</v>
      </c>
      <c r="M25" s="30" t="e">
        <f t="shared" si="12"/>
        <v>#N/A</v>
      </c>
      <c r="N25" s="9" t="e">
        <f t="shared" si="13"/>
        <v>#N/A</v>
      </c>
      <c r="O25" s="9" t="e">
        <f t="shared" si="14"/>
        <v>#N/A</v>
      </c>
      <c r="P25" s="9" t="e">
        <f t="shared" si="15"/>
        <v>#N/A</v>
      </c>
      <c r="Q25" s="7" t="e">
        <f t="shared" si="17"/>
        <v>#N/A</v>
      </c>
      <c r="R25" s="7" t="e">
        <f t="shared" si="18"/>
        <v>#N/A</v>
      </c>
      <c r="S25" s="7" t="e">
        <f t="shared" si="19"/>
        <v>#N/A</v>
      </c>
      <c r="T25" s="7" t="e">
        <f t="shared" si="20"/>
        <v>#N/A</v>
      </c>
    </row>
    <row r="26" spans="1:20">
      <c r="A26" s="43">
        <f t="shared" ca="1" si="16"/>
        <v>31.374853654444461</v>
      </c>
      <c r="B26" s="38">
        <f t="array" aca="1" ref="B26" ca="1">SUMPRODUCT(IFERROR(E26:P26,""),IFERROR($E$49:$P$49,""))</f>
        <v>-21.588874937464052</v>
      </c>
      <c r="C26" s="1">
        <v>22</v>
      </c>
      <c r="D26" s="96">
        <f t="shared" si="3"/>
        <v>33.200000000000003</v>
      </c>
      <c r="E26" s="23">
        <f t="shared" si="4"/>
        <v>3.7980502275653722</v>
      </c>
      <c r="F26" s="24">
        <f t="shared" si="5"/>
        <v>8.6</v>
      </c>
      <c r="G26" s="23">
        <f t="shared" si="6"/>
        <v>3.3119999999999998</v>
      </c>
      <c r="H26" s="23">
        <f t="shared" si="7"/>
        <v>24.498999999999999</v>
      </c>
      <c r="I26" s="23">
        <f t="shared" si="8"/>
        <v>4.76</v>
      </c>
      <c r="J26" s="29">
        <f t="shared" si="9"/>
        <v>6.1</v>
      </c>
      <c r="K26" s="33" t="e">
        <f t="shared" si="10"/>
        <v>#N/A</v>
      </c>
      <c r="L26" s="30" t="e">
        <f t="shared" si="11"/>
        <v>#N/A</v>
      </c>
      <c r="M26" s="30" t="e">
        <f t="shared" si="12"/>
        <v>#N/A</v>
      </c>
      <c r="N26" s="9" t="e">
        <f t="shared" si="13"/>
        <v>#N/A</v>
      </c>
      <c r="O26" s="9" t="e">
        <f t="shared" si="14"/>
        <v>#N/A</v>
      </c>
      <c r="P26" s="9" t="e">
        <f t="shared" si="15"/>
        <v>#N/A</v>
      </c>
      <c r="Q26" s="7" t="e">
        <f t="shared" si="17"/>
        <v>#N/A</v>
      </c>
      <c r="R26" s="7" t="e">
        <f t="shared" si="18"/>
        <v>#N/A</v>
      </c>
      <c r="S26" s="7" t="e">
        <f t="shared" si="19"/>
        <v>#N/A</v>
      </c>
      <c r="T26" s="7" t="e">
        <f t="shared" si="20"/>
        <v>#N/A</v>
      </c>
    </row>
    <row r="27" spans="1:20">
      <c r="A27" s="43">
        <f t="shared" ca="1" si="16"/>
        <v>27.381171003732518</v>
      </c>
      <c r="B27" s="38">
        <f t="array" aca="1" ref="B27" ca="1">SUMPRODUCT(IFERROR(E27:P27,""),IFERROR($E$49:$P$49,""))</f>
        <v>-25.582557588175995</v>
      </c>
      <c r="C27" s="1">
        <v>23</v>
      </c>
      <c r="D27" s="96">
        <f t="shared" si="3"/>
        <v>25.1</v>
      </c>
      <c r="E27" s="23">
        <f t="shared" si="4"/>
        <v>2.2785935682411336</v>
      </c>
      <c r="F27" s="24">
        <f t="shared" si="5"/>
        <v>11.4</v>
      </c>
      <c r="G27" s="23">
        <f t="shared" si="6"/>
        <v>2.1520000000000001</v>
      </c>
      <c r="H27" s="23">
        <f t="shared" si="7"/>
        <v>45.140999999999998</v>
      </c>
      <c r="I27" s="23">
        <f t="shared" si="8"/>
        <v>3.6</v>
      </c>
      <c r="J27" s="29">
        <f t="shared" si="9"/>
        <v>12.9</v>
      </c>
      <c r="K27" s="33" t="e">
        <f t="shared" si="10"/>
        <v>#N/A</v>
      </c>
      <c r="L27" s="30" t="e">
        <f t="shared" si="11"/>
        <v>#N/A</v>
      </c>
      <c r="M27" s="30" t="e">
        <f t="shared" si="12"/>
        <v>#N/A</v>
      </c>
      <c r="N27" s="9" t="e">
        <f t="shared" si="13"/>
        <v>#N/A</v>
      </c>
      <c r="O27" s="9" t="e">
        <f t="shared" si="14"/>
        <v>#N/A</v>
      </c>
      <c r="P27" s="9" t="e">
        <f t="shared" si="15"/>
        <v>#N/A</v>
      </c>
      <c r="Q27" s="7" t="e">
        <f t="shared" si="17"/>
        <v>#N/A</v>
      </c>
      <c r="R27" s="7" t="e">
        <f t="shared" si="18"/>
        <v>#N/A</v>
      </c>
      <c r="S27" s="7" t="e">
        <f t="shared" si="19"/>
        <v>#N/A</v>
      </c>
      <c r="T27" s="7" t="e">
        <f t="shared" si="20"/>
        <v>#N/A</v>
      </c>
    </row>
    <row r="28" spans="1:20">
      <c r="A28" s="43">
        <f t="shared" ca="1" si="16"/>
        <v>1.9956087503458875</v>
      </c>
      <c r="B28" s="38">
        <f t="array" aca="1" ref="B28" ca="1">SUMPRODUCT(IFERROR(E28:P28,""),IFERROR($E$49:$P$49,""))</f>
        <v>-50.968119841562626</v>
      </c>
      <c r="C28" s="1">
        <v>24</v>
      </c>
      <c r="D28" s="96">
        <f>IF(ISNUMBER(D95),D95,NA())</f>
        <v>15.7</v>
      </c>
      <c r="E28" s="23">
        <f t="shared" si="4"/>
        <v>4.5</v>
      </c>
      <c r="F28" s="24">
        <f t="shared" si="5"/>
        <v>23</v>
      </c>
      <c r="G28" s="23">
        <f t="shared" si="6"/>
        <v>1.91</v>
      </c>
      <c r="H28" s="23">
        <f t="shared" si="7"/>
        <v>103.312</v>
      </c>
      <c r="I28" s="23">
        <f t="shared" si="8"/>
        <v>-33.89</v>
      </c>
      <c r="J28" s="29">
        <f t="shared" si="9"/>
        <v>11.8</v>
      </c>
      <c r="K28" s="33" t="e">
        <f t="shared" si="10"/>
        <v>#N/A</v>
      </c>
      <c r="L28" s="30" t="e">
        <f t="shared" si="11"/>
        <v>#N/A</v>
      </c>
      <c r="M28" s="30" t="e">
        <f t="shared" si="12"/>
        <v>#N/A</v>
      </c>
      <c r="N28" s="9" t="e">
        <f t="shared" si="13"/>
        <v>#N/A</v>
      </c>
      <c r="O28" s="9" t="e">
        <f t="shared" si="14"/>
        <v>#N/A</v>
      </c>
      <c r="P28" s="9" t="e">
        <f t="shared" si="15"/>
        <v>#N/A</v>
      </c>
      <c r="Q28" s="7" t="e">
        <f t="shared" si="17"/>
        <v>#N/A</v>
      </c>
      <c r="R28" s="7" t="e">
        <f t="shared" si="18"/>
        <v>#N/A</v>
      </c>
      <c r="S28" s="7" t="e">
        <f t="shared" si="19"/>
        <v>#N/A</v>
      </c>
      <c r="T28" s="7" t="e">
        <f t="shared" si="20"/>
        <v>#N/A</v>
      </c>
    </row>
    <row r="29" spans="1:20">
      <c r="A29" s="43">
        <f t="shared" ca="1" si="16"/>
        <v>34.643744654285399</v>
      </c>
      <c r="B29" s="38">
        <f t="array" aca="1" ref="B29" ca="1">SUMPRODUCT(IFERROR(E29:P29,""),IFERROR($E$49:$P$49,""))</f>
        <v>-18.319983937623114</v>
      </c>
      <c r="C29" s="1">
        <v>25</v>
      </c>
      <c r="D29" s="96">
        <f t="shared" si="3"/>
        <v>38.6</v>
      </c>
      <c r="E29" s="23">
        <f t="shared" si="4"/>
        <v>2.6770043618401727</v>
      </c>
      <c r="F29" s="24">
        <f t="shared" si="5"/>
        <v>7.1</v>
      </c>
      <c r="G29" s="23">
        <f t="shared" si="6"/>
        <v>2.145</v>
      </c>
      <c r="H29" s="23">
        <f t="shared" si="7"/>
        <v>24.538</v>
      </c>
      <c r="I29" s="23">
        <f t="shared" si="8"/>
        <v>3.54</v>
      </c>
      <c r="J29" s="29">
        <f t="shared" si="9"/>
        <v>7.5</v>
      </c>
      <c r="K29" s="33" t="e">
        <f t="shared" si="10"/>
        <v>#N/A</v>
      </c>
      <c r="L29" s="30" t="e">
        <f t="shared" si="11"/>
        <v>#N/A</v>
      </c>
      <c r="M29" s="30" t="e">
        <f t="shared" si="12"/>
        <v>#N/A</v>
      </c>
      <c r="N29" s="9" t="e">
        <f t="shared" si="13"/>
        <v>#N/A</v>
      </c>
      <c r="O29" s="9" t="e">
        <f t="shared" si="14"/>
        <v>#N/A</v>
      </c>
      <c r="P29" s="9" t="e">
        <f t="shared" si="15"/>
        <v>#N/A</v>
      </c>
      <c r="Q29" s="7" t="e">
        <f t="shared" si="17"/>
        <v>#N/A</v>
      </c>
      <c r="R29" s="7" t="e">
        <f t="shared" si="18"/>
        <v>#N/A</v>
      </c>
      <c r="S29" s="7" t="e">
        <f t="shared" si="19"/>
        <v>#N/A</v>
      </c>
      <c r="T29" s="7" t="e">
        <f t="shared" si="20"/>
        <v>#N/A</v>
      </c>
    </row>
    <row r="30" spans="1:20">
      <c r="A30" s="43">
        <f t="shared" ca="1" si="16"/>
        <v>38.855714084794329</v>
      </c>
      <c r="B30" s="38">
        <f t="array" aca="1" ref="B30" ca="1">SUMPRODUCT(IFERROR(E30:P30,""),IFERROR($E$49:$P$49,""))</f>
        <v>-14.108014507114182</v>
      </c>
      <c r="C30" s="1">
        <v>26</v>
      </c>
      <c r="D30" s="96">
        <f t="shared" si="3"/>
        <v>28.6</v>
      </c>
      <c r="E30" s="23">
        <f t="shared" si="4"/>
        <v>2.5775147777733647</v>
      </c>
      <c r="F30" s="24">
        <f t="shared" si="5"/>
        <v>8.9</v>
      </c>
      <c r="G30" s="23">
        <f t="shared" si="6"/>
        <v>0</v>
      </c>
      <c r="H30" s="23">
        <f t="shared" si="7"/>
        <v>56.74</v>
      </c>
      <c r="I30" s="23">
        <f t="shared" si="8"/>
        <v>2.86</v>
      </c>
      <c r="J30" s="29">
        <f t="shared" si="9"/>
        <v>9</v>
      </c>
      <c r="K30" s="33" t="e">
        <f t="shared" si="10"/>
        <v>#N/A</v>
      </c>
      <c r="L30" s="30" t="e">
        <f t="shared" si="11"/>
        <v>#N/A</v>
      </c>
      <c r="M30" s="30" t="e">
        <f t="shared" si="12"/>
        <v>#N/A</v>
      </c>
      <c r="N30" s="9" t="e">
        <f t="shared" si="13"/>
        <v>#N/A</v>
      </c>
      <c r="O30" s="9" t="e">
        <f t="shared" si="14"/>
        <v>#N/A</v>
      </c>
      <c r="P30" s="9" t="e">
        <f t="shared" si="15"/>
        <v>#N/A</v>
      </c>
      <c r="Q30" s="7" t="e">
        <f t="shared" si="17"/>
        <v>#N/A</v>
      </c>
      <c r="R30" s="7" t="e">
        <f t="shared" si="18"/>
        <v>#N/A</v>
      </c>
      <c r="S30" s="7" t="e">
        <f t="shared" si="19"/>
        <v>#N/A</v>
      </c>
      <c r="T30" s="7" t="e">
        <f t="shared" si="20"/>
        <v>#N/A</v>
      </c>
    </row>
    <row r="31" spans="1:20">
      <c r="A31" s="43">
        <f t="shared" ca="1" si="16"/>
        <v>33.720435244489778</v>
      </c>
      <c r="B31" s="38">
        <f t="array" aca="1" ref="B31" ca="1">SUMPRODUCT(IFERROR(E31:P31,""),IFERROR($E$49:$P$49,""))</f>
        <v>-19.243293347418735</v>
      </c>
      <c r="C31" s="1">
        <v>27</v>
      </c>
      <c r="D31" s="96">
        <f t="shared" si="3"/>
        <v>33.5</v>
      </c>
      <c r="E31" s="23">
        <f t="shared" si="4"/>
        <v>3.5383789110505259</v>
      </c>
      <c r="F31" s="24">
        <f t="shared" si="5"/>
        <v>15</v>
      </c>
      <c r="G31" s="23">
        <f t="shared" si="6"/>
        <v>0.85</v>
      </c>
      <c r="H31" s="23">
        <f t="shared" si="7"/>
        <v>36.582999999999998</v>
      </c>
      <c r="I31" s="23">
        <f t="shared" si="8"/>
        <v>8.7200000000000006</v>
      </c>
      <c r="J31" s="29">
        <f t="shared" si="9"/>
        <v>12.7</v>
      </c>
      <c r="K31" s="33" t="e">
        <f t="shared" si="10"/>
        <v>#N/A</v>
      </c>
      <c r="L31" s="30" t="e">
        <f t="shared" si="11"/>
        <v>#N/A</v>
      </c>
      <c r="M31" s="30" t="e">
        <f t="shared" si="12"/>
        <v>#N/A</v>
      </c>
      <c r="N31" s="9" t="e">
        <f t="shared" si="13"/>
        <v>#N/A</v>
      </c>
      <c r="O31" s="9" t="e">
        <f t="shared" si="14"/>
        <v>#N/A</v>
      </c>
      <c r="P31" s="9" t="e">
        <f t="shared" si="15"/>
        <v>#N/A</v>
      </c>
      <c r="Q31" s="7" t="e">
        <f t="shared" si="17"/>
        <v>#N/A</v>
      </c>
      <c r="R31" s="7" t="e">
        <f t="shared" si="18"/>
        <v>#N/A</v>
      </c>
      <c r="S31" s="7" t="e">
        <f t="shared" si="19"/>
        <v>#N/A</v>
      </c>
      <c r="T31" s="7" t="e">
        <f t="shared" si="20"/>
        <v>#N/A</v>
      </c>
    </row>
    <row r="32" spans="1:20">
      <c r="A32" s="43">
        <f t="shared" ca="1" si="16"/>
        <v>11.560133543364508</v>
      </c>
      <c r="B32" s="38">
        <f t="array" aca="1" ref="B32" ca="1">SUMPRODUCT(IFERROR(E32:P32,""),IFERROR($E$49:$P$49,""))</f>
        <v>-41.403595048544005</v>
      </c>
      <c r="C32" s="1">
        <v>28</v>
      </c>
      <c r="D32" s="96">
        <f t="shared" si="3"/>
        <v>33.299999999999997</v>
      </c>
      <c r="E32" s="23">
        <f t="shared" si="4"/>
        <v>2.6051110251239025</v>
      </c>
      <c r="F32" s="24">
        <f t="shared" si="5"/>
        <v>13.6</v>
      </c>
      <c r="G32" s="23">
        <f t="shared" si="6"/>
        <v>5.2060000000000004</v>
      </c>
      <c r="H32" s="23">
        <f t="shared" si="7"/>
        <v>103.54900000000001</v>
      </c>
      <c r="I32" s="23">
        <f t="shared" si="8"/>
        <v>-9.15</v>
      </c>
      <c r="J32" s="29">
        <f t="shared" si="9"/>
        <v>7.7</v>
      </c>
      <c r="K32" s="33" t="e">
        <f t="shared" si="10"/>
        <v>#N/A</v>
      </c>
      <c r="L32" s="30" t="e">
        <f t="shared" si="11"/>
        <v>#N/A</v>
      </c>
      <c r="M32" s="30" t="e">
        <f t="shared" si="12"/>
        <v>#N/A</v>
      </c>
      <c r="N32" s="9" t="e">
        <f t="shared" si="13"/>
        <v>#N/A</v>
      </c>
      <c r="O32" s="9" t="e">
        <f t="shared" si="14"/>
        <v>#N/A</v>
      </c>
      <c r="P32" s="9" t="e">
        <f t="shared" si="15"/>
        <v>#N/A</v>
      </c>
      <c r="Q32" s="7" t="e">
        <f t="shared" si="17"/>
        <v>#N/A</v>
      </c>
      <c r="R32" s="7" t="e">
        <f t="shared" si="18"/>
        <v>#N/A</v>
      </c>
      <c r="S32" s="7" t="e">
        <f t="shared" si="19"/>
        <v>#N/A</v>
      </c>
      <c r="T32" s="7" t="e">
        <f t="shared" si="20"/>
        <v>#N/A</v>
      </c>
    </row>
    <row r="33" spans="1:21">
      <c r="A33" s="43">
        <f t="shared" ca="1" si="16"/>
        <v>21.374024948085278</v>
      </c>
      <c r="B33" s="38">
        <f t="array" aca="1" ref="B33" ca="1">SUMPRODUCT(IFERROR(E33:P33,""),IFERROR($E$49:$P$49,""))</f>
        <v>-31.589703643823235</v>
      </c>
      <c r="C33" s="1">
        <v>29</v>
      </c>
      <c r="D33" s="96">
        <f t="shared" si="3"/>
        <v>14.3</v>
      </c>
      <c r="E33" s="23">
        <f t="shared" si="4"/>
        <v>2.4383841070347136</v>
      </c>
      <c r="F33" s="24">
        <f t="shared" si="5"/>
        <v>9.5</v>
      </c>
      <c r="G33" s="23">
        <f t="shared" si="6"/>
        <v>5.306</v>
      </c>
      <c r="H33" s="23">
        <f t="shared" si="7"/>
        <v>112</v>
      </c>
      <c r="I33" s="23">
        <f t="shared" si="8"/>
        <v>4.4400000000000004</v>
      </c>
      <c r="J33" s="29">
        <f t="shared" si="9"/>
        <v>5.9</v>
      </c>
      <c r="K33" s="33" t="e">
        <f t="shared" si="10"/>
        <v>#N/A</v>
      </c>
      <c r="L33" s="30" t="e">
        <f t="shared" si="11"/>
        <v>#N/A</v>
      </c>
      <c r="M33" s="30" t="e">
        <f t="shared" si="12"/>
        <v>#N/A</v>
      </c>
      <c r="N33" s="9" t="e">
        <f t="shared" si="13"/>
        <v>#N/A</v>
      </c>
      <c r="O33" s="9" t="e">
        <f t="shared" si="14"/>
        <v>#N/A</v>
      </c>
      <c r="P33" s="9" t="e">
        <f t="shared" si="15"/>
        <v>#N/A</v>
      </c>
      <c r="Q33" s="7" t="e">
        <f t="shared" si="17"/>
        <v>#N/A</v>
      </c>
      <c r="R33" s="7" t="e">
        <f t="shared" si="18"/>
        <v>#N/A</v>
      </c>
      <c r="S33" s="7" t="e">
        <f t="shared" si="19"/>
        <v>#N/A</v>
      </c>
      <c r="T33" s="7" t="e">
        <f t="shared" si="20"/>
        <v>#N/A</v>
      </c>
    </row>
    <row r="34" spans="1:21">
      <c r="A34" s="43">
        <f t="shared" ca="1" si="16"/>
        <v>52.963728591908513</v>
      </c>
      <c r="B34" s="38">
        <f t="array" aca="1" ref="B34" ca="1">SUMPRODUCT(IFERROR(E34:P34,""),IFERROR($E$49:$P$49,""))</f>
        <v>0</v>
      </c>
      <c r="C34" s="1">
        <v>30</v>
      </c>
      <c r="D34" s="96" t="e">
        <f>IF(ISNUMBER(D101),D101,NA())</f>
        <v>#N/A</v>
      </c>
      <c r="E34" s="23">
        <f t="shared" si="4"/>
        <v>0</v>
      </c>
      <c r="F34" s="24">
        <f t="shared" si="5"/>
        <v>0</v>
      </c>
      <c r="G34" s="23">
        <f t="shared" si="6"/>
        <v>0</v>
      </c>
      <c r="H34" s="23">
        <f t="shared" si="7"/>
        <v>0</v>
      </c>
      <c r="I34" s="23">
        <f t="shared" si="8"/>
        <v>0</v>
      </c>
      <c r="J34" s="29">
        <f t="shared" si="9"/>
        <v>0</v>
      </c>
      <c r="K34" s="33" t="e">
        <f t="shared" si="10"/>
        <v>#N/A</v>
      </c>
      <c r="L34" s="30" t="e">
        <f t="shared" si="11"/>
        <v>#N/A</v>
      </c>
      <c r="M34" s="30" t="e">
        <f t="shared" si="12"/>
        <v>#N/A</v>
      </c>
      <c r="N34" s="9" t="e">
        <f t="shared" si="13"/>
        <v>#N/A</v>
      </c>
      <c r="O34" s="9" t="e">
        <f t="shared" si="14"/>
        <v>#N/A</v>
      </c>
      <c r="P34" s="9" t="e">
        <f t="shared" si="15"/>
        <v>#N/A</v>
      </c>
      <c r="Q34" s="7" t="e">
        <f t="shared" si="17"/>
        <v>#N/A</v>
      </c>
      <c r="R34" s="7" t="e">
        <f t="shared" si="18"/>
        <v>#N/A</v>
      </c>
      <c r="S34" s="7" t="e">
        <f t="shared" si="19"/>
        <v>#N/A</v>
      </c>
      <c r="T34" s="7" t="e">
        <f t="shared" si="20"/>
        <v>#N/A</v>
      </c>
    </row>
    <row r="35" spans="1:21">
      <c r="A35" s="43">
        <f t="shared" ca="1" si="16"/>
        <v>52.963728591908513</v>
      </c>
      <c r="B35" s="38">
        <f t="array" aca="1" ref="B35" ca="1">SUMPRODUCT(IFERROR(E35:P35,""),IFERROR($E$49:$P$49,""))</f>
        <v>0</v>
      </c>
      <c r="C35" s="1">
        <v>31</v>
      </c>
      <c r="D35" s="96" t="e">
        <f>IF(ISNUMBER(D102),D102,NA())</f>
        <v>#N/A</v>
      </c>
      <c r="E35" s="23">
        <f t="shared" si="4"/>
        <v>0</v>
      </c>
      <c r="F35" s="24">
        <f t="shared" si="5"/>
        <v>0</v>
      </c>
      <c r="G35" s="23">
        <f t="shared" si="6"/>
        <v>0</v>
      </c>
      <c r="H35" s="23">
        <f t="shared" si="7"/>
        <v>0</v>
      </c>
      <c r="I35" s="23">
        <f t="shared" si="8"/>
        <v>0</v>
      </c>
      <c r="J35" s="29">
        <f t="shared" si="9"/>
        <v>0</v>
      </c>
      <c r="K35" s="33" t="e">
        <f t="shared" si="10"/>
        <v>#N/A</v>
      </c>
      <c r="L35" s="30" t="e">
        <f t="shared" si="11"/>
        <v>#N/A</v>
      </c>
      <c r="M35" s="30" t="e">
        <f t="shared" si="12"/>
        <v>#N/A</v>
      </c>
      <c r="N35" s="9" t="e">
        <f t="shared" si="13"/>
        <v>#N/A</v>
      </c>
      <c r="O35" s="9" t="e">
        <f t="shared" si="14"/>
        <v>#N/A</v>
      </c>
      <c r="P35" s="9" t="e">
        <f t="shared" si="15"/>
        <v>#N/A</v>
      </c>
      <c r="Q35" s="7" t="e">
        <f t="shared" si="17"/>
        <v>#N/A</v>
      </c>
      <c r="R35" s="7" t="e">
        <f t="shared" si="18"/>
        <v>#N/A</v>
      </c>
      <c r="S35" s="7" t="e">
        <f t="shared" si="19"/>
        <v>#N/A</v>
      </c>
      <c r="T35" s="7" t="e">
        <f t="shared" si="20"/>
        <v>#N/A</v>
      </c>
    </row>
    <row r="36" spans="1:21" ht="16.5" customHeight="1">
      <c r="A36" s="43">
        <f t="shared" ca="1" si="16"/>
        <v>52.963728591908513</v>
      </c>
      <c r="B36" s="38">
        <f t="array" aca="1" ref="B36" ca="1">SUMPRODUCT(IFERROR(E36:P36,""),IFERROR($E$49:$P$49,""))</f>
        <v>0</v>
      </c>
      <c r="C36" s="1">
        <v>32</v>
      </c>
      <c r="D36" s="96" t="e">
        <f t="shared" si="3"/>
        <v>#N/A</v>
      </c>
      <c r="E36" s="23">
        <f t="shared" si="4"/>
        <v>0</v>
      </c>
      <c r="F36" s="24">
        <f t="shared" si="5"/>
        <v>0</v>
      </c>
      <c r="G36" s="23">
        <f t="shared" si="6"/>
        <v>0</v>
      </c>
      <c r="H36" s="23">
        <f t="shared" si="7"/>
        <v>0</v>
      </c>
      <c r="I36" s="23">
        <f t="shared" si="8"/>
        <v>0</v>
      </c>
      <c r="J36" s="29">
        <f t="shared" si="9"/>
        <v>0</v>
      </c>
      <c r="K36" s="33" t="e">
        <f t="shared" si="10"/>
        <v>#N/A</v>
      </c>
      <c r="L36" s="30" t="e">
        <f t="shared" si="11"/>
        <v>#N/A</v>
      </c>
      <c r="M36" s="30" t="e">
        <f t="shared" si="12"/>
        <v>#N/A</v>
      </c>
      <c r="N36" s="9" t="e">
        <f t="shared" si="13"/>
        <v>#N/A</v>
      </c>
      <c r="O36" s="9" t="e">
        <f t="shared" si="14"/>
        <v>#N/A</v>
      </c>
      <c r="P36" s="9" t="e">
        <f t="shared" si="15"/>
        <v>#N/A</v>
      </c>
      <c r="Q36" s="7" t="e">
        <f t="shared" si="17"/>
        <v>#N/A</v>
      </c>
      <c r="R36" s="7" t="e">
        <f t="shared" si="18"/>
        <v>#N/A</v>
      </c>
      <c r="S36" s="7" t="e">
        <f t="shared" si="19"/>
        <v>#N/A</v>
      </c>
      <c r="T36" s="7" t="e">
        <f t="shared" si="20"/>
        <v>#N/A</v>
      </c>
    </row>
    <row r="37" spans="1:21">
      <c r="A37" s="43">
        <f t="shared" ca="1" si="16"/>
        <v>52.963728591908513</v>
      </c>
      <c r="B37" s="38">
        <f t="array" aca="1" ref="B37" ca="1">SUMPRODUCT(IFERROR(E37:P37,""),IFERROR($E$49:$P$49,""))</f>
        <v>0</v>
      </c>
      <c r="C37" s="1">
        <v>33</v>
      </c>
      <c r="D37" s="96" t="e">
        <f t="shared" si="3"/>
        <v>#N/A</v>
      </c>
      <c r="E37" s="23">
        <f t="shared" si="4"/>
        <v>0</v>
      </c>
      <c r="F37" s="24">
        <f t="shared" si="5"/>
        <v>0</v>
      </c>
      <c r="G37" s="23">
        <f t="shared" si="6"/>
        <v>0</v>
      </c>
      <c r="H37" s="23">
        <f t="shared" si="7"/>
        <v>0</v>
      </c>
      <c r="I37" s="23">
        <f t="shared" si="8"/>
        <v>0</v>
      </c>
      <c r="J37" s="29">
        <f t="shared" si="9"/>
        <v>0</v>
      </c>
      <c r="K37" s="33" t="e">
        <f t="shared" si="10"/>
        <v>#N/A</v>
      </c>
      <c r="L37" s="30" t="e">
        <f t="shared" si="11"/>
        <v>#N/A</v>
      </c>
      <c r="M37" s="30" t="e">
        <f t="shared" si="12"/>
        <v>#N/A</v>
      </c>
      <c r="N37" s="9" t="e">
        <f t="shared" si="13"/>
        <v>#N/A</v>
      </c>
      <c r="O37" s="9" t="e">
        <f t="shared" si="14"/>
        <v>#N/A</v>
      </c>
      <c r="P37" s="9" t="e">
        <f t="shared" si="15"/>
        <v>#N/A</v>
      </c>
      <c r="Q37" s="7" t="e">
        <f t="shared" si="17"/>
        <v>#N/A</v>
      </c>
      <c r="R37" s="7" t="e">
        <f t="shared" si="18"/>
        <v>#N/A</v>
      </c>
      <c r="S37" s="7" t="e">
        <f t="shared" si="19"/>
        <v>#N/A</v>
      </c>
      <c r="T37" s="7" t="e">
        <f t="shared" si="20"/>
        <v>#N/A</v>
      </c>
    </row>
    <row r="38" spans="1:21">
      <c r="A38" s="43">
        <f t="shared" ca="1" si="16"/>
        <v>52.963728591908513</v>
      </c>
      <c r="B38" s="38">
        <f t="array" aca="1" ref="B38" ca="1">SUMPRODUCT(IFERROR(E38:P38,""),IFERROR($E$49:$P$49,""))</f>
        <v>0</v>
      </c>
      <c r="C38" s="1">
        <v>34</v>
      </c>
      <c r="D38" s="96" t="e">
        <f t="shared" si="3"/>
        <v>#N/A</v>
      </c>
      <c r="E38" s="23">
        <f t="shared" si="4"/>
        <v>0</v>
      </c>
      <c r="F38" s="24">
        <f t="shared" si="5"/>
        <v>0</v>
      </c>
      <c r="G38" s="23">
        <f t="shared" si="6"/>
        <v>0</v>
      </c>
      <c r="H38" s="23">
        <f t="shared" si="7"/>
        <v>0</v>
      </c>
      <c r="I38" s="23">
        <f t="shared" si="8"/>
        <v>0</v>
      </c>
      <c r="J38" s="29">
        <f t="shared" si="9"/>
        <v>0</v>
      </c>
      <c r="K38" s="34" t="e">
        <f t="shared" si="10"/>
        <v>#N/A</v>
      </c>
      <c r="L38" s="31" t="e">
        <f t="shared" si="11"/>
        <v>#N/A</v>
      </c>
      <c r="M38" s="31" t="e">
        <f t="shared" si="12"/>
        <v>#N/A</v>
      </c>
      <c r="N38" s="9" t="e">
        <f t="shared" si="13"/>
        <v>#N/A</v>
      </c>
      <c r="O38" s="9" t="e">
        <f t="shared" si="14"/>
        <v>#N/A</v>
      </c>
      <c r="P38" s="9" t="e">
        <f t="shared" si="15"/>
        <v>#N/A</v>
      </c>
      <c r="Q38" s="7" t="e">
        <f t="shared" si="17"/>
        <v>#N/A</v>
      </c>
      <c r="R38" s="7" t="e">
        <f t="shared" si="18"/>
        <v>#N/A</v>
      </c>
      <c r="S38" s="7" t="e">
        <f t="shared" si="19"/>
        <v>#N/A</v>
      </c>
      <c r="T38" s="7" t="e">
        <f t="shared" si="20"/>
        <v>#N/A</v>
      </c>
    </row>
    <row r="39" spans="1:21">
      <c r="A39" s="43">
        <f t="shared" ca="1" si="16"/>
        <v>52.963728591908513</v>
      </c>
      <c r="B39" s="38">
        <f t="array" aca="1" ref="B39" ca="1">SUMPRODUCT(IFERROR(E39:P39,""),IFERROR($E$49:$P$49,""))</f>
        <v>0</v>
      </c>
      <c r="C39" s="1">
        <v>35</v>
      </c>
      <c r="D39" s="96" t="e">
        <f t="shared" si="3"/>
        <v>#N/A</v>
      </c>
      <c r="E39" s="23">
        <f t="shared" si="4"/>
        <v>0</v>
      </c>
      <c r="F39" s="24">
        <f t="shared" si="5"/>
        <v>0</v>
      </c>
      <c r="G39" s="23">
        <f t="shared" si="6"/>
        <v>0</v>
      </c>
      <c r="H39" s="23">
        <f t="shared" si="7"/>
        <v>0</v>
      </c>
      <c r="I39" s="23">
        <f t="shared" si="8"/>
        <v>0</v>
      </c>
      <c r="J39" s="29">
        <f t="shared" si="9"/>
        <v>0</v>
      </c>
      <c r="K39" s="35" t="e">
        <f t="shared" si="10"/>
        <v>#N/A</v>
      </c>
      <c r="L39" s="31" t="e">
        <f t="shared" si="11"/>
        <v>#N/A</v>
      </c>
      <c r="M39" s="31" t="e">
        <f t="shared" si="12"/>
        <v>#N/A</v>
      </c>
      <c r="N39" s="9" t="e">
        <f t="shared" si="13"/>
        <v>#N/A</v>
      </c>
      <c r="O39" s="9" t="e">
        <f t="shared" si="14"/>
        <v>#N/A</v>
      </c>
      <c r="P39" s="9" t="e">
        <f t="shared" si="15"/>
        <v>#N/A</v>
      </c>
      <c r="Q39" s="7" t="e">
        <f t="shared" si="17"/>
        <v>#N/A</v>
      </c>
      <c r="R39" s="7" t="e">
        <f t="shared" si="18"/>
        <v>#N/A</v>
      </c>
      <c r="S39" s="7" t="e">
        <f t="shared" si="19"/>
        <v>#N/A</v>
      </c>
      <c r="T39" s="7" t="e">
        <f t="shared" si="20"/>
        <v>#N/A</v>
      </c>
    </row>
    <row r="40" spans="1:21">
      <c r="A40" s="43">
        <f t="shared" ca="1" si="16"/>
        <v>52.963728591908513</v>
      </c>
      <c r="B40" s="38">
        <f t="array" aca="1" ref="B40" ca="1">SUMPRODUCT(IFERROR(E40:P40,""),IFERROR($E$49:$P$49,""))</f>
        <v>0</v>
      </c>
      <c r="C40" s="1">
        <v>36</v>
      </c>
      <c r="D40" s="96" t="e">
        <f t="shared" si="3"/>
        <v>#N/A</v>
      </c>
      <c r="E40" s="23">
        <f t="shared" si="4"/>
        <v>0</v>
      </c>
      <c r="F40" s="24">
        <f t="shared" si="5"/>
        <v>0</v>
      </c>
      <c r="G40" s="23">
        <f t="shared" si="6"/>
        <v>0</v>
      </c>
      <c r="H40" s="23">
        <f t="shared" si="7"/>
        <v>0</v>
      </c>
      <c r="I40" s="23">
        <f t="shared" si="8"/>
        <v>0</v>
      </c>
      <c r="J40" s="29">
        <f t="shared" si="9"/>
        <v>0</v>
      </c>
      <c r="K40" s="35" t="e">
        <f t="shared" si="10"/>
        <v>#N/A</v>
      </c>
      <c r="L40" s="31" t="e">
        <f t="shared" si="11"/>
        <v>#N/A</v>
      </c>
      <c r="M40" s="31" t="e">
        <f t="shared" si="12"/>
        <v>#N/A</v>
      </c>
      <c r="N40" s="9" t="e">
        <f t="shared" si="13"/>
        <v>#N/A</v>
      </c>
      <c r="O40" s="9" t="e">
        <f t="shared" si="14"/>
        <v>#N/A</v>
      </c>
      <c r="P40" s="9" t="e">
        <f t="shared" si="15"/>
        <v>#N/A</v>
      </c>
      <c r="Q40" s="7" t="e">
        <f t="shared" si="17"/>
        <v>#N/A</v>
      </c>
      <c r="R40" s="7" t="e">
        <f t="shared" si="18"/>
        <v>#N/A</v>
      </c>
      <c r="S40" s="7" t="e">
        <f t="shared" si="19"/>
        <v>#N/A</v>
      </c>
      <c r="T40" s="7" t="e">
        <f t="shared" si="20"/>
        <v>#N/A</v>
      </c>
    </row>
    <row r="41" spans="1:21">
      <c r="A41" s="43">
        <f t="shared" ca="1" si="16"/>
        <v>52.963728591908513</v>
      </c>
      <c r="B41" s="38">
        <f t="array" aca="1" ref="B41" ca="1">SUMPRODUCT(IFERROR(E41:P41,""),IFERROR($E$49:$P$49,""))</f>
        <v>0</v>
      </c>
      <c r="C41" s="1">
        <v>37</v>
      </c>
      <c r="D41" s="96" t="e">
        <f t="shared" si="3"/>
        <v>#N/A</v>
      </c>
      <c r="E41" s="23">
        <f t="shared" si="4"/>
        <v>0</v>
      </c>
      <c r="F41" s="24">
        <f t="shared" si="5"/>
        <v>0</v>
      </c>
      <c r="G41" s="23">
        <f t="shared" si="6"/>
        <v>0</v>
      </c>
      <c r="H41" s="23">
        <f t="shared" si="7"/>
        <v>0</v>
      </c>
      <c r="I41" s="23">
        <f t="shared" si="8"/>
        <v>0</v>
      </c>
      <c r="J41" s="29">
        <f t="shared" si="9"/>
        <v>0</v>
      </c>
      <c r="K41" s="35" t="e">
        <f t="shared" si="10"/>
        <v>#N/A</v>
      </c>
      <c r="L41" s="31" t="e">
        <f t="shared" si="11"/>
        <v>#N/A</v>
      </c>
      <c r="M41" s="31" t="e">
        <f t="shared" si="12"/>
        <v>#N/A</v>
      </c>
      <c r="N41" s="9" t="e">
        <f t="shared" si="13"/>
        <v>#N/A</v>
      </c>
      <c r="O41" s="9" t="e">
        <f t="shared" si="14"/>
        <v>#N/A</v>
      </c>
      <c r="P41" s="9" t="e">
        <f t="shared" si="15"/>
        <v>#N/A</v>
      </c>
      <c r="Q41" s="7" t="e">
        <f t="shared" si="17"/>
        <v>#N/A</v>
      </c>
      <c r="R41" s="7" t="e">
        <f t="shared" si="18"/>
        <v>#N/A</v>
      </c>
      <c r="S41" s="7" t="e">
        <f t="shared" si="19"/>
        <v>#N/A</v>
      </c>
      <c r="T41" s="7" t="e">
        <f t="shared" si="20"/>
        <v>#N/A</v>
      </c>
    </row>
    <row r="42" spans="1:21">
      <c r="A42" s="43">
        <f t="shared" ca="1" si="16"/>
        <v>52.963728591908513</v>
      </c>
      <c r="B42" s="38">
        <f t="array" aca="1" ref="B42" ca="1">SUMPRODUCT(IFERROR(E42:P42,""),IFERROR($E$49:$P$49,""))</f>
        <v>0</v>
      </c>
      <c r="C42" s="1">
        <v>38</v>
      </c>
      <c r="D42" s="96" t="e">
        <f t="shared" si="3"/>
        <v>#N/A</v>
      </c>
      <c r="E42" s="23">
        <f t="shared" si="4"/>
        <v>0</v>
      </c>
      <c r="F42" s="24">
        <f t="shared" si="5"/>
        <v>0</v>
      </c>
      <c r="G42" s="23">
        <f t="shared" si="6"/>
        <v>0</v>
      </c>
      <c r="H42" s="23">
        <f t="shared" si="7"/>
        <v>0</v>
      </c>
      <c r="I42" s="23">
        <f t="shared" si="8"/>
        <v>0</v>
      </c>
      <c r="J42" s="29">
        <f t="shared" si="9"/>
        <v>0</v>
      </c>
      <c r="K42" s="35" t="e">
        <f t="shared" si="10"/>
        <v>#N/A</v>
      </c>
      <c r="L42" s="31" t="e">
        <f t="shared" si="11"/>
        <v>#N/A</v>
      </c>
      <c r="M42" s="31" t="e">
        <f t="shared" si="12"/>
        <v>#N/A</v>
      </c>
      <c r="N42" s="9" t="e">
        <f t="shared" si="13"/>
        <v>#N/A</v>
      </c>
      <c r="O42" s="9" t="e">
        <f t="shared" si="14"/>
        <v>#N/A</v>
      </c>
      <c r="P42" s="9" t="e">
        <f t="shared" si="15"/>
        <v>#N/A</v>
      </c>
      <c r="Q42" s="7" t="e">
        <f t="shared" si="17"/>
        <v>#N/A</v>
      </c>
      <c r="R42" s="7" t="e">
        <f t="shared" si="18"/>
        <v>#N/A</v>
      </c>
      <c r="S42" s="7" t="e">
        <f t="shared" si="19"/>
        <v>#N/A</v>
      </c>
      <c r="T42" s="7" t="e">
        <f t="shared" si="20"/>
        <v>#N/A</v>
      </c>
    </row>
    <row r="43" spans="1:21" ht="15.75" thickBot="1">
      <c r="A43" s="43">
        <f t="shared" ca="1" si="16"/>
        <v>52.963728591908513</v>
      </c>
      <c r="B43" s="38">
        <f t="array" aca="1" ref="B43" ca="1">SUMPRODUCT(IFERROR(E43:P43,""),IFERROR($E$49:$P$49,""))</f>
        <v>0</v>
      </c>
      <c r="C43" s="1">
        <v>39</v>
      </c>
      <c r="D43" s="96" t="e">
        <f t="shared" si="3"/>
        <v>#N/A</v>
      </c>
      <c r="E43" s="23">
        <f t="shared" si="4"/>
        <v>0</v>
      </c>
      <c r="F43" s="24">
        <f t="shared" si="5"/>
        <v>0</v>
      </c>
      <c r="G43" s="23">
        <f t="shared" si="6"/>
        <v>0</v>
      </c>
      <c r="H43" s="23">
        <f t="shared" si="7"/>
        <v>0</v>
      </c>
      <c r="I43" s="23">
        <f t="shared" si="8"/>
        <v>0</v>
      </c>
      <c r="J43" s="29">
        <f t="shared" si="9"/>
        <v>0</v>
      </c>
      <c r="K43" s="35" t="e">
        <f t="shared" si="10"/>
        <v>#N/A</v>
      </c>
      <c r="L43" s="31" t="e">
        <f t="shared" si="11"/>
        <v>#N/A</v>
      </c>
      <c r="M43" s="31" t="e">
        <f t="shared" si="12"/>
        <v>#N/A</v>
      </c>
      <c r="N43" s="9" t="e">
        <f t="shared" si="13"/>
        <v>#N/A</v>
      </c>
      <c r="O43" s="9" t="e">
        <f t="shared" si="14"/>
        <v>#N/A</v>
      </c>
      <c r="P43" s="9" t="e">
        <f t="shared" si="15"/>
        <v>#N/A</v>
      </c>
      <c r="Q43" s="7" t="e">
        <f t="shared" si="17"/>
        <v>#N/A</v>
      </c>
      <c r="R43" s="7" t="e">
        <f t="shared" si="18"/>
        <v>#N/A</v>
      </c>
      <c r="S43" s="7" t="e">
        <f t="shared" si="19"/>
        <v>#N/A</v>
      </c>
      <c r="T43" s="7" t="e">
        <f t="shared" si="20"/>
        <v>#N/A</v>
      </c>
    </row>
    <row r="44" spans="1:21" ht="15.75" thickBot="1">
      <c r="A44" s="46" t="s">
        <v>22</v>
      </c>
      <c r="B44" s="87">
        <f>ROW(D44)-COUNTBLANK(D72:D111)</f>
        <v>33</v>
      </c>
      <c r="C44" s="55">
        <v>40</v>
      </c>
      <c r="D44" s="96" t="e">
        <f t="shared" si="3"/>
        <v>#N/A</v>
      </c>
      <c r="E44" s="23">
        <f>HLOOKUP(E$3,$E$70:$P$111,$C45+1,FALSE)</f>
        <v>0</v>
      </c>
      <c r="F44" s="24">
        <f>HLOOKUP(F$3,$E$70:$P$111,$C45+1,FALSE)</f>
        <v>0</v>
      </c>
      <c r="G44" s="23">
        <f>HLOOKUP(G$3,$E$70:$P$111,$C45+1,FALSE)</f>
        <v>0</v>
      </c>
      <c r="H44" s="23">
        <f>HLOOKUP(H$3,$E$70:$P$111,$C45+1,FALSE)</f>
        <v>0</v>
      </c>
      <c r="I44" s="23">
        <f t="shared" si="8"/>
        <v>0</v>
      </c>
      <c r="J44" s="29">
        <f t="shared" si="9"/>
        <v>0</v>
      </c>
      <c r="K44" s="36" t="e">
        <f t="shared" si="10"/>
        <v>#N/A</v>
      </c>
      <c r="L44" s="32" t="e">
        <f t="shared" si="11"/>
        <v>#N/A</v>
      </c>
      <c r="M44" s="32" t="e">
        <f t="shared" si="12"/>
        <v>#N/A</v>
      </c>
      <c r="N44" s="11" t="e">
        <f t="shared" si="13"/>
        <v>#N/A</v>
      </c>
      <c r="O44" s="11" t="e">
        <f t="shared" si="14"/>
        <v>#N/A</v>
      </c>
      <c r="P44" s="11" t="e">
        <f t="shared" si="15"/>
        <v>#N/A</v>
      </c>
      <c r="Q44" s="7" t="e">
        <f t="shared" si="17"/>
        <v>#N/A</v>
      </c>
      <c r="R44" s="7" t="e">
        <f t="shared" si="18"/>
        <v>#N/A</v>
      </c>
      <c r="S44" s="7" t="e">
        <f t="shared" si="19"/>
        <v>#N/A</v>
      </c>
      <c r="T44" s="7" t="e">
        <f t="shared" si="20"/>
        <v>#N/A</v>
      </c>
    </row>
    <row r="45" spans="1:21" ht="15.75" thickBot="1">
      <c r="A45" s="47" t="s">
        <v>16</v>
      </c>
      <c r="B45" s="78">
        <f>COUNT($E$44:$T$44)+D51</f>
        <v>10</v>
      </c>
      <c r="C45" s="79">
        <v>41</v>
      </c>
      <c r="D45" s="25" t="e">
        <f t="shared" ref="D45" si="21">IF(ISNUMBER(D112),D112,NA())</f>
        <v>#N/A</v>
      </c>
    </row>
    <row r="46" spans="1:21">
      <c r="A46" t="s">
        <v>164</v>
      </c>
      <c r="B46" s="77">
        <f ca="1">COUNT($E$53:$U$53)-1</f>
        <v>6</v>
      </c>
      <c r="C46" t="s">
        <v>11</v>
      </c>
      <c r="D46" t="e">
        <f>SLOPE(D5:D44,E5:E44)</f>
        <v>#N/A</v>
      </c>
    </row>
    <row r="47" spans="1:21">
      <c r="C47" t="s">
        <v>34</v>
      </c>
      <c r="D47" s="13" t="e">
        <f>INTERCEPT(D5:D44,E5:E44)</f>
        <v>#N/A</v>
      </c>
    </row>
    <row r="48" spans="1:21" ht="15.75" thickBot="1">
      <c r="D48" s="13" t="s">
        <v>165</v>
      </c>
      <c r="E48" s="43">
        <f ca="1">B46</f>
        <v>6</v>
      </c>
      <c r="F48" s="43">
        <f ca="1">E48-1</f>
        <v>5</v>
      </c>
      <c r="G48" s="43">
        <f t="shared" ref="G48:U48" ca="1" si="22">F48-1</f>
        <v>4</v>
      </c>
      <c r="H48" s="43">
        <f t="shared" ca="1" si="22"/>
        <v>3</v>
      </c>
      <c r="I48" s="43">
        <f t="shared" ca="1" si="22"/>
        <v>2</v>
      </c>
      <c r="J48" s="43">
        <f t="shared" ca="1" si="22"/>
        <v>1</v>
      </c>
      <c r="K48" s="43">
        <f t="shared" ca="1" si="22"/>
        <v>0</v>
      </c>
      <c r="L48" s="43">
        <f t="shared" ca="1" si="22"/>
        <v>-1</v>
      </c>
      <c r="M48" s="43">
        <f t="shared" ca="1" si="22"/>
        <v>-2</v>
      </c>
      <c r="N48" s="43">
        <f t="shared" ca="1" si="22"/>
        <v>-3</v>
      </c>
      <c r="O48" s="43">
        <f t="shared" ca="1" si="22"/>
        <v>-4</v>
      </c>
      <c r="P48" s="43">
        <f t="shared" ca="1" si="22"/>
        <v>-5</v>
      </c>
      <c r="Q48" s="43">
        <f t="shared" ca="1" si="22"/>
        <v>-6</v>
      </c>
      <c r="R48" s="43">
        <f t="shared" ca="1" si="22"/>
        <v>-7</v>
      </c>
      <c r="S48" s="43">
        <f t="shared" ca="1" si="22"/>
        <v>-8</v>
      </c>
      <c r="T48" s="43">
        <f t="shared" ca="1" si="22"/>
        <v>-9</v>
      </c>
      <c r="U48" s="43">
        <f t="shared" ca="1" si="22"/>
        <v>-10</v>
      </c>
    </row>
    <row r="49" spans="1:21" ht="15.75" thickBot="1">
      <c r="D49" s="41" t="s">
        <v>28</v>
      </c>
      <c r="E49" s="56">
        <f ca="1">INDEX($E$53:$U$53,1,E48)</f>
        <v>-0.69102428457785525</v>
      </c>
      <c r="F49" s="56">
        <f t="shared" ref="F49:U49" ca="1" si="23">INDEX($E$53:$U$53,1,F48)</f>
        <v>-0.25159305754549088</v>
      </c>
      <c r="G49" s="56">
        <f t="shared" ca="1" si="23"/>
        <v>-3.6450916465500995</v>
      </c>
      <c r="H49" s="56">
        <f t="shared" ca="1" si="23"/>
        <v>-3.9753013945696192E-2</v>
      </c>
      <c r="I49" s="56">
        <f t="shared" ca="1" si="23"/>
        <v>0.55085329821534579</v>
      </c>
      <c r="J49" s="56">
        <f t="shared" ca="1" si="23"/>
        <v>-1.0452850456974125</v>
      </c>
      <c r="K49" s="56">
        <f t="shared" ca="1" si="23"/>
        <v>52.963728591908513</v>
      </c>
      <c r="L49" s="56" t="e">
        <f t="shared" ca="1" si="23"/>
        <v>#VALUE!</v>
      </c>
      <c r="M49" s="56" t="e">
        <f t="shared" ca="1" si="23"/>
        <v>#VALUE!</v>
      </c>
      <c r="N49" s="56" t="e">
        <f t="shared" ca="1" si="23"/>
        <v>#VALUE!</v>
      </c>
      <c r="O49" s="56" t="e">
        <f t="shared" ca="1" si="23"/>
        <v>#VALUE!</v>
      </c>
      <c r="P49" s="56" t="e">
        <f t="shared" ca="1" si="23"/>
        <v>#VALUE!</v>
      </c>
      <c r="Q49" s="56" t="e">
        <f t="shared" ca="1" si="23"/>
        <v>#VALUE!</v>
      </c>
      <c r="R49" s="56" t="e">
        <f t="shared" ca="1" si="23"/>
        <v>#VALUE!</v>
      </c>
      <c r="S49" s="56" t="e">
        <f t="shared" ca="1" si="23"/>
        <v>#VALUE!</v>
      </c>
      <c r="T49" s="56" t="e">
        <f t="shared" ca="1" si="23"/>
        <v>#VALUE!</v>
      </c>
      <c r="U49" s="56" t="e">
        <f t="shared" ca="1" si="23"/>
        <v>#VALUE!</v>
      </c>
    </row>
    <row r="50" spans="1:21" ht="15.75" thickBot="1">
      <c r="D50" s="44" t="s">
        <v>10</v>
      </c>
      <c r="E50" s="80" t="e">
        <f>CORREL($D$5:$D$44,E5:E44)</f>
        <v>#N/A</v>
      </c>
      <c r="F50" s="80" t="e">
        <f>CORREL($D$5:$D$44,F5:F44)</f>
        <v>#N/A</v>
      </c>
      <c r="G50" s="80" t="e">
        <f>CORREL($D$5:$D$44,G5:G44)</f>
        <v>#N/A</v>
      </c>
      <c r="H50" s="80" t="e">
        <f>CORREL($D$5:$D$44,H5:H44)</f>
        <v>#N/A</v>
      </c>
      <c r="I50" s="80" t="e">
        <f t="shared" ref="I50:U50" si="24">CORREL($D$5:$D$44,I5:I44)</f>
        <v>#N/A</v>
      </c>
      <c r="J50" s="80" t="e">
        <f t="shared" si="24"/>
        <v>#N/A</v>
      </c>
      <c r="K50" s="80" t="e">
        <f t="shared" si="24"/>
        <v>#N/A</v>
      </c>
      <c r="L50" s="80" t="e">
        <f t="shared" si="24"/>
        <v>#N/A</v>
      </c>
      <c r="M50" s="81" t="e">
        <f t="shared" si="24"/>
        <v>#N/A</v>
      </c>
      <c r="N50" s="81" t="e">
        <f t="shared" si="24"/>
        <v>#N/A</v>
      </c>
      <c r="O50" s="81" t="e">
        <f t="shared" si="24"/>
        <v>#N/A</v>
      </c>
      <c r="P50" s="82" t="e">
        <f t="shared" si="24"/>
        <v>#N/A</v>
      </c>
      <c r="Q50" s="82" t="e">
        <f t="shared" si="24"/>
        <v>#N/A</v>
      </c>
      <c r="R50" s="82" t="e">
        <f t="shared" si="24"/>
        <v>#N/A</v>
      </c>
      <c r="S50" s="82" t="e">
        <f t="shared" si="24"/>
        <v>#N/A</v>
      </c>
      <c r="T50" s="82" t="e">
        <f t="shared" si="24"/>
        <v>#N/A</v>
      </c>
      <c r="U50" s="82" t="e">
        <f t="shared" si="24"/>
        <v>#N/A</v>
      </c>
    </row>
    <row r="51" spans="1:21">
      <c r="D51">
        <f>COLUMN(D44)</f>
        <v>4</v>
      </c>
    </row>
    <row r="52" spans="1:21" ht="15.75" thickBot="1">
      <c r="D52" t="s">
        <v>87</v>
      </c>
      <c r="E52" s="72">
        <f ca="1">NORMSDIST(ABS(E53)/ABS(E54))</f>
        <v>0.85288394034052173</v>
      </c>
      <c r="F52" s="72">
        <f t="shared" ref="F52:P52" ca="1" si="25">NORMSDIST(ABS(F53)/ABS(F54))</f>
        <v>0.98054997004444466</v>
      </c>
      <c r="G52" s="72">
        <f t="shared" ca="1" si="25"/>
        <v>0.63807022832538274</v>
      </c>
      <c r="H52" s="72">
        <f t="shared" ca="1" si="25"/>
        <v>0.9561367248144883</v>
      </c>
      <c r="I52" s="72">
        <f t="shared" ca="1" si="25"/>
        <v>0.61997853577125051</v>
      </c>
      <c r="J52" s="72">
        <f t="shared" ca="1" si="25"/>
        <v>0.59756219323005544</v>
      </c>
      <c r="K52" s="72">
        <f t="shared" ca="1" si="25"/>
        <v>0.99999462918805571</v>
      </c>
      <c r="L52" s="72" t="e">
        <f t="shared" ca="1" si="25"/>
        <v>#N/A</v>
      </c>
      <c r="M52" s="72" t="e">
        <f t="shared" ca="1" si="25"/>
        <v>#N/A</v>
      </c>
      <c r="N52" s="72" t="e">
        <f t="shared" ca="1" si="25"/>
        <v>#N/A</v>
      </c>
      <c r="O52" s="72" t="e">
        <f t="shared" ca="1" si="25"/>
        <v>#N/A</v>
      </c>
      <c r="P52" s="72" t="e">
        <f t="shared" ca="1" si="25"/>
        <v>#N/A</v>
      </c>
      <c r="Q52" t="e">
        <f t="shared" ref="Q52:U52" ca="1" si="26">NORMSDIST(Q53/Q54)</f>
        <v>#N/A</v>
      </c>
      <c r="R52" t="e">
        <f t="shared" ca="1" si="26"/>
        <v>#N/A</v>
      </c>
      <c r="S52" t="e">
        <f t="shared" ca="1" si="26"/>
        <v>#N/A</v>
      </c>
      <c r="T52" t="e">
        <f t="shared" ca="1" si="26"/>
        <v>#N/A</v>
      </c>
      <c r="U52" t="e">
        <f t="shared" ca="1" si="26"/>
        <v>#N/A</v>
      </c>
    </row>
    <row r="53" spans="1:21" ht="15.75" thickBot="1">
      <c r="A53" s="41" t="s">
        <v>22</v>
      </c>
      <c r="B53" s="42">
        <f>ROW(D53)</f>
        <v>53</v>
      </c>
      <c r="C53" t="s">
        <v>11</v>
      </c>
      <c r="D53">
        <v>1</v>
      </c>
      <c r="E53" s="14">
        <f t="array" aca="1" ref="E53:U57" ca="1">IFERROR(LINEST(D5:INDIRECT(C61),INDIRECT("e5:"&amp;D61),TRUE,TRUE),"")</f>
        <v>-1.0452850456974125</v>
      </c>
      <c r="F53" s="15">
        <f ca="1"/>
        <v>0.55085329821534579</v>
      </c>
      <c r="G53" s="15">
        <f ca="1"/>
        <v>-3.9753013945696192E-2</v>
      </c>
      <c r="H53" s="15">
        <f ca="1"/>
        <v>-3.6450916465500995</v>
      </c>
      <c r="I53" s="15">
        <f ca="1"/>
        <v>-0.25159305754549088</v>
      </c>
      <c r="J53" s="15">
        <f ca="1"/>
        <v>-0.69102428457785525</v>
      </c>
      <c r="K53" s="15">
        <f ca="1"/>
        <v>52.963728591908513</v>
      </c>
      <c r="L53" s="15" t="e">
        <f ca="1"/>
        <v>#N/A</v>
      </c>
      <c r="M53" s="15" t="e">
        <f ca="1"/>
        <v>#N/A</v>
      </c>
      <c r="N53" s="15" t="e">
        <f ca="1"/>
        <v>#N/A</v>
      </c>
      <c r="O53" s="15" t="e">
        <f ca="1"/>
        <v>#N/A</v>
      </c>
      <c r="P53" s="15" t="e">
        <f ca="1"/>
        <v>#N/A</v>
      </c>
      <c r="Q53" s="16" t="e">
        <f ca="1"/>
        <v>#N/A</v>
      </c>
      <c r="R53" s="2" t="e">
        <f ca="1"/>
        <v>#N/A</v>
      </c>
      <c r="S53" s="2" t="e">
        <f ca="1"/>
        <v>#N/A</v>
      </c>
      <c r="T53" s="2" t="e">
        <f ca="1"/>
        <v>#N/A</v>
      </c>
      <c r="U53" s="3" t="e">
        <f ca="1"/>
        <v>#N/A</v>
      </c>
    </row>
    <row r="54" spans="1:21" ht="15.75" thickBot="1">
      <c r="A54" s="44" t="s">
        <v>16</v>
      </c>
      <c r="B54" s="45">
        <f ca="1">COUNT(E53:U53)+D51</f>
        <v>11</v>
      </c>
      <c r="C54" t="s">
        <v>12</v>
      </c>
      <c r="D54">
        <v>2</v>
      </c>
      <c r="E54" s="66">
        <f ca="1"/>
        <v>0.99657003461645333</v>
      </c>
      <c r="F54" s="67">
        <f ca="1"/>
        <v>0.26672572102005659</v>
      </c>
      <c r="G54" s="67">
        <f ca="1"/>
        <v>0.11251744470151011</v>
      </c>
      <c r="H54" s="68">
        <f ca="1"/>
        <v>2.1347359729443673</v>
      </c>
      <c r="I54" s="68">
        <f ca="1"/>
        <v>0.82374900134528772</v>
      </c>
      <c r="J54" s="68">
        <f ca="1"/>
        <v>2.7971919761002213</v>
      </c>
      <c r="K54" s="68">
        <f ca="1"/>
        <v>12.03261863557373</v>
      </c>
      <c r="L54" s="9" t="e">
        <f ca="1"/>
        <v>#N/A</v>
      </c>
      <c r="M54" s="9" t="e">
        <f ca="1"/>
        <v>#N/A</v>
      </c>
      <c r="N54" s="9" t="e">
        <f ca="1"/>
        <v>#N/A</v>
      </c>
      <c r="O54" s="9" t="e">
        <f ca="1"/>
        <v>#N/A</v>
      </c>
      <c r="P54" s="9" t="e">
        <f ca="1"/>
        <v>#N/A</v>
      </c>
      <c r="Q54" s="12" t="e">
        <f ca="1"/>
        <v>#N/A</v>
      </c>
      <c r="R54" s="9" t="e">
        <f ca="1"/>
        <v>#N/A</v>
      </c>
      <c r="S54" s="9" t="e">
        <f ca="1"/>
        <v>#N/A</v>
      </c>
      <c r="T54" s="9" t="e">
        <f ca="1"/>
        <v>#N/A</v>
      </c>
      <c r="U54" s="12" t="e">
        <f ca="1"/>
        <v>#N/A</v>
      </c>
    </row>
    <row r="55" spans="1:21">
      <c r="D55">
        <v>3</v>
      </c>
      <c r="E55" s="69">
        <f ca="1"/>
        <v>0.41437325101996275</v>
      </c>
      <c r="F55" s="9">
        <f ca="1"/>
        <v>13.972304238256566</v>
      </c>
      <c r="G55" s="9" t="str">
        <f ca="1"/>
        <v/>
      </c>
      <c r="H55" s="18" t="str">
        <f ca="1"/>
        <v/>
      </c>
      <c r="I55" s="18" t="str">
        <f ca="1"/>
        <v/>
      </c>
      <c r="J55" s="18" t="str">
        <f ca="1"/>
        <v/>
      </c>
      <c r="K55" s="18" t="str">
        <f ca="1"/>
        <v/>
      </c>
      <c r="L55" s="9" t="e">
        <f ca="1"/>
        <v>#N/A</v>
      </c>
      <c r="M55" s="9" t="e">
        <f ca="1"/>
        <v>#N/A</v>
      </c>
      <c r="N55" s="9" t="e">
        <f ca="1"/>
        <v>#N/A</v>
      </c>
      <c r="O55" s="9" t="e">
        <f ca="1"/>
        <v>#N/A</v>
      </c>
      <c r="P55" s="9" t="e">
        <f ca="1"/>
        <v>#N/A</v>
      </c>
      <c r="Q55" s="12" t="e">
        <f ca="1"/>
        <v>#N/A</v>
      </c>
      <c r="R55" s="9" t="e">
        <f ca="1"/>
        <v>#N/A</v>
      </c>
      <c r="S55" s="9" t="e">
        <f ca="1"/>
        <v>#N/A</v>
      </c>
      <c r="T55" s="9" t="e">
        <f ca="1"/>
        <v>#N/A</v>
      </c>
      <c r="U55" s="12" t="e">
        <f ca="1"/>
        <v>#N/A</v>
      </c>
    </row>
    <row r="56" spans="1:21">
      <c r="C56" t="s">
        <v>13</v>
      </c>
      <c r="D56">
        <v>4</v>
      </c>
      <c r="E56" s="70">
        <f ca="1"/>
        <v>2.5944316746450196</v>
      </c>
      <c r="F56" s="9">
        <f ca="1"/>
        <v>22</v>
      </c>
      <c r="G56" s="9" t="str">
        <f ca="1"/>
        <v/>
      </c>
      <c r="H56" s="18" t="str">
        <f ca="1"/>
        <v/>
      </c>
      <c r="I56" s="18" t="str">
        <f ca="1"/>
        <v/>
      </c>
      <c r="J56" s="18" t="str">
        <f ca="1"/>
        <v/>
      </c>
      <c r="K56" s="18" t="str">
        <f ca="1"/>
        <v/>
      </c>
      <c r="L56" s="9" t="e">
        <f ca="1"/>
        <v>#N/A</v>
      </c>
      <c r="M56" s="9" t="e">
        <f ca="1"/>
        <v>#N/A</v>
      </c>
      <c r="N56" s="9" t="e">
        <f ca="1"/>
        <v>#N/A</v>
      </c>
      <c r="O56" s="9" t="e">
        <f ca="1"/>
        <v>#N/A</v>
      </c>
      <c r="P56" s="9" t="e">
        <f ca="1"/>
        <v>#N/A</v>
      </c>
      <c r="Q56" s="12" t="e">
        <f ca="1"/>
        <v>#N/A</v>
      </c>
      <c r="R56" s="9" t="e">
        <f ca="1"/>
        <v>#N/A</v>
      </c>
      <c r="S56" s="9" t="e">
        <f ca="1"/>
        <v>#N/A</v>
      </c>
      <c r="T56" s="9" t="e">
        <f ca="1"/>
        <v>#N/A</v>
      </c>
      <c r="U56" s="12" t="e">
        <f ca="1"/>
        <v>#N/A</v>
      </c>
    </row>
    <row r="57" spans="1:21">
      <c r="C57" t="s">
        <v>14</v>
      </c>
      <c r="D57">
        <v>5</v>
      </c>
      <c r="E57" s="71">
        <f ca="1"/>
        <v>3038.9919898812159</v>
      </c>
      <c r="F57" s="8">
        <f ca="1"/>
        <v>4294.956285980853</v>
      </c>
      <c r="G57" s="8" t="str">
        <f ca="1"/>
        <v/>
      </c>
      <c r="H57" s="20" t="str">
        <f ca="1"/>
        <v/>
      </c>
      <c r="I57" s="20" t="str">
        <f ca="1"/>
        <v/>
      </c>
      <c r="J57" s="20" t="str">
        <f ca="1"/>
        <v/>
      </c>
      <c r="K57" s="20" t="str">
        <f ca="1"/>
        <v/>
      </c>
      <c r="L57" s="8" t="e">
        <f ca="1"/>
        <v>#N/A</v>
      </c>
      <c r="M57" s="8" t="e">
        <f ca="1"/>
        <v>#N/A</v>
      </c>
      <c r="N57" s="8" t="e">
        <f ca="1"/>
        <v>#N/A</v>
      </c>
      <c r="O57" s="8" t="e">
        <f ca="1"/>
        <v>#N/A</v>
      </c>
      <c r="P57" s="8" t="e">
        <f ca="1"/>
        <v>#N/A</v>
      </c>
      <c r="Q57" s="10" t="e">
        <f ca="1"/>
        <v>#N/A</v>
      </c>
      <c r="R57" s="8" t="e">
        <f ca="1"/>
        <v>#N/A</v>
      </c>
      <c r="S57" s="8" t="e">
        <f ca="1"/>
        <v>#N/A</v>
      </c>
      <c r="T57" s="8" t="e">
        <f ca="1"/>
        <v>#N/A</v>
      </c>
      <c r="U57" s="10" t="e">
        <f ca="1"/>
        <v>#N/A</v>
      </c>
    </row>
    <row r="58" spans="1:21">
      <c r="A58" t="s">
        <v>166</v>
      </c>
      <c r="E58" s="43">
        <f ca="1">ABS(E53)/ABS(E54)</f>
        <v>1.0488826769708242</v>
      </c>
      <c r="F58" s="43">
        <f t="shared" ref="F58:U58" ca="1" si="27">ABS(F53)/ABS(F54)</f>
        <v>2.0652425124531733</v>
      </c>
      <c r="G58" s="43">
        <f t="shared" ca="1" si="27"/>
        <v>0.35330533901791195</v>
      </c>
      <c r="H58" s="43">
        <f t="shared" ca="1" si="27"/>
        <v>1.7075140404939873</v>
      </c>
      <c r="I58" s="43">
        <f t="shared" ca="1" si="27"/>
        <v>0.30542441585313873</v>
      </c>
      <c r="J58" s="43">
        <f t="shared" ca="1" si="27"/>
        <v>0.24704213743000397</v>
      </c>
      <c r="K58" s="43">
        <f t="shared" ca="1" si="27"/>
        <v>4.4016793181929961</v>
      </c>
      <c r="L58" s="43" t="e">
        <f t="shared" ca="1" si="27"/>
        <v>#N/A</v>
      </c>
      <c r="M58" s="43" t="e">
        <f t="shared" ca="1" si="27"/>
        <v>#N/A</v>
      </c>
      <c r="N58" s="43" t="e">
        <f t="shared" ca="1" si="27"/>
        <v>#N/A</v>
      </c>
      <c r="O58" s="43" t="e">
        <f t="shared" ca="1" si="27"/>
        <v>#N/A</v>
      </c>
      <c r="P58" s="43" t="e">
        <f t="shared" ca="1" si="27"/>
        <v>#N/A</v>
      </c>
      <c r="Q58" s="43" t="e">
        <f t="shared" ca="1" si="27"/>
        <v>#N/A</v>
      </c>
      <c r="R58" s="43" t="e">
        <f t="shared" ca="1" si="27"/>
        <v>#N/A</v>
      </c>
      <c r="S58" s="43" t="e">
        <f t="shared" ca="1" si="27"/>
        <v>#N/A</v>
      </c>
      <c r="T58" s="43" t="e">
        <f t="shared" ca="1" si="27"/>
        <v>#N/A</v>
      </c>
      <c r="U58" s="43" t="e">
        <f t="shared" ca="1" si="27"/>
        <v>#N/A</v>
      </c>
    </row>
    <row r="60" spans="1:21">
      <c r="C60" t="e">
        <f>co</f>
        <v>#NAME?</v>
      </c>
      <c r="D60" s="37" t="e">
        <f ca="1">OFFSET(E44,0,B45)</f>
        <v>#N/A</v>
      </c>
    </row>
    <row r="61" spans="1:21">
      <c r="B61" t="s">
        <v>170</v>
      </c>
      <c r="C61" s="88" t="str">
        <f>ADDRESS(B44,D51)</f>
        <v>$D$33</v>
      </c>
      <c r="D61" s="88" t="str">
        <f>ADDRESS(B44,B45)</f>
        <v>$J$33</v>
      </c>
      <c r="E61" t="s">
        <v>26</v>
      </c>
    </row>
    <row r="62" spans="1:21">
      <c r="C62" s="88"/>
      <c r="D62" s="88" t="str">
        <f ca="1">ADDRESS(B53,B54)</f>
        <v>$K$53</v>
      </c>
      <c r="E62" t="s">
        <v>25</v>
      </c>
      <c r="F62">
        <f ca="1">INDIRECT(D62)</f>
        <v>52.963728591908513</v>
      </c>
    </row>
    <row r="63" spans="1:21">
      <c r="G63" t="s">
        <v>86</v>
      </c>
      <c r="H63" t="s">
        <v>86</v>
      </c>
      <c r="J63" t="s">
        <v>86</v>
      </c>
      <c r="N63" t="s">
        <v>86</v>
      </c>
      <c r="O63" t="s">
        <v>86</v>
      </c>
      <c r="P63" t="s">
        <v>86</v>
      </c>
    </row>
    <row r="64" spans="1:21">
      <c r="D64" t="s">
        <v>90</v>
      </c>
      <c r="E64" s="38"/>
      <c r="F64" s="38" t="b">
        <v>1</v>
      </c>
      <c r="G64" s="38" t="b">
        <v>1</v>
      </c>
      <c r="H64" s="38" t="b">
        <v>1</v>
      </c>
      <c r="I64" s="38" t="b">
        <v>1</v>
      </c>
      <c r="J64" s="38" t="b">
        <v>1</v>
      </c>
      <c r="K64" s="38" t="b">
        <v>1</v>
      </c>
      <c r="L64" s="38"/>
      <c r="M64" s="38"/>
      <c r="N64" s="38"/>
      <c r="O64" s="38"/>
      <c r="P64" s="38"/>
      <c r="Q64" s="38"/>
      <c r="R64" s="38"/>
      <c r="S64" s="38"/>
      <c r="T64" s="38"/>
    </row>
    <row r="65" spans="2:20" ht="30">
      <c r="D65" t="s">
        <v>89</v>
      </c>
      <c r="E65" s="52" t="str">
        <f>E4</f>
        <v>Market Cap</v>
      </c>
      <c r="F65" s="52" t="str">
        <f t="shared" ref="F65:T65" si="28">F4</f>
        <v>ROE %</v>
      </c>
      <c r="G65" s="52" t="str">
        <f t="shared" si="28"/>
        <v>Div. Yield %</v>
      </c>
      <c r="H65" s="52" t="str">
        <f t="shared" si="28"/>
        <v>Debt to Equity</v>
      </c>
      <c r="I65" s="52" t="str">
        <f t="shared" si="28"/>
        <v>Price to Book</v>
      </c>
      <c r="J65" s="52" t="str">
        <f t="shared" si="28"/>
        <v>Net Profit Margin (mrq)</v>
      </c>
      <c r="K65" s="52" t="e">
        <f t="shared" si="28"/>
        <v>#N/A</v>
      </c>
      <c r="L65" s="52" t="e">
        <f t="shared" si="28"/>
        <v>#N/A</v>
      </c>
      <c r="M65" s="52" t="e">
        <f t="shared" si="28"/>
        <v>#N/A</v>
      </c>
      <c r="N65" s="52" t="e">
        <f t="shared" si="28"/>
        <v>#N/A</v>
      </c>
      <c r="O65" s="52" t="e">
        <f t="shared" si="28"/>
        <v>#N/A</v>
      </c>
      <c r="P65" s="52" t="e">
        <f t="shared" si="28"/>
        <v>#N/A</v>
      </c>
      <c r="Q65" s="52" t="e">
        <f t="shared" si="28"/>
        <v>#N/A</v>
      </c>
      <c r="R65" s="52" t="e">
        <f t="shared" si="28"/>
        <v>#N/A</v>
      </c>
      <c r="S65" s="52" t="e">
        <f t="shared" si="28"/>
        <v>#N/A</v>
      </c>
      <c r="T65" s="52" t="e">
        <f t="shared" si="28"/>
        <v>#N/A</v>
      </c>
    </row>
    <row r="66" spans="2:20">
      <c r="D66" t="s">
        <v>88</v>
      </c>
      <c r="E66">
        <f t="shared" ref="E66:T66" si="29">CORREL($D$72:$D$111,E72:E111)</f>
        <v>6.80273423135212E-2</v>
      </c>
      <c r="F66">
        <f t="shared" si="29"/>
        <v>-0.13792325210689715</v>
      </c>
      <c r="G66">
        <f t="shared" si="29"/>
        <v>-0.42674974445798269</v>
      </c>
      <c r="H66">
        <f t="shared" si="29"/>
        <v>-0.37332950759031436</v>
      </c>
      <c r="I66">
        <f t="shared" si="29"/>
        <v>-0.25599516938669165</v>
      </c>
      <c r="J66">
        <f t="shared" si="29"/>
        <v>0.42873785018841054</v>
      </c>
      <c r="K66">
        <f t="shared" si="29"/>
        <v>-0.21664542742679985</v>
      </c>
      <c r="L66">
        <f t="shared" si="29"/>
        <v>-5.0283684308536827E-3</v>
      </c>
      <c r="M66" t="e">
        <f t="shared" si="29"/>
        <v>#DIV/0!</v>
      </c>
      <c r="N66" t="e">
        <f t="shared" si="29"/>
        <v>#DIV/0!</v>
      </c>
      <c r="O66" t="e">
        <f t="shared" si="29"/>
        <v>#DIV/0!</v>
      </c>
      <c r="P66" t="e">
        <f t="shared" si="29"/>
        <v>#DIV/0!</v>
      </c>
      <c r="Q66" t="e">
        <f t="shared" si="29"/>
        <v>#DIV/0!</v>
      </c>
      <c r="R66" t="e">
        <f t="shared" si="29"/>
        <v>#DIV/0!</v>
      </c>
      <c r="S66" t="e">
        <f t="shared" si="29"/>
        <v>#DIV/0!</v>
      </c>
      <c r="T66" t="e">
        <f t="shared" si="29"/>
        <v>#DIV/0!</v>
      </c>
    </row>
    <row r="68" spans="2:20">
      <c r="E68" t="str">
        <f t="shared" ref="E68:T68" si="30">IF(E1=TRUE,E69,"")</f>
        <v/>
      </c>
      <c r="F68">
        <f t="shared" si="30"/>
        <v>2</v>
      </c>
      <c r="G68">
        <f t="shared" si="30"/>
        <v>3</v>
      </c>
      <c r="H68">
        <f t="shared" si="30"/>
        <v>4</v>
      </c>
      <c r="I68">
        <f t="shared" si="30"/>
        <v>5</v>
      </c>
      <c r="J68">
        <f t="shared" si="30"/>
        <v>6</v>
      </c>
      <c r="K68">
        <f t="shared" si="30"/>
        <v>7</v>
      </c>
      <c r="L68" t="str">
        <f t="shared" si="30"/>
        <v/>
      </c>
      <c r="M68" t="str">
        <f t="shared" si="30"/>
        <v/>
      </c>
      <c r="N68" t="str">
        <f t="shared" si="30"/>
        <v/>
      </c>
      <c r="O68" t="str">
        <f t="shared" si="30"/>
        <v/>
      </c>
      <c r="P68" t="str">
        <f t="shared" si="30"/>
        <v/>
      </c>
      <c r="Q68" t="str">
        <f t="shared" si="30"/>
        <v/>
      </c>
      <c r="R68" t="str">
        <f t="shared" si="30"/>
        <v/>
      </c>
      <c r="S68" t="str">
        <f t="shared" si="30"/>
        <v/>
      </c>
      <c r="T68" t="str">
        <f t="shared" si="30"/>
        <v/>
      </c>
    </row>
    <row r="69" spans="2:20">
      <c r="C69" s="1"/>
      <c r="D69" s="2"/>
      <c r="E69" s="2">
        <v>1</v>
      </c>
      <c r="F69" s="2">
        <v>2</v>
      </c>
      <c r="G69" s="2">
        <v>3</v>
      </c>
      <c r="H69" s="2">
        <v>4</v>
      </c>
      <c r="I69" s="2">
        <v>5</v>
      </c>
      <c r="J69" s="2">
        <v>6</v>
      </c>
      <c r="K69" s="2">
        <v>7</v>
      </c>
      <c r="L69" s="2">
        <v>8</v>
      </c>
      <c r="M69" s="2">
        <v>9</v>
      </c>
      <c r="N69" s="2">
        <v>10</v>
      </c>
      <c r="O69" s="2">
        <v>11</v>
      </c>
      <c r="P69" s="84">
        <v>12</v>
      </c>
      <c r="Q69" s="86">
        <v>13</v>
      </c>
      <c r="R69" s="84">
        <v>14</v>
      </c>
      <c r="S69" s="84">
        <v>15</v>
      </c>
      <c r="T69" s="83">
        <v>16</v>
      </c>
    </row>
    <row r="70" spans="2:20">
      <c r="C70" s="1"/>
      <c r="D70" s="9"/>
      <c r="E70" s="40" t="e">
        <f>IFERROR(RANK(E68,$E$68:$T$68,1),NA())</f>
        <v>#N/A</v>
      </c>
      <c r="F70" s="40">
        <f t="shared" ref="F70:T70" si="31">IFERROR(RANK(F68,$E$68:$T$68,1),NA())</f>
        <v>1</v>
      </c>
      <c r="G70" s="40">
        <f t="shared" si="31"/>
        <v>2</v>
      </c>
      <c r="H70" s="40">
        <f t="shared" si="31"/>
        <v>3</v>
      </c>
      <c r="I70" s="40">
        <f t="shared" si="31"/>
        <v>4</v>
      </c>
      <c r="J70" s="40">
        <f t="shared" si="31"/>
        <v>5</v>
      </c>
      <c r="K70" s="40">
        <f t="shared" si="31"/>
        <v>6</v>
      </c>
      <c r="L70" s="40" t="e">
        <f t="shared" si="31"/>
        <v>#N/A</v>
      </c>
      <c r="M70" s="40" t="e">
        <f t="shared" si="31"/>
        <v>#N/A</v>
      </c>
      <c r="N70" s="40" t="e">
        <f t="shared" si="31"/>
        <v>#N/A</v>
      </c>
      <c r="O70" s="40" t="e">
        <f t="shared" si="31"/>
        <v>#N/A</v>
      </c>
      <c r="P70" s="40" t="e">
        <f t="shared" si="31"/>
        <v>#N/A</v>
      </c>
      <c r="Q70" s="40" t="e">
        <f t="shared" si="31"/>
        <v>#N/A</v>
      </c>
      <c r="R70" s="40" t="e">
        <f t="shared" si="31"/>
        <v>#N/A</v>
      </c>
      <c r="S70" s="40" t="e">
        <f t="shared" si="31"/>
        <v>#N/A</v>
      </c>
      <c r="T70" s="40" t="e">
        <f t="shared" si="31"/>
        <v>#N/A</v>
      </c>
    </row>
    <row r="71" spans="2:20" ht="45">
      <c r="B71" t="s">
        <v>20</v>
      </c>
      <c r="C71" s="4" t="s">
        <v>0</v>
      </c>
      <c r="D71" s="7" t="str">
        <f>YahooData!D1</f>
        <v>P/E</v>
      </c>
      <c r="E71" s="7" t="str">
        <f>YahooData!E1</f>
        <v>1-Day Price Chg %</v>
      </c>
      <c r="F71" s="7" t="str">
        <f>YahooData!F1</f>
        <v>Market Cap</v>
      </c>
      <c r="G71" s="7" t="str">
        <f>YahooData!G1</f>
        <v>ROE %</v>
      </c>
      <c r="H71" s="7" t="str">
        <f>YahooData!H1</f>
        <v>Div. Yield %</v>
      </c>
      <c r="I71" s="7" t="str">
        <f>YahooData!I1</f>
        <v>Debt to Equity</v>
      </c>
      <c r="J71" s="7" t="str">
        <f>YahooData!J1</f>
        <v>Price to Book</v>
      </c>
      <c r="K71" s="7" t="str">
        <f>YahooData!K1</f>
        <v>Net Profit Margin (mrq)</v>
      </c>
      <c r="L71" s="7" t="str">
        <f>YahooData!L1</f>
        <v>Price To Free Cash Flow (mrq)</v>
      </c>
      <c r="M71" s="7"/>
      <c r="N71" s="28" t="s">
        <v>119</v>
      </c>
      <c r="O71" s="28" t="s">
        <v>167</v>
      </c>
      <c r="P71" s="28" t="s">
        <v>168</v>
      </c>
      <c r="Q71" s="85" t="s">
        <v>169</v>
      </c>
      <c r="R71" s="7" t="s">
        <v>7</v>
      </c>
      <c r="S71" s="7" t="s">
        <v>8</v>
      </c>
      <c r="T71" s="98" t="s">
        <v>9</v>
      </c>
    </row>
    <row r="72" spans="2:20">
      <c r="B72" t="e">
        <f>MMULT(E72:P72,D119:P119)</f>
        <v>#VALUE!</v>
      </c>
      <c r="C72" s="1">
        <v>1</v>
      </c>
      <c r="D72" s="99">
        <f>YahooData!D2</f>
        <v>32.700000000000003</v>
      </c>
      <c r="E72" s="100">
        <f>YahooData!E2</f>
        <v>-0.83099999999999996</v>
      </c>
      <c r="F72" s="101">
        <f>YahooData!F2</f>
        <v>2.7167460199658002</v>
      </c>
      <c r="G72" s="100">
        <f>YahooData!G2</f>
        <v>16.899999999999999</v>
      </c>
      <c r="H72" s="100">
        <f>YahooData!H2</f>
        <v>1.0900000000000001</v>
      </c>
      <c r="I72" s="100">
        <f>YahooData!I2</f>
        <v>50.131</v>
      </c>
      <c r="J72" s="102">
        <f>YahooData!J2</f>
        <v>32.96</v>
      </c>
      <c r="K72" s="103">
        <f>YahooData!K2</f>
        <v>16.100000000000001</v>
      </c>
      <c r="L72" s="104">
        <f>YahooData!L2</f>
        <v>98.9</v>
      </c>
      <c r="M72" s="104"/>
      <c r="N72" s="104"/>
      <c r="O72" s="104"/>
      <c r="P72" s="104"/>
      <c r="Q72" s="104"/>
      <c r="R72" s="104"/>
      <c r="S72" s="104"/>
      <c r="T72" s="105"/>
    </row>
    <row r="73" spans="2:20">
      <c r="C73" s="1">
        <v>2</v>
      </c>
      <c r="D73" s="99">
        <f>YahooData!D3</f>
        <v>18.600000000000001</v>
      </c>
      <c r="E73" s="100">
        <f>YahooData!E3</f>
        <v>0.32</v>
      </c>
      <c r="F73" s="101">
        <f>YahooData!F3</f>
        <v>3.7769611018878386</v>
      </c>
      <c r="G73" s="100">
        <f>YahooData!G3</f>
        <v>23.3</v>
      </c>
      <c r="H73" s="100">
        <f>YahooData!H3</f>
        <v>2.8220000000000001</v>
      </c>
      <c r="I73" s="100">
        <f>YahooData!I3</f>
        <v>43.878</v>
      </c>
      <c r="J73" s="102">
        <f>YahooData!J3</f>
        <v>7.35</v>
      </c>
      <c r="K73" s="103">
        <f>YahooData!K3</f>
        <v>17.3</v>
      </c>
      <c r="L73" s="104">
        <f>YahooData!L3</f>
        <v>28.6</v>
      </c>
      <c r="M73" s="104"/>
      <c r="N73" s="104"/>
      <c r="O73" s="104"/>
      <c r="P73" s="104"/>
      <c r="Q73" s="104"/>
      <c r="R73" s="104"/>
      <c r="S73" s="104"/>
      <c r="T73" s="105"/>
    </row>
    <row r="74" spans="2:20">
      <c r="C74" s="1">
        <v>3</v>
      </c>
      <c r="D74" s="99">
        <f>YahooData!D4</f>
        <v>49.1</v>
      </c>
      <c r="E74" s="100">
        <f>YahooData!E4</f>
        <v>0.40899999999999997</v>
      </c>
      <c r="F74" s="101">
        <f>YahooData!F4</f>
        <v>3.7939027839895854</v>
      </c>
      <c r="G74" s="100">
        <f>YahooData!G4</f>
        <v>6.7</v>
      </c>
      <c r="H74" s="100">
        <f>YahooData!H4</f>
        <v>1.383</v>
      </c>
      <c r="I74" s="100">
        <f>YahooData!I4</f>
        <v>47.604999999999997</v>
      </c>
      <c r="J74" s="102">
        <f>YahooData!J4</f>
        <v>5.49</v>
      </c>
      <c r="K74" s="103">
        <f>YahooData!K4</f>
        <v>4.4000000000000004</v>
      </c>
      <c r="L74" s="104">
        <f>YahooData!L4</f>
        <v>91.2</v>
      </c>
      <c r="M74" s="104"/>
      <c r="N74" s="104"/>
      <c r="O74" s="104"/>
      <c r="P74" s="104"/>
      <c r="Q74" s="104"/>
      <c r="R74" s="104"/>
      <c r="S74" s="104"/>
      <c r="T74" s="105"/>
    </row>
    <row r="75" spans="2:20">
      <c r="C75" s="1">
        <v>4</v>
      </c>
      <c r="D75" s="99">
        <f>YahooData!D5</f>
        <v>47.6</v>
      </c>
      <c r="E75" s="100">
        <f>YahooData!E5</f>
        <v>-0.34300000000000003</v>
      </c>
      <c r="F75" s="101">
        <f>YahooData!F5</f>
        <v>3.0393189209114189</v>
      </c>
      <c r="G75" s="100">
        <f>YahooData!G5</f>
        <v>6</v>
      </c>
      <c r="H75" s="100">
        <f>YahooData!H5</f>
        <v>3.1779999999999999</v>
      </c>
      <c r="I75" s="100">
        <f>YahooData!I5</f>
        <v>73.75</v>
      </c>
      <c r="J75" s="102">
        <f>YahooData!J5</f>
        <v>4.2</v>
      </c>
      <c r="K75" s="103">
        <f>YahooData!K5</f>
        <v>2.5</v>
      </c>
      <c r="L75" s="104">
        <f>YahooData!L5</f>
        <v>-21.3</v>
      </c>
      <c r="M75" s="104"/>
      <c r="N75" s="104"/>
      <c r="O75" s="104"/>
      <c r="P75" s="104"/>
      <c r="Q75" s="104"/>
      <c r="R75" s="104"/>
      <c r="S75" s="104"/>
      <c r="T75" s="105"/>
    </row>
    <row r="76" spans="2:20">
      <c r="C76" s="1">
        <v>5</v>
      </c>
      <c r="D76" s="99">
        <f>YahooData!D6</f>
        <v>27.4</v>
      </c>
      <c r="E76" s="100">
        <f>YahooData!E6</f>
        <v>-0.67800000000000005</v>
      </c>
      <c r="F76" s="101">
        <f>YahooData!F6</f>
        <v>1.6694098672877826</v>
      </c>
      <c r="G76" s="100">
        <f>YahooData!G6</f>
        <v>16.3</v>
      </c>
      <c r="H76" s="100">
        <f>YahooData!H6</f>
        <v>1.8680000000000001</v>
      </c>
      <c r="I76" s="100">
        <f>YahooData!I6</f>
        <v>103.486</v>
      </c>
      <c r="J76" s="102">
        <f>YahooData!J6</f>
        <v>-4.76</v>
      </c>
      <c r="K76" s="103">
        <f>YahooData!K6</f>
        <v>7.3</v>
      </c>
      <c r="L76" s="104">
        <f>YahooData!L6</f>
        <v>-82.9</v>
      </c>
      <c r="M76" s="104"/>
      <c r="N76" s="104"/>
      <c r="O76" s="104"/>
      <c r="P76" s="104"/>
      <c r="Q76" s="104"/>
      <c r="R76" s="104"/>
      <c r="S76" s="104"/>
      <c r="T76" s="105"/>
    </row>
    <row r="77" spans="2:20">
      <c r="C77" s="1">
        <v>6</v>
      </c>
      <c r="D77" s="99">
        <f>YahooData!D7</f>
        <v>24.3</v>
      </c>
      <c r="E77" s="100">
        <f>YahooData!E7</f>
        <v>-2.33</v>
      </c>
      <c r="F77" s="101">
        <f>YahooData!F7</f>
        <v>3.0026799967838054</v>
      </c>
      <c r="G77" s="100">
        <f>YahooData!G7</f>
        <v>12.3</v>
      </c>
      <c r="H77" s="100">
        <f>YahooData!H7</f>
        <v>1.794</v>
      </c>
      <c r="I77" s="100">
        <f>YahooData!I7</f>
        <v>31.420999999999999</v>
      </c>
      <c r="J77" s="102">
        <f>YahooData!J7</f>
        <v>5.28</v>
      </c>
      <c r="K77" s="103">
        <f>YahooData!K7</f>
        <v>8.8000000000000007</v>
      </c>
      <c r="L77" s="104">
        <f>YahooData!L7</f>
        <v>19</v>
      </c>
      <c r="M77" s="104"/>
      <c r="N77" s="104"/>
      <c r="O77" s="104"/>
      <c r="P77" s="104"/>
      <c r="Q77" s="104"/>
      <c r="R77" s="104"/>
      <c r="S77" s="104"/>
      <c r="T77" s="105"/>
    </row>
    <row r="78" spans="2:20">
      <c r="C78" s="1">
        <v>7</v>
      </c>
      <c r="D78" s="99">
        <f>YahooData!D8</f>
        <v>18.100000000000001</v>
      </c>
      <c r="E78" s="100">
        <f>YahooData!E8</f>
        <v>-2.3E-2</v>
      </c>
      <c r="F78" s="101">
        <f>YahooData!F8</f>
        <v>2.3732615061616817</v>
      </c>
      <c r="G78" s="100">
        <f>YahooData!G8</f>
        <v>8.4</v>
      </c>
      <c r="H78" s="100">
        <f>YahooData!H8</f>
        <v>3.254</v>
      </c>
      <c r="I78" s="100">
        <f>YahooData!I8</f>
        <v>112.07599999999999</v>
      </c>
      <c r="J78" s="102">
        <f>YahooData!J8</f>
        <v>12.25</v>
      </c>
      <c r="K78" s="103">
        <f>YahooData!K8</f>
        <v>5.0999999999999996</v>
      </c>
      <c r="L78" s="104">
        <f>YahooData!L8</f>
        <v>1789</v>
      </c>
      <c r="M78" s="104"/>
      <c r="N78" s="104"/>
      <c r="O78" s="104"/>
      <c r="P78" s="105"/>
      <c r="Q78" s="104"/>
      <c r="R78" s="104"/>
      <c r="S78" s="104"/>
      <c r="T78" s="105"/>
    </row>
    <row r="79" spans="2:20">
      <c r="C79" s="1">
        <v>8</v>
      </c>
      <c r="D79" s="99">
        <f>YahooData!D9</f>
        <v>10.6</v>
      </c>
      <c r="E79" s="100">
        <f>YahooData!E9</f>
        <v>-0.85599999999999998</v>
      </c>
      <c r="F79" s="101">
        <f>YahooData!F9</f>
        <v>1.7682680164515479</v>
      </c>
      <c r="G79" s="100">
        <f>YahooData!G9</f>
        <v>19</v>
      </c>
      <c r="H79" s="100">
        <f>YahooData!H9</f>
        <v>2</v>
      </c>
      <c r="I79" s="100">
        <f>YahooData!I9</f>
        <v>82.049000000000007</v>
      </c>
      <c r="J79" s="102">
        <f>YahooData!J9</f>
        <v>-8.35</v>
      </c>
      <c r="K79" s="103">
        <f>YahooData!K9</f>
        <v>4.5999999999999996</v>
      </c>
      <c r="L79" s="104">
        <f>YahooData!L9</f>
        <v>7.5</v>
      </c>
      <c r="M79" s="104"/>
      <c r="N79" s="104"/>
      <c r="O79" s="104"/>
      <c r="P79" s="104"/>
      <c r="Q79" s="104"/>
      <c r="R79" s="104"/>
      <c r="S79" s="104"/>
      <c r="T79" s="105"/>
    </row>
    <row r="80" spans="2:20">
      <c r="C80" s="1">
        <v>9</v>
      </c>
      <c r="D80" s="99">
        <f>YahooData!D10</f>
        <v>22.5</v>
      </c>
      <c r="E80" s="100">
        <f>YahooData!E10</f>
        <v>3.4860000000000002</v>
      </c>
      <c r="F80" s="101">
        <f>YahooData!F10</f>
        <v>4.5</v>
      </c>
      <c r="G80" s="100">
        <f>YahooData!G10</f>
        <v>7.4</v>
      </c>
      <c r="H80" s="100">
        <f>YahooData!H10</f>
        <v>1.431</v>
      </c>
      <c r="I80" s="100">
        <f>YahooData!I10</f>
        <v>29.521999999999998</v>
      </c>
      <c r="J80" s="102">
        <f>YahooData!J10</f>
        <v>2.02</v>
      </c>
      <c r="K80" s="103">
        <f>YahooData!K10</f>
        <v>5.9</v>
      </c>
      <c r="L80" s="104">
        <f>YahooData!L10</f>
        <v>82.5</v>
      </c>
      <c r="M80" s="104"/>
      <c r="N80" s="104"/>
      <c r="O80" s="104"/>
      <c r="P80" s="104"/>
      <c r="Q80" s="104"/>
      <c r="R80" s="104"/>
      <c r="S80" s="104"/>
      <c r="T80" s="105"/>
    </row>
    <row r="81" spans="3:20">
      <c r="C81" s="1">
        <v>10</v>
      </c>
      <c r="D81" s="99">
        <f>YahooData!D11</f>
        <v>66.8</v>
      </c>
      <c r="E81" s="100">
        <f>YahooData!E11</f>
        <v>0.26700000000000002</v>
      </c>
      <c r="F81" s="101">
        <f>YahooData!F11</f>
        <v>1.6474807731736756</v>
      </c>
      <c r="G81" s="100">
        <f>YahooData!G11</f>
        <v>16.8</v>
      </c>
      <c r="H81" s="100">
        <f>YahooData!H11</f>
        <v>2.9910000000000001</v>
      </c>
      <c r="I81" s="100">
        <f>YahooData!I11</f>
        <v>65.185000000000002</v>
      </c>
      <c r="J81" s="102">
        <f>YahooData!J11</f>
        <v>22.97</v>
      </c>
      <c r="K81" s="103">
        <f>YahooData!K11</f>
        <v>7.9</v>
      </c>
      <c r="L81" s="104">
        <f>YahooData!L11</f>
        <v>101.2</v>
      </c>
      <c r="M81" s="104"/>
      <c r="N81" s="104"/>
      <c r="O81" s="104"/>
      <c r="P81" s="104"/>
      <c r="Q81" s="104"/>
      <c r="R81" s="104"/>
      <c r="S81" s="104"/>
      <c r="T81" s="105"/>
    </row>
    <row r="82" spans="3:20">
      <c r="C82" s="1">
        <v>11</v>
      </c>
      <c r="D82" s="99">
        <f>YahooData!D12</f>
        <v>41.6</v>
      </c>
      <c r="E82" s="100">
        <f>YahooData!E12</f>
        <v>0.127</v>
      </c>
      <c r="F82" s="101">
        <f>YahooData!F12</f>
        <v>3.5408310642373224</v>
      </c>
      <c r="G82" s="100">
        <f>YahooData!G12</f>
        <v>15.7</v>
      </c>
      <c r="H82" s="100">
        <f>YahooData!H12</f>
        <v>0.97499999999999998</v>
      </c>
      <c r="I82" s="100">
        <f>YahooData!I12</f>
        <v>26.202999999999999</v>
      </c>
      <c r="J82" s="102">
        <f>YahooData!J12</f>
        <v>8.98</v>
      </c>
      <c r="K82" s="103">
        <f>YahooData!K12</f>
        <v>17.3</v>
      </c>
      <c r="L82" s="104">
        <f>YahooData!L12</f>
        <v>75.900000000000006</v>
      </c>
      <c r="M82" s="104"/>
      <c r="N82" s="104"/>
      <c r="O82" s="104"/>
      <c r="P82" s="104"/>
      <c r="Q82" s="104"/>
      <c r="R82" s="104"/>
      <c r="S82" s="104"/>
      <c r="T82" s="105"/>
    </row>
    <row r="83" spans="3:20">
      <c r="C83" s="1">
        <v>12</v>
      </c>
      <c r="D83" s="99">
        <f>YahooData!D13</f>
        <v>27.2</v>
      </c>
      <c r="E83" s="100">
        <f>YahooData!E13</f>
        <v>-1.9E-2</v>
      </c>
      <c r="F83" s="101">
        <f>YahooData!F13</f>
        <v>4.5</v>
      </c>
      <c r="G83" s="100">
        <f>YahooData!G13</f>
        <v>7.9</v>
      </c>
      <c r="H83" s="100">
        <f>YahooData!H13</f>
        <v>3.8410000000000002</v>
      </c>
      <c r="I83" s="100">
        <f>YahooData!I13</f>
        <v>11.54</v>
      </c>
      <c r="J83" s="102">
        <f>YahooData!J13</f>
        <v>5.2</v>
      </c>
      <c r="K83" s="103">
        <f>YahooData!K13</f>
        <v>6.5</v>
      </c>
      <c r="L83" s="104">
        <f>YahooData!L13</f>
        <v>-186.7</v>
      </c>
      <c r="M83" s="104"/>
      <c r="N83" s="104"/>
      <c r="O83" s="104"/>
      <c r="P83" s="104"/>
      <c r="Q83" s="104"/>
      <c r="R83" s="104"/>
      <c r="S83" s="104"/>
      <c r="T83" s="105"/>
    </row>
    <row r="84" spans="3:20">
      <c r="C84" s="1">
        <v>13</v>
      </c>
      <c r="D84" s="99">
        <f>YahooData!D14</f>
        <v>74</v>
      </c>
      <c r="E84" s="100">
        <f>YahooData!E14</f>
        <v>-0.30299999999999999</v>
      </c>
      <c r="F84" s="101">
        <f>YahooData!F14</f>
        <v>1.7531999141994159</v>
      </c>
      <c r="G84" s="100">
        <f>YahooData!G14</f>
        <v>6.9</v>
      </c>
      <c r="H84" s="100">
        <f>YahooData!H14</f>
        <v>0.433</v>
      </c>
      <c r="I84" s="100">
        <f>YahooData!I14</f>
        <v>61.848999999999997</v>
      </c>
      <c r="J84" s="102">
        <f>YahooData!J14</f>
        <v>18.489999999999998</v>
      </c>
      <c r="K84" s="103">
        <f>YahooData!K14</f>
        <v>5.6</v>
      </c>
      <c r="L84" s="104">
        <f>YahooData!L14</f>
        <v>383.2</v>
      </c>
      <c r="M84" s="104"/>
      <c r="N84" s="104"/>
      <c r="O84" s="104"/>
      <c r="P84" s="104"/>
      <c r="Q84" s="104"/>
      <c r="R84" s="104"/>
      <c r="S84" s="104"/>
      <c r="T84" s="105"/>
    </row>
    <row r="85" spans="3:20">
      <c r="C85" s="1">
        <v>14</v>
      </c>
      <c r="D85" s="99">
        <f>YahooData!D15</f>
        <v>4.5999999999999996</v>
      </c>
      <c r="E85" s="100">
        <f>YahooData!E15</f>
        <v>-1.4490000000000001</v>
      </c>
      <c r="F85" s="101">
        <f>YahooData!F15</f>
        <v>1.2005769267548481</v>
      </c>
      <c r="G85" s="100">
        <f>YahooData!G15</f>
        <v>23.3</v>
      </c>
      <c r="H85" s="100">
        <f>YahooData!H15</f>
        <v>5.0810000000000004</v>
      </c>
      <c r="I85" s="100">
        <f>YahooData!I15</f>
        <v>112</v>
      </c>
      <c r="J85" s="102">
        <f>YahooData!J15</f>
        <v>1.26</v>
      </c>
      <c r="K85" s="103">
        <f>YahooData!K15</f>
        <v>8.6999999999999993</v>
      </c>
      <c r="L85" s="104">
        <f>YahooData!L15</f>
        <v>9.6999999999999993</v>
      </c>
      <c r="M85" s="104"/>
      <c r="N85" s="104"/>
      <c r="O85" s="104"/>
      <c r="P85" s="104"/>
      <c r="Q85" s="104"/>
      <c r="R85" s="104"/>
      <c r="S85" s="104"/>
      <c r="T85" s="105"/>
    </row>
    <row r="86" spans="3:20">
      <c r="C86" s="1">
        <v>15</v>
      </c>
      <c r="D86" s="99">
        <f>YahooData!D16</f>
        <v>24.7</v>
      </c>
      <c r="E86" s="100">
        <f>YahooData!E16</f>
        <v>4.0000000000000001E-3</v>
      </c>
      <c r="F86" s="101">
        <f>YahooData!F16</f>
        <v>4.5216577487453833</v>
      </c>
      <c r="G86" s="100">
        <f>YahooData!G16</f>
        <v>7.9</v>
      </c>
      <c r="H86" s="100">
        <f>YahooData!H16</f>
        <v>1.7090000000000001</v>
      </c>
      <c r="I86" s="100">
        <f>YahooData!I16</f>
        <v>19.646000000000001</v>
      </c>
      <c r="J86" s="102">
        <f>YahooData!J16</f>
        <v>5.04</v>
      </c>
      <c r="K86" s="103">
        <f>YahooData!K16</f>
        <v>9.9</v>
      </c>
      <c r="L86" s="104">
        <f>YahooData!L16</f>
        <v>35</v>
      </c>
      <c r="M86" s="104"/>
      <c r="N86" s="104"/>
      <c r="O86" s="104"/>
      <c r="P86" s="104"/>
      <c r="Q86" s="104"/>
      <c r="R86" s="104"/>
      <c r="S86" s="104"/>
      <c r="T86" s="105"/>
    </row>
    <row r="87" spans="3:20">
      <c r="C87" s="1">
        <v>16</v>
      </c>
      <c r="D87" s="99">
        <f>YahooData!D17</f>
        <v>14.4</v>
      </c>
      <c r="E87" s="100">
        <f>YahooData!E17</f>
        <v>-0.80400000000000005</v>
      </c>
      <c r="F87" s="101">
        <f>YahooData!F17</f>
        <v>2.1608585306799912</v>
      </c>
      <c r="G87" s="100">
        <f>YahooData!G17</f>
        <v>14.5</v>
      </c>
      <c r="H87" s="100">
        <f>YahooData!H17</f>
        <v>3.085</v>
      </c>
      <c r="I87" s="100">
        <f>YahooData!I17</f>
        <v>26.344000000000001</v>
      </c>
      <c r="J87" s="102">
        <f>YahooData!J17</f>
        <v>3.68</v>
      </c>
      <c r="K87" s="103">
        <f>YahooData!K17</f>
        <v>17.3</v>
      </c>
      <c r="L87" s="104">
        <f>YahooData!L17</f>
        <v>71.400000000000006</v>
      </c>
      <c r="M87" s="104"/>
      <c r="N87" s="104"/>
      <c r="O87" s="104"/>
      <c r="P87" s="104"/>
      <c r="Q87" s="104"/>
      <c r="R87" s="104"/>
      <c r="S87" s="104"/>
      <c r="T87" s="105"/>
    </row>
    <row r="88" spans="3:20">
      <c r="C88" s="1">
        <v>17</v>
      </c>
      <c r="D88" s="99">
        <f>YahooData!D18</f>
        <v>22.9</v>
      </c>
      <c r="E88" s="100">
        <f>YahooData!E18</f>
        <v>0.22</v>
      </c>
      <c r="F88" s="101">
        <f>YahooData!F18</f>
        <v>1.3868555291847242</v>
      </c>
      <c r="G88" s="100">
        <f>YahooData!G18</f>
        <v>9.9</v>
      </c>
      <c r="H88" s="100">
        <f>YahooData!H18</f>
        <v>2.2999999999999998</v>
      </c>
      <c r="I88" s="100">
        <f>YahooData!I18</f>
        <v>63.185000000000002</v>
      </c>
      <c r="J88" s="102">
        <f>YahooData!J18</f>
        <v>-16.57</v>
      </c>
      <c r="K88" s="103">
        <f>YahooData!K18</f>
        <v>1.9</v>
      </c>
      <c r="L88" s="104">
        <f>YahooData!L18</f>
        <v>29.3</v>
      </c>
      <c r="M88" s="104"/>
      <c r="N88" s="104"/>
      <c r="O88" s="104"/>
      <c r="P88" s="104"/>
      <c r="Q88" s="104"/>
      <c r="R88" s="104"/>
      <c r="S88" s="104"/>
      <c r="T88" s="105"/>
    </row>
    <row r="89" spans="3:20">
      <c r="C89" s="1">
        <v>18</v>
      </c>
      <c r="D89" s="99">
        <f>YahooData!D19</f>
        <v>25.8</v>
      </c>
      <c r="E89" s="100">
        <f>YahooData!E19</f>
        <v>-1.2450000000000001</v>
      </c>
      <c r="F89" s="101">
        <f>YahooData!F19</f>
        <v>1.2938043599193367</v>
      </c>
      <c r="G89" s="100">
        <f>YahooData!G19</f>
        <v>6.6</v>
      </c>
      <c r="H89" s="100">
        <f>YahooData!H19</f>
        <v>1.849</v>
      </c>
      <c r="I89" s="100">
        <f>YahooData!I19</f>
        <v>67.024000000000001</v>
      </c>
      <c r="J89" s="102">
        <f>YahooData!J19</f>
        <v>1.92</v>
      </c>
      <c r="K89" s="103">
        <f>YahooData!K19</f>
        <v>1.1000000000000001</v>
      </c>
      <c r="L89" s="104">
        <f>YahooData!L19</f>
        <v>41.4</v>
      </c>
      <c r="M89" s="104"/>
      <c r="N89" s="104"/>
      <c r="O89" s="104"/>
      <c r="P89" s="104"/>
      <c r="Q89" s="104"/>
      <c r="R89" s="104"/>
      <c r="S89" s="104"/>
      <c r="T89" s="105"/>
    </row>
    <row r="90" spans="3:20">
      <c r="C90" s="1">
        <v>19</v>
      </c>
      <c r="D90" s="99">
        <f>YahooData!D20</f>
        <v>60.1</v>
      </c>
      <c r="E90" s="100">
        <f>YahooData!E20</f>
        <v>-1.4379999999999999</v>
      </c>
      <c r="F90" s="101">
        <f>YahooData!F20</f>
        <v>0.66838591669000014</v>
      </c>
      <c r="G90" s="100">
        <f>YahooData!G20</f>
        <v>3.2</v>
      </c>
      <c r="H90" s="100">
        <f>YahooData!H20</f>
        <v>1.1519999999999999</v>
      </c>
      <c r="I90" s="100">
        <f>YahooData!I20</f>
        <v>26.568000000000001</v>
      </c>
      <c r="J90" s="102">
        <f>YahooData!J20</f>
        <v>3.13</v>
      </c>
      <c r="K90" s="103">
        <f>YahooData!K20</f>
        <v>2.8</v>
      </c>
      <c r="L90" s="104">
        <f>YahooData!L20</f>
        <v>20</v>
      </c>
      <c r="M90" s="104"/>
      <c r="N90" s="104"/>
      <c r="O90" s="104"/>
      <c r="P90" s="104"/>
      <c r="Q90" s="104"/>
      <c r="R90" s="104"/>
      <c r="S90" s="104"/>
      <c r="T90" s="105"/>
    </row>
    <row r="91" spans="3:20">
      <c r="C91" s="1">
        <v>20</v>
      </c>
      <c r="D91" s="99">
        <f>YahooData!D21</f>
        <v>30.2</v>
      </c>
      <c r="E91" s="100">
        <f>YahooData!E21</f>
        <v>-0.53400000000000003</v>
      </c>
      <c r="F91" s="101">
        <f>YahooData!F21</f>
        <v>2.0473138158153881</v>
      </c>
      <c r="G91" s="100">
        <f>YahooData!G21</f>
        <v>11.1</v>
      </c>
      <c r="H91" s="100">
        <f>YahooData!H21</f>
        <v>1.268</v>
      </c>
      <c r="I91" s="100">
        <f>YahooData!I21</f>
        <v>105.297</v>
      </c>
      <c r="J91" s="102">
        <f>YahooData!J21</f>
        <v>6.74</v>
      </c>
      <c r="K91" s="103">
        <f>YahooData!K21</f>
        <v>9.1</v>
      </c>
      <c r="L91" s="104">
        <f>YahooData!L21</f>
        <v>-382.4</v>
      </c>
      <c r="M91" s="104"/>
      <c r="N91" s="104"/>
      <c r="O91" s="104"/>
      <c r="P91" s="104"/>
      <c r="Q91" s="104"/>
      <c r="R91" s="104"/>
      <c r="S91" s="104"/>
      <c r="T91" s="105"/>
    </row>
    <row r="92" spans="3:20">
      <c r="C92" s="1">
        <v>21</v>
      </c>
      <c r="D92" s="99">
        <f>YahooData!D22</f>
        <v>25.9</v>
      </c>
      <c r="E92" s="100">
        <f>YahooData!E22</f>
        <v>-2.3759999999999999</v>
      </c>
      <c r="F92" s="101">
        <f>YahooData!F22</f>
        <v>1.63978521298682</v>
      </c>
      <c r="G92" s="100">
        <f>YahooData!G22</f>
        <v>10.9</v>
      </c>
      <c r="H92" s="100">
        <f>YahooData!H22</f>
        <v>2.778</v>
      </c>
      <c r="I92" s="100">
        <f>YahooData!I22</f>
        <v>34.716000000000001</v>
      </c>
      <c r="J92" s="102">
        <f>YahooData!J22</f>
        <v>13.96</v>
      </c>
      <c r="K92" s="103">
        <f>YahooData!K22</f>
        <v>10.3</v>
      </c>
      <c r="L92" s="104">
        <f>YahooData!L22</f>
        <v>18.899999999999999</v>
      </c>
      <c r="M92" s="104"/>
      <c r="N92" s="104"/>
      <c r="O92" s="104"/>
      <c r="P92" s="104"/>
      <c r="Q92" s="104"/>
      <c r="R92" s="104"/>
      <c r="S92" s="104"/>
      <c r="T92" s="105"/>
    </row>
    <row r="93" spans="3:20">
      <c r="C93" s="1">
        <v>22</v>
      </c>
      <c r="D93" s="99">
        <f>YahooData!D23</f>
        <v>33.200000000000003</v>
      </c>
      <c r="E93" s="100">
        <f>YahooData!E23</f>
        <v>-0.36499999999999999</v>
      </c>
      <c r="F93" s="101">
        <f>YahooData!F23</f>
        <v>3.7980502275653722</v>
      </c>
      <c r="G93" s="100">
        <f>YahooData!G23</f>
        <v>8.6</v>
      </c>
      <c r="H93" s="100">
        <f>YahooData!H23</f>
        <v>3.3119999999999998</v>
      </c>
      <c r="I93" s="100">
        <f>YahooData!I23</f>
        <v>24.498999999999999</v>
      </c>
      <c r="J93" s="102">
        <f>YahooData!J23</f>
        <v>4.76</v>
      </c>
      <c r="K93" s="103">
        <f>YahooData!K23</f>
        <v>6.1</v>
      </c>
      <c r="L93" s="104">
        <f>YahooData!L23</f>
        <v>58.2</v>
      </c>
      <c r="M93" s="104"/>
      <c r="N93" s="104"/>
      <c r="O93" s="104"/>
      <c r="P93" s="104"/>
      <c r="Q93" s="104"/>
      <c r="R93" s="104"/>
      <c r="S93" s="104"/>
      <c r="T93" s="105"/>
    </row>
    <row r="94" spans="3:20">
      <c r="C94" s="1">
        <v>23</v>
      </c>
      <c r="D94" s="99">
        <f>YahooData!D24</f>
        <v>25.1</v>
      </c>
      <c r="E94" s="100">
        <f>YahooData!E24</f>
        <v>-0.78100000000000003</v>
      </c>
      <c r="F94" s="101">
        <f>YahooData!F24</f>
        <v>2.2785935682411336</v>
      </c>
      <c r="G94" s="100">
        <f>YahooData!G24</f>
        <v>11.4</v>
      </c>
      <c r="H94" s="100">
        <f>YahooData!H24</f>
        <v>2.1520000000000001</v>
      </c>
      <c r="I94" s="100">
        <f>YahooData!I24</f>
        <v>45.140999999999998</v>
      </c>
      <c r="J94" s="102">
        <f>YahooData!J24</f>
        <v>3.6</v>
      </c>
      <c r="K94" s="103">
        <f>YahooData!K24</f>
        <v>12.9</v>
      </c>
      <c r="L94" s="104">
        <f>YahooData!L24</f>
        <v>-69.2</v>
      </c>
      <c r="M94" s="104"/>
      <c r="N94" s="104"/>
      <c r="O94" s="104"/>
      <c r="P94" s="104"/>
      <c r="Q94" s="104"/>
      <c r="R94" s="104"/>
      <c r="S94" s="104"/>
      <c r="T94" s="105"/>
    </row>
    <row r="95" spans="3:20">
      <c r="C95" s="1">
        <v>24</v>
      </c>
      <c r="D95" s="99">
        <f>YahooData!D25</f>
        <v>15.7</v>
      </c>
      <c r="E95" s="100">
        <f>YahooData!E25</f>
        <v>0.224</v>
      </c>
      <c r="F95" s="101">
        <f>YahooData!F25</f>
        <v>4.5</v>
      </c>
      <c r="G95" s="100">
        <f>YahooData!G25</f>
        <v>23</v>
      </c>
      <c r="H95" s="100">
        <f>YahooData!H25</f>
        <v>1.91</v>
      </c>
      <c r="I95" s="100">
        <f>YahooData!I25</f>
        <v>103.312</v>
      </c>
      <c r="J95" s="102">
        <f>YahooData!J25</f>
        <v>-33.89</v>
      </c>
      <c r="K95" s="103">
        <f>YahooData!K25</f>
        <v>11.8</v>
      </c>
      <c r="L95" s="104">
        <f>YahooData!L25</f>
        <v>30.8</v>
      </c>
      <c r="M95" s="104"/>
      <c r="N95" s="104"/>
      <c r="O95" s="104"/>
      <c r="P95" s="104"/>
      <c r="Q95" s="104"/>
      <c r="R95" s="104"/>
      <c r="S95" s="104"/>
      <c r="T95" s="105"/>
    </row>
    <row r="96" spans="3:20">
      <c r="C96" s="1">
        <v>25</v>
      </c>
      <c r="D96" s="99">
        <f>YahooData!D26</f>
        <v>38.6</v>
      </c>
      <c r="E96" s="100">
        <f>YahooData!E26</f>
        <v>-0.314</v>
      </c>
      <c r="F96" s="101">
        <f>YahooData!F26</f>
        <v>2.6770043618401727</v>
      </c>
      <c r="G96" s="100">
        <f>YahooData!G26</f>
        <v>7.1</v>
      </c>
      <c r="H96" s="100">
        <f>YahooData!H26</f>
        <v>2.145</v>
      </c>
      <c r="I96" s="100">
        <f>YahooData!I26</f>
        <v>24.538</v>
      </c>
      <c r="J96" s="102">
        <f>YahooData!J26</f>
        <v>3.54</v>
      </c>
      <c r="K96" s="103">
        <f>YahooData!K26</f>
        <v>7.5</v>
      </c>
      <c r="L96" s="104">
        <f>YahooData!L26</f>
        <v>124.7</v>
      </c>
      <c r="M96" s="104"/>
      <c r="N96" s="104"/>
      <c r="O96" s="104"/>
      <c r="P96" s="104"/>
      <c r="Q96" s="104"/>
      <c r="R96" s="104"/>
      <c r="S96" s="104"/>
      <c r="T96" s="105"/>
    </row>
    <row r="97" spans="3:20">
      <c r="C97" s="1">
        <v>26</v>
      </c>
      <c r="D97" s="99">
        <f>YahooData!D27</f>
        <v>28.6</v>
      </c>
      <c r="E97" s="100">
        <f>YahooData!E27</f>
        <v>-2.339</v>
      </c>
      <c r="F97" s="101">
        <f>YahooData!F27</f>
        <v>2.5775147777733647</v>
      </c>
      <c r="G97" s="100">
        <f>YahooData!G27</f>
        <v>8.9</v>
      </c>
      <c r="H97" s="100">
        <f>YahooData!H27</f>
        <v>0</v>
      </c>
      <c r="I97" s="100">
        <f>YahooData!I27</f>
        <v>56.74</v>
      </c>
      <c r="J97" s="102">
        <f>YahooData!J27</f>
        <v>2.86</v>
      </c>
      <c r="K97" s="103">
        <f>YahooData!K27</f>
        <v>9</v>
      </c>
      <c r="L97" s="104">
        <f>YahooData!L27</f>
        <v>51.9</v>
      </c>
      <c r="M97" s="104"/>
      <c r="N97" s="104"/>
      <c r="O97" s="104"/>
      <c r="P97" s="104"/>
      <c r="Q97" s="104"/>
      <c r="R97" s="104"/>
      <c r="S97" s="104"/>
      <c r="T97" s="105"/>
    </row>
    <row r="98" spans="3:20">
      <c r="C98" s="1">
        <v>27</v>
      </c>
      <c r="D98" s="99">
        <f>YahooData!D28</f>
        <v>33.5</v>
      </c>
      <c r="E98" s="100">
        <f>YahooData!E28</f>
        <v>-0.93799999999999994</v>
      </c>
      <c r="F98" s="101">
        <f>YahooData!F28</f>
        <v>3.5383789110505259</v>
      </c>
      <c r="G98" s="100">
        <f>YahooData!G28</f>
        <v>15</v>
      </c>
      <c r="H98" s="100">
        <f>YahooData!H28</f>
        <v>0.85</v>
      </c>
      <c r="I98" s="100">
        <f>YahooData!I28</f>
        <v>36.582999999999998</v>
      </c>
      <c r="J98" s="102">
        <f>YahooData!J28</f>
        <v>8.7200000000000006</v>
      </c>
      <c r="K98" s="103">
        <f>YahooData!K28</f>
        <v>12.7</v>
      </c>
      <c r="L98" s="104">
        <f>YahooData!L28</f>
        <v>100.6</v>
      </c>
      <c r="M98" s="104"/>
      <c r="N98" s="104"/>
      <c r="O98" s="104"/>
      <c r="P98" s="104"/>
      <c r="Q98" s="104"/>
      <c r="R98" s="104"/>
      <c r="S98" s="104"/>
      <c r="T98" s="105"/>
    </row>
    <row r="99" spans="3:20">
      <c r="C99" s="1">
        <v>28</v>
      </c>
      <c r="D99" s="99">
        <f>YahooData!D29</f>
        <v>33.299999999999997</v>
      </c>
      <c r="E99" s="100">
        <f>YahooData!E29</f>
        <v>0.217</v>
      </c>
      <c r="F99" s="101">
        <f>YahooData!F29</f>
        <v>2.6051110251239025</v>
      </c>
      <c r="G99" s="100">
        <f>YahooData!G29</f>
        <v>13.6</v>
      </c>
      <c r="H99" s="100">
        <f>YahooData!H29</f>
        <v>5.2060000000000004</v>
      </c>
      <c r="I99" s="100">
        <f>YahooData!I29</f>
        <v>103.54900000000001</v>
      </c>
      <c r="J99" s="102">
        <f>YahooData!J29</f>
        <v>-9.15</v>
      </c>
      <c r="K99" s="103">
        <f>YahooData!K29</f>
        <v>7.7</v>
      </c>
      <c r="L99" s="104">
        <f>YahooData!L29</f>
        <v>57.9</v>
      </c>
      <c r="M99" s="104"/>
      <c r="N99" s="104"/>
      <c r="O99" s="104"/>
      <c r="P99" s="104"/>
      <c r="Q99" s="104"/>
      <c r="R99" s="104"/>
      <c r="S99" s="104"/>
      <c r="T99" s="105"/>
    </row>
    <row r="100" spans="3:20">
      <c r="C100" s="1">
        <v>29</v>
      </c>
      <c r="D100" s="99">
        <f>YahooData!D30</f>
        <v>14.3</v>
      </c>
      <c r="E100" s="100">
        <f>YahooData!E30</f>
        <v>-0.49099999999999999</v>
      </c>
      <c r="F100" s="101">
        <f>YahooData!F30</f>
        <v>2.4383841070347136</v>
      </c>
      <c r="G100" s="100">
        <f>YahooData!G30</f>
        <v>9.5</v>
      </c>
      <c r="H100" s="100">
        <f>YahooData!H30</f>
        <v>5.306</v>
      </c>
      <c r="I100" s="100">
        <f>YahooData!I30</f>
        <v>112</v>
      </c>
      <c r="J100" s="102">
        <f>YahooData!J30</f>
        <v>4.4400000000000004</v>
      </c>
      <c r="K100" s="103">
        <f>YahooData!K30</f>
        <v>5.9</v>
      </c>
      <c r="L100" s="104">
        <f>YahooData!L30</f>
        <v>23.4</v>
      </c>
      <c r="M100" s="104"/>
      <c r="N100" s="104"/>
      <c r="O100" s="104"/>
      <c r="P100" s="104"/>
      <c r="Q100" s="104"/>
      <c r="R100" s="104"/>
      <c r="S100" s="104"/>
      <c r="T100" s="105"/>
    </row>
    <row r="101" spans="3:20">
      <c r="C101" s="1">
        <v>30</v>
      </c>
      <c r="D101" s="99"/>
      <c r="E101" s="100"/>
      <c r="F101" s="101"/>
      <c r="G101" s="100"/>
      <c r="H101" s="100"/>
      <c r="I101" s="100"/>
      <c r="J101" s="102"/>
      <c r="K101" s="103"/>
      <c r="L101" s="104"/>
      <c r="M101" s="104"/>
      <c r="N101" s="104"/>
      <c r="O101" s="104"/>
      <c r="P101" s="104"/>
      <c r="Q101" s="104"/>
      <c r="R101" s="104"/>
      <c r="S101" s="104"/>
      <c r="T101" s="105"/>
    </row>
    <row r="102" spans="3:20">
      <c r="C102" s="1">
        <v>31</v>
      </c>
      <c r="D102" s="99"/>
      <c r="E102" s="100"/>
      <c r="F102" s="101"/>
      <c r="G102" s="100"/>
      <c r="H102" s="100"/>
      <c r="I102" s="100"/>
      <c r="J102" s="102"/>
      <c r="K102" s="103"/>
      <c r="L102" s="104"/>
      <c r="M102" s="104"/>
      <c r="N102" s="104"/>
      <c r="O102" s="104"/>
      <c r="P102" s="104"/>
      <c r="Q102" s="104"/>
      <c r="R102" s="104"/>
      <c r="S102" s="104"/>
      <c r="T102" s="105"/>
    </row>
    <row r="103" spans="3:20">
      <c r="C103" s="1">
        <v>32</v>
      </c>
      <c r="D103" s="99"/>
      <c r="E103" s="100"/>
      <c r="F103" s="101"/>
      <c r="G103" s="100"/>
      <c r="H103" s="100"/>
      <c r="I103" s="100"/>
      <c r="J103" s="102"/>
      <c r="K103" s="103"/>
      <c r="L103" s="104"/>
      <c r="M103" s="104"/>
      <c r="N103" s="104"/>
      <c r="O103" s="104"/>
      <c r="P103" s="104"/>
      <c r="Q103" s="104"/>
      <c r="R103" s="104"/>
      <c r="S103" s="104"/>
      <c r="T103" s="105"/>
    </row>
    <row r="104" spans="3:20">
      <c r="C104" s="1">
        <v>33</v>
      </c>
      <c r="D104" s="99"/>
      <c r="E104" s="100"/>
      <c r="F104" s="101"/>
      <c r="G104" s="100"/>
      <c r="H104" s="100"/>
      <c r="I104" s="100"/>
      <c r="J104" s="102"/>
      <c r="K104" s="103"/>
      <c r="L104" s="104"/>
      <c r="M104" s="104"/>
      <c r="N104" s="104"/>
      <c r="O104" s="104"/>
      <c r="P104" s="104"/>
      <c r="Q104" s="104"/>
      <c r="R104" s="104"/>
      <c r="S104" s="104"/>
      <c r="T104" s="105"/>
    </row>
    <row r="105" spans="3:20">
      <c r="C105" s="1">
        <v>34</v>
      </c>
      <c r="D105" s="99"/>
      <c r="E105" s="100"/>
      <c r="F105" s="101"/>
      <c r="G105" s="100"/>
      <c r="H105" s="100"/>
      <c r="I105" s="100"/>
      <c r="J105" s="102"/>
      <c r="K105" s="103"/>
      <c r="L105" s="104"/>
      <c r="M105" s="104"/>
      <c r="N105" s="104"/>
      <c r="O105" s="104"/>
      <c r="P105" s="104"/>
      <c r="Q105" s="104"/>
      <c r="R105" s="104"/>
      <c r="S105" s="104"/>
      <c r="T105" s="105"/>
    </row>
    <row r="106" spans="3:20">
      <c r="C106" s="1">
        <v>35</v>
      </c>
      <c r="D106" s="99"/>
      <c r="E106" s="100"/>
      <c r="F106" s="101"/>
      <c r="G106" s="100"/>
      <c r="H106" s="100"/>
      <c r="I106" s="100"/>
      <c r="J106" s="102"/>
      <c r="K106" s="106"/>
      <c r="L106" s="104"/>
      <c r="M106" s="104"/>
      <c r="N106" s="104"/>
      <c r="O106" s="104"/>
      <c r="P106" s="104"/>
      <c r="Q106" s="104"/>
      <c r="R106" s="104"/>
      <c r="S106" s="104"/>
      <c r="T106" s="105"/>
    </row>
    <row r="107" spans="3:20">
      <c r="C107" s="1">
        <v>36</v>
      </c>
      <c r="D107" s="99"/>
      <c r="E107" s="100"/>
      <c r="F107" s="101"/>
      <c r="G107" s="100"/>
      <c r="H107" s="100"/>
      <c r="I107" s="100"/>
      <c r="J107" s="102"/>
      <c r="K107" s="106"/>
      <c r="L107" s="104"/>
      <c r="M107" s="104"/>
      <c r="N107" s="104"/>
      <c r="O107" s="104"/>
      <c r="P107" s="104"/>
      <c r="Q107" s="104"/>
      <c r="R107" s="104"/>
      <c r="S107" s="104"/>
      <c r="T107" s="105"/>
    </row>
    <row r="108" spans="3:20">
      <c r="C108" s="1">
        <v>37</v>
      </c>
      <c r="D108" s="99"/>
      <c r="E108" s="100"/>
      <c r="F108" s="101"/>
      <c r="G108" s="100"/>
      <c r="H108" s="100"/>
      <c r="I108" s="100"/>
      <c r="J108" s="102"/>
      <c r="K108" s="106"/>
      <c r="L108" s="104"/>
      <c r="M108" s="104"/>
      <c r="N108" s="104"/>
      <c r="O108" s="104"/>
      <c r="P108" s="104"/>
      <c r="Q108" s="104"/>
      <c r="R108" s="104"/>
      <c r="S108" s="104"/>
      <c r="T108" s="105"/>
    </row>
    <row r="109" spans="3:20">
      <c r="C109" s="1">
        <v>38</v>
      </c>
      <c r="D109" s="99"/>
      <c r="E109" s="100"/>
      <c r="F109" s="101"/>
      <c r="G109" s="100"/>
      <c r="H109" s="100"/>
      <c r="I109" s="100"/>
      <c r="J109" s="102"/>
      <c r="K109" s="106"/>
      <c r="L109" s="104"/>
      <c r="M109" s="104"/>
      <c r="N109" s="104"/>
      <c r="O109" s="104"/>
      <c r="P109" s="104"/>
      <c r="Q109" s="104"/>
      <c r="R109" s="104"/>
      <c r="S109" s="104"/>
      <c r="T109" s="105"/>
    </row>
    <row r="110" spans="3:20">
      <c r="C110" s="1">
        <v>39</v>
      </c>
      <c r="D110" s="99"/>
      <c r="E110" s="100"/>
      <c r="F110" s="101"/>
      <c r="G110" s="100"/>
      <c r="H110" s="100"/>
      <c r="I110" s="100"/>
      <c r="J110" s="102"/>
      <c r="K110" s="106"/>
      <c r="L110" s="104"/>
      <c r="M110" s="104"/>
      <c r="N110" s="104"/>
      <c r="O110" s="104"/>
      <c r="P110" s="104"/>
      <c r="Q110" s="104"/>
      <c r="R110" s="104"/>
      <c r="S110" s="104"/>
      <c r="T110" s="105"/>
    </row>
    <row r="111" spans="3:20">
      <c r="C111" s="1">
        <v>40</v>
      </c>
      <c r="D111" s="99"/>
      <c r="E111" s="100"/>
      <c r="F111" s="101"/>
      <c r="G111" s="100"/>
      <c r="H111" s="100"/>
      <c r="I111" s="100"/>
      <c r="J111" s="102"/>
      <c r="K111" s="106"/>
      <c r="L111" s="104"/>
      <c r="M111" s="104"/>
      <c r="N111" s="104"/>
      <c r="O111" s="104"/>
      <c r="P111" s="104"/>
      <c r="Q111" s="104"/>
      <c r="R111" s="104"/>
      <c r="S111" s="104"/>
      <c r="T111" s="105"/>
    </row>
    <row r="112" spans="3:20"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</row>
    <row r="113" spans="2:21">
      <c r="B113" s="39" t="s">
        <v>23</v>
      </c>
      <c r="M113" s="7"/>
      <c r="N113" s="28"/>
      <c r="O113" s="28"/>
      <c r="P113" s="28"/>
      <c r="Q113" s="11"/>
      <c r="R113" s="28"/>
      <c r="S113" s="28"/>
      <c r="T113" s="28"/>
      <c r="U113" s="9"/>
    </row>
    <row r="114" spans="2:21">
      <c r="B114" s="39" t="s">
        <v>17</v>
      </c>
      <c r="O114" s="65"/>
      <c r="P114" s="11"/>
      <c r="Q114" s="11"/>
      <c r="R114" s="11"/>
      <c r="S114" s="11"/>
      <c r="T114" s="11"/>
      <c r="U114" s="9"/>
    </row>
    <row r="115" spans="2:21">
      <c r="B115" s="39" t="s">
        <v>19</v>
      </c>
      <c r="P115" s="9"/>
      <c r="Q115" s="9"/>
      <c r="R115" s="9"/>
      <c r="S115" s="9"/>
      <c r="T115" s="9"/>
      <c r="U115" s="9"/>
    </row>
    <row r="116" spans="2:21">
      <c r="D116" t="s">
        <v>21</v>
      </c>
    </row>
    <row r="117" spans="2:21">
      <c r="D117" t="s">
        <v>10</v>
      </c>
      <c r="E117" t="e">
        <f t="shared" ref="E117:P117" si="32">CORREL($D$5:$D$44,E71:E110)</f>
        <v>#N/A</v>
      </c>
      <c r="F117" t="e">
        <f t="shared" si="32"/>
        <v>#N/A</v>
      </c>
      <c r="G117" t="e">
        <f t="shared" si="32"/>
        <v>#N/A</v>
      </c>
      <c r="H117" t="e">
        <f t="shared" si="32"/>
        <v>#N/A</v>
      </c>
      <c r="I117" t="e">
        <f t="shared" si="32"/>
        <v>#N/A</v>
      </c>
      <c r="J117" t="e">
        <f t="shared" si="32"/>
        <v>#N/A</v>
      </c>
      <c r="K117" t="e">
        <f t="shared" si="32"/>
        <v>#N/A</v>
      </c>
      <c r="L117" t="e">
        <f>CORREL($D$5:$D$44,L71:L110)</f>
        <v>#N/A</v>
      </c>
      <c r="M117" t="e">
        <f t="shared" si="32"/>
        <v>#N/A</v>
      </c>
      <c r="N117" t="e">
        <f t="shared" si="32"/>
        <v>#N/A</v>
      </c>
      <c r="O117" t="e">
        <f t="shared" si="32"/>
        <v>#N/A</v>
      </c>
      <c r="P117" t="e">
        <f t="shared" si="32"/>
        <v>#N/A</v>
      </c>
    </row>
    <row r="119" spans="2:21">
      <c r="C119">
        <v>1</v>
      </c>
      <c r="D119" s="14">
        <f t="array" ref="D119:P123">LINEST(IFERROR(D72:D103,NA()),IFERROR(E72:L103,NA()),TRUE,TRUE)</f>
        <v>-8.4589016266425499E-3</v>
      </c>
      <c r="E119" s="15">
        <v>-0.75368343589406761</v>
      </c>
      <c r="F119" s="15">
        <v>0.88435459116475246</v>
      </c>
      <c r="G119" s="15">
        <v>0.17182255436758809</v>
      </c>
      <c r="H119" s="15">
        <v>-2.4213946905821677</v>
      </c>
      <c r="I119" s="15">
        <v>-0.20622327310376354</v>
      </c>
      <c r="J119" s="15">
        <v>5.5824916693004303</v>
      </c>
      <c r="K119" s="15">
        <v>-0.80648989207429211</v>
      </c>
      <c r="L119" s="15">
        <v>15.444158195124324</v>
      </c>
      <c r="M119" s="15" t="e">
        <v>#N/A</v>
      </c>
      <c r="N119" s="15" t="e">
        <v>#N/A</v>
      </c>
      <c r="O119" s="15" t="e">
        <v>#N/A</v>
      </c>
      <c r="P119" s="16" t="e">
        <v>#N/A</v>
      </c>
    </row>
    <row r="120" spans="2:21">
      <c r="C120">
        <v>2</v>
      </c>
      <c r="D120" s="17">
        <v>1.0274424541991178E-2</v>
      </c>
      <c r="E120" s="9">
        <v>1.2393000898838085</v>
      </c>
      <c r="F120" s="9">
        <v>0.32400058129548565</v>
      </c>
      <c r="G120" s="18">
        <v>0.13199055888534855</v>
      </c>
      <c r="H120" s="27">
        <v>2.5686037796049437</v>
      </c>
      <c r="I120" s="26">
        <v>1.0172329263917685</v>
      </c>
      <c r="J120" s="26">
        <v>3.1457231032989212</v>
      </c>
      <c r="K120" s="9">
        <v>3.3278286693905264</v>
      </c>
      <c r="L120" s="9">
        <v>8.4342412163858391</v>
      </c>
      <c r="M120" s="9" t="e">
        <v>#N/A</v>
      </c>
      <c r="N120" s="9" t="e">
        <v>#N/A</v>
      </c>
      <c r="O120" s="9" t="e">
        <v>#N/A</v>
      </c>
      <c r="P120" s="12" t="e">
        <v>#N/A</v>
      </c>
    </row>
    <row r="121" spans="2:21">
      <c r="C121">
        <v>3</v>
      </c>
      <c r="D121" s="17">
        <v>0.32629508770093413</v>
      </c>
      <c r="E121" s="9">
        <v>17.031279814550146</v>
      </c>
      <c r="F121" s="9" t="e">
        <v>#N/A</v>
      </c>
      <c r="G121" s="18" t="e">
        <v>#N/A</v>
      </c>
      <c r="H121" s="18" t="e">
        <v>#N/A</v>
      </c>
      <c r="I121" s="18" t="e">
        <v>#N/A</v>
      </c>
      <c r="J121" s="18" t="e">
        <v>#N/A</v>
      </c>
      <c r="K121" s="9" t="e">
        <v>#N/A</v>
      </c>
      <c r="L121" s="9" t="e">
        <v>#N/A</v>
      </c>
      <c r="M121" s="9" t="e">
        <v>#N/A</v>
      </c>
      <c r="N121" s="9" t="e">
        <v>#N/A</v>
      </c>
      <c r="O121" s="9" t="e">
        <v>#N/A</v>
      </c>
      <c r="P121" s="12" t="e">
        <v>#N/A</v>
      </c>
    </row>
    <row r="122" spans="2:21">
      <c r="C122">
        <v>4</v>
      </c>
      <c r="D122" s="17">
        <v>1.392446989793882</v>
      </c>
      <c r="E122" s="9">
        <v>23</v>
      </c>
      <c r="F122" s="9" t="e">
        <v>#N/A</v>
      </c>
      <c r="G122" s="18" t="e">
        <v>#N/A</v>
      </c>
      <c r="H122" s="18" t="e">
        <v>#N/A</v>
      </c>
      <c r="I122" s="18" t="e">
        <v>#N/A</v>
      </c>
      <c r="J122" s="18" t="e">
        <v>#N/A</v>
      </c>
      <c r="K122" s="9" t="e">
        <v>#N/A</v>
      </c>
      <c r="L122" s="9" t="e">
        <v>#N/A</v>
      </c>
      <c r="M122" s="9" t="e">
        <v>#N/A</v>
      </c>
      <c r="N122" s="9" t="e">
        <v>#N/A</v>
      </c>
      <c r="O122" s="9" t="e">
        <v>#N/A</v>
      </c>
      <c r="P122" s="12" t="e">
        <v>#N/A</v>
      </c>
    </row>
    <row r="123" spans="2:21">
      <c r="C123">
        <v>5</v>
      </c>
      <c r="D123" s="19">
        <v>3231.1954312054277</v>
      </c>
      <c r="E123" s="8">
        <v>6671.4833187945751</v>
      </c>
      <c r="F123" s="8" t="e">
        <v>#N/A</v>
      </c>
      <c r="G123" s="20" t="e">
        <v>#N/A</v>
      </c>
      <c r="H123" s="20" t="e">
        <v>#N/A</v>
      </c>
      <c r="I123" s="20" t="e">
        <v>#N/A</v>
      </c>
      <c r="J123" s="20" t="e">
        <v>#N/A</v>
      </c>
      <c r="K123" s="8" t="e">
        <v>#N/A</v>
      </c>
      <c r="L123" s="8" t="e">
        <v>#N/A</v>
      </c>
      <c r="M123" s="8" t="e">
        <v>#N/A</v>
      </c>
      <c r="N123" s="8" t="e">
        <v>#N/A</v>
      </c>
      <c r="O123" s="8" t="e">
        <v>#N/A</v>
      </c>
      <c r="P123" s="10" t="e">
        <v>#N/A</v>
      </c>
    </row>
    <row r="146" spans="1:1">
      <c r="A146" s="39" t="s">
        <v>98</v>
      </c>
    </row>
  </sheetData>
  <hyperlinks>
    <hyperlink ref="B114" r:id="rId1"/>
    <hyperlink ref="B115" r:id="rId2"/>
    <hyperlink ref="B113" r:id="rId3"/>
    <hyperlink ref="A146" r:id="rId4"/>
  </hyperlinks>
  <pageMargins left="0.7" right="0.7" top="0.75" bottom="0.75" header="0.3" footer="0.3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2:S6"/>
  <sheetViews>
    <sheetView workbookViewId="0">
      <selection activeCell="B25" sqref="B25"/>
    </sheetView>
  </sheetViews>
  <sheetFormatPr defaultRowHeight="15"/>
  <sheetData>
    <row r="2" spans="1:19">
      <c r="A2" s="38"/>
      <c r="B2" s="38"/>
      <c r="C2" s="38"/>
      <c r="D2" s="38">
        <v>22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</row>
    <row r="5" spans="1:19">
      <c r="A5" s="38">
        <v>22</v>
      </c>
    </row>
    <row r="6" spans="1:19">
      <c r="C6" s="37" t="str">
        <f>IFERROR(ADDRESS(2,MATCH(A5,$A2:$AB2,0)),"")</f>
        <v>$D$2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C12"/>
  <sheetViews>
    <sheetView workbookViewId="0">
      <selection activeCell="B7" sqref="B7"/>
    </sheetView>
  </sheetViews>
  <sheetFormatPr defaultRowHeight="15"/>
  <sheetData>
    <row r="1" spans="1:3">
      <c r="B1">
        <v>2</v>
      </c>
      <c r="C1">
        <v>3</v>
      </c>
    </row>
    <row r="2" spans="1:3">
      <c r="A2">
        <v>54</v>
      </c>
    </row>
    <row r="7" spans="1:3">
      <c r="B7">
        <f ca="1">SUM(INDIRECT("A"&amp;B1&amp;":A"&amp;C1))</f>
        <v>54</v>
      </c>
    </row>
    <row r="12" spans="1:3">
      <c r="A12">
        <f ca="1">SUM(INDIRECT("A1:A10"))</f>
        <v>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K161"/>
  <sheetViews>
    <sheetView workbookViewId="0">
      <selection activeCell="B112" sqref="B112"/>
    </sheetView>
  </sheetViews>
  <sheetFormatPr defaultRowHeight="15"/>
  <cols>
    <col min="1" max="1" width="17.85546875" customWidth="1"/>
    <col min="2" max="2" width="21.140625" customWidth="1"/>
  </cols>
  <sheetData>
    <row r="1" spans="1:9">
      <c r="A1" t="s">
        <v>58</v>
      </c>
    </row>
    <row r="2" spans="1:9" ht="15.75" thickBot="1"/>
    <row r="3" spans="1:9">
      <c r="A3" s="61" t="s">
        <v>59</v>
      </c>
      <c r="B3" s="61"/>
    </row>
    <row r="4" spans="1:9">
      <c r="A4" s="58" t="s">
        <v>60</v>
      </c>
      <c r="B4" s="58">
        <v>0.57814083340663702</v>
      </c>
    </row>
    <row r="5" spans="1:9">
      <c r="A5" s="58" t="s">
        <v>61</v>
      </c>
      <c r="B5" s="58">
        <v>0.33424682325212079</v>
      </c>
    </row>
    <row r="6" spans="1:9">
      <c r="A6" s="58" t="s">
        <v>62</v>
      </c>
      <c r="B6" s="58">
        <v>0.2333751298054724</v>
      </c>
    </row>
    <row r="7" spans="1:9">
      <c r="A7" s="58" t="s">
        <v>63</v>
      </c>
      <c r="B7" s="58">
        <v>1.3043672158304314</v>
      </c>
    </row>
    <row r="8" spans="1:9" ht="15.75" thickBot="1">
      <c r="A8" s="59" t="s">
        <v>64</v>
      </c>
      <c r="B8" s="59">
        <v>39</v>
      </c>
    </row>
    <row r="10" spans="1:9" ht="15.75" thickBot="1">
      <c r="A10" t="s">
        <v>65</v>
      </c>
    </row>
    <row r="11" spans="1:9">
      <c r="A11" s="60"/>
      <c r="B11" s="60" t="s">
        <v>69</v>
      </c>
      <c r="C11" s="60" t="s">
        <v>14</v>
      </c>
      <c r="D11" s="60" t="s">
        <v>70</v>
      </c>
      <c r="E11" s="60" t="s">
        <v>13</v>
      </c>
      <c r="F11" s="60" t="s">
        <v>71</v>
      </c>
    </row>
    <row r="12" spans="1:9">
      <c r="A12" s="58" t="s">
        <v>66</v>
      </c>
      <c r="B12" s="58">
        <v>5</v>
      </c>
      <c r="C12" s="58">
        <v>28.188225044045289</v>
      </c>
      <c r="D12" s="58">
        <v>5.6376450088090575</v>
      </c>
      <c r="E12" s="58">
        <v>3.3135839384802823</v>
      </c>
      <c r="F12" s="58">
        <v>1.557837946072195E-2</v>
      </c>
    </row>
    <row r="13" spans="1:9">
      <c r="A13" s="58" t="s">
        <v>67</v>
      </c>
      <c r="B13" s="58">
        <v>33</v>
      </c>
      <c r="C13" s="58">
        <v>56.145336513196632</v>
      </c>
      <c r="D13" s="58">
        <v>1.7013738337332314</v>
      </c>
      <c r="E13" s="58"/>
      <c r="F13" s="58"/>
    </row>
    <row r="14" spans="1:9" ht="15.75" thickBot="1">
      <c r="A14" s="59" t="s">
        <v>68</v>
      </c>
      <c r="B14" s="59">
        <v>38</v>
      </c>
      <c r="C14" s="59">
        <v>84.333561557241921</v>
      </c>
      <c r="D14" s="59"/>
      <c r="E14" s="59"/>
      <c r="F14" s="59"/>
    </row>
    <row r="15" spans="1:9" ht="15.75" thickBot="1"/>
    <row r="16" spans="1:9">
      <c r="A16" s="60"/>
      <c r="B16" s="60" t="s">
        <v>72</v>
      </c>
      <c r="C16" s="60" t="s">
        <v>63</v>
      </c>
      <c r="D16" s="60" t="s">
        <v>73</v>
      </c>
      <c r="E16" s="60" t="s">
        <v>74</v>
      </c>
      <c r="F16" s="60" t="s">
        <v>75</v>
      </c>
      <c r="G16" s="60" t="s">
        <v>76</v>
      </c>
      <c r="H16" s="60" t="s">
        <v>91</v>
      </c>
      <c r="I16" s="60" t="s">
        <v>92</v>
      </c>
    </row>
    <row r="17" spans="1:11">
      <c r="A17" s="58" t="s">
        <v>29</v>
      </c>
      <c r="B17" s="58">
        <v>15.098683714563069</v>
      </c>
      <c r="C17" s="58">
        <v>5.0091744807527387</v>
      </c>
      <c r="D17" s="58">
        <v>3.0142059879483694</v>
      </c>
      <c r="E17" s="58">
        <v>4.9238201491202263E-3</v>
      </c>
      <c r="F17" s="58">
        <v>4.9074416571122583</v>
      </c>
      <c r="G17" s="58">
        <v>25.289925772013881</v>
      </c>
      <c r="H17" s="58">
        <v>4.9074416571122583</v>
      </c>
      <c r="I17" s="58">
        <v>25.289925772013881</v>
      </c>
      <c r="K17">
        <f>B17</f>
        <v>15.098683714563069</v>
      </c>
    </row>
    <row r="18" spans="1:11">
      <c r="A18" t="s">
        <v>2</v>
      </c>
      <c r="B18" s="58">
        <v>-11.391101407204019</v>
      </c>
      <c r="C18" s="58">
        <v>17.197045175279474</v>
      </c>
      <c r="D18" s="58">
        <v>-0.6623871305274337</v>
      </c>
      <c r="E18" s="58">
        <v>0.51232302598769786</v>
      </c>
      <c r="F18" s="58">
        <v>-46.378752711347289</v>
      </c>
      <c r="G18" s="58">
        <v>23.596549896939251</v>
      </c>
      <c r="H18" s="58">
        <v>-46.378752711347289</v>
      </c>
      <c r="I18" s="58">
        <v>23.596549896939251</v>
      </c>
      <c r="J18">
        <f>MRegression!I5</f>
        <v>32.96</v>
      </c>
      <c r="K18">
        <f>J18*B22</f>
        <v>196.00861254332835</v>
      </c>
    </row>
    <row r="19" spans="1:11">
      <c r="A19" t="s">
        <v>3</v>
      </c>
      <c r="B19" s="58">
        <v>-4.5050890220386179</v>
      </c>
      <c r="C19" s="58">
        <v>1.3432269596618465</v>
      </c>
      <c r="D19" s="58">
        <v>-3.3539298698804862</v>
      </c>
      <c r="E19" s="58">
        <v>2.0129794861315073E-3</v>
      </c>
      <c r="F19" s="58">
        <v>-7.2379048056785802</v>
      </c>
      <c r="G19" s="58">
        <v>-1.7722732383986561</v>
      </c>
      <c r="H19" s="58">
        <v>-7.2379048056785802</v>
      </c>
      <c r="I19" s="58">
        <v>-1.7722732383986561</v>
      </c>
      <c r="J19">
        <f>MRegression!H5</f>
        <v>50.131</v>
      </c>
      <c r="K19">
        <f>J19*B21</f>
        <v>78.938785757707052</v>
      </c>
    </row>
    <row r="20" spans="1:11">
      <c r="A20" t="s">
        <v>4</v>
      </c>
      <c r="B20" s="58">
        <v>-3.2688013486850762</v>
      </c>
      <c r="C20" s="58">
        <v>2.7238443577420481</v>
      </c>
      <c r="D20" s="58">
        <v>-1.2000690639294729</v>
      </c>
      <c r="E20" s="58">
        <v>0.23865723247656634</v>
      </c>
      <c r="F20" s="58">
        <v>-8.8105043345230545</v>
      </c>
      <c r="G20" s="58">
        <v>2.2729016371529021</v>
      </c>
      <c r="H20" s="58">
        <v>-8.8105043345230545</v>
      </c>
      <c r="I20" s="58">
        <v>2.2729016371529021</v>
      </c>
      <c r="J20">
        <f>MRegression!G5</f>
        <v>1.0900000000000001</v>
      </c>
      <c r="K20">
        <f>J20*B20</f>
        <v>-3.5629934700667332</v>
      </c>
    </row>
    <row r="21" spans="1:11">
      <c r="A21" t="s">
        <v>5</v>
      </c>
      <c r="B21" s="58">
        <v>1.574650131808802</v>
      </c>
      <c r="C21" s="58">
        <v>1.2946546394684519</v>
      </c>
      <c r="D21" s="58">
        <v>1.2162704120500492</v>
      </c>
      <c r="E21" s="58">
        <v>0.23251040216378593</v>
      </c>
      <c r="F21" s="58">
        <v>-1.0593445238618855</v>
      </c>
      <c r="G21" s="58">
        <v>4.2086447874794892</v>
      </c>
      <c r="H21" s="58">
        <v>-1.0593445238618855</v>
      </c>
      <c r="I21" s="58">
        <v>4.2086447874794892</v>
      </c>
      <c r="J21">
        <f>MRegression!F5</f>
        <v>16.899999999999999</v>
      </c>
      <c r="K21">
        <f>J21*B19</f>
        <v>-76.13600447245264</v>
      </c>
    </row>
    <row r="22" spans="1:11" ht="15.75" thickBot="1">
      <c r="A22" t="s">
        <v>6</v>
      </c>
      <c r="B22" s="59">
        <v>5.9468632446398164</v>
      </c>
      <c r="C22" s="59">
        <v>7.1159679170250554</v>
      </c>
      <c r="D22" s="59">
        <v>0.8357068657394956</v>
      </c>
      <c r="E22" s="59">
        <v>0.40933015599772937</v>
      </c>
      <c r="F22" s="59">
        <v>-8.5306822659247477</v>
      </c>
      <c r="G22" s="59">
        <v>20.424408755204382</v>
      </c>
      <c r="H22" s="59">
        <v>-8.5306822659247477</v>
      </c>
      <c r="I22" s="59">
        <v>20.424408755204382</v>
      </c>
      <c r="J22">
        <f>MRegression!E5</f>
        <v>2.7167460199658002</v>
      </c>
      <c r="K22">
        <f>J22*B18</f>
        <v>-30.946729411048345</v>
      </c>
    </row>
    <row r="23" spans="1:11">
      <c r="K23">
        <f>SUM(K17:K22)</f>
        <v>179.40035466203076</v>
      </c>
    </row>
    <row r="26" spans="1:11">
      <c r="A26" t="s">
        <v>77</v>
      </c>
      <c r="E26" t="s">
        <v>94</v>
      </c>
    </row>
    <row r="27" spans="1:11" ht="15.75" thickBot="1"/>
    <row r="28" spans="1:11">
      <c r="A28" s="60" t="s">
        <v>78</v>
      </c>
      <c r="B28" s="60" t="s">
        <v>93</v>
      </c>
      <c r="C28" s="60" t="s">
        <v>80</v>
      </c>
      <c r="D28" s="73" t="s">
        <v>97</v>
      </c>
      <c r="E28" s="60" t="s">
        <v>95</v>
      </c>
      <c r="F28" s="60" t="s">
        <v>96</v>
      </c>
    </row>
    <row r="29" spans="1:11">
      <c r="A29" s="58">
        <v>1</v>
      </c>
      <c r="B29" s="58">
        <v>9.7562372512674553</v>
      </c>
      <c r="C29" s="58">
        <v>3.7848917487325444</v>
      </c>
      <c r="D29">
        <f t="shared" ref="D29:D67" si="0">C29+B29</f>
        <v>13.541129</v>
      </c>
      <c r="E29" s="58">
        <v>1.2820512820512822</v>
      </c>
      <c r="F29" s="58">
        <v>5.917675</v>
      </c>
    </row>
    <row r="30" spans="1:11">
      <c r="A30" s="58">
        <v>2</v>
      </c>
      <c r="B30" s="58">
        <v>10.124211899325131</v>
      </c>
      <c r="C30" s="58">
        <v>2.3057521006748694</v>
      </c>
      <c r="D30">
        <f t="shared" si="0"/>
        <v>12.429964</v>
      </c>
      <c r="E30" s="58">
        <v>3.8461538461538467</v>
      </c>
      <c r="F30" s="58">
        <v>6.5936469999999998</v>
      </c>
    </row>
    <row r="31" spans="1:11">
      <c r="A31" s="58">
        <v>3</v>
      </c>
      <c r="B31" s="58">
        <v>10.259016018038832</v>
      </c>
      <c r="C31" s="58">
        <v>1.3067399819611687</v>
      </c>
      <c r="D31">
        <f t="shared" si="0"/>
        <v>11.565756</v>
      </c>
      <c r="E31" s="58">
        <v>6.4102564102564106</v>
      </c>
      <c r="F31" s="58">
        <v>7.153346</v>
      </c>
    </row>
    <row r="32" spans="1:11">
      <c r="A32" s="58">
        <v>4</v>
      </c>
      <c r="B32" s="58">
        <v>10.322100925813443</v>
      </c>
      <c r="C32" s="58">
        <v>1.5296060741865567</v>
      </c>
      <c r="D32">
        <f t="shared" si="0"/>
        <v>11.851706999999999</v>
      </c>
      <c r="E32" s="58">
        <v>8.9743589743589762</v>
      </c>
      <c r="F32" s="58">
        <v>7.791849</v>
      </c>
    </row>
    <row r="33" spans="1:6">
      <c r="A33" s="58">
        <v>5</v>
      </c>
      <c r="B33" s="58">
        <v>10.297345509802385</v>
      </c>
      <c r="C33" s="58">
        <v>0.36061649019761433</v>
      </c>
      <c r="D33">
        <f t="shared" si="0"/>
        <v>10.657961999999999</v>
      </c>
      <c r="E33" s="58">
        <v>11.53846153846154</v>
      </c>
      <c r="F33" s="58">
        <v>7.8256189999999997</v>
      </c>
    </row>
    <row r="34" spans="1:6">
      <c r="A34" s="58">
        <v>6</v>
      </c>
      <c r="B34" s="58">
        <v>10.500019131761068</v>
      </c>
      <c r="C34" s="58">
        <v>-0.7420281317610673</v>
      </c>
      <c r="D34">
        <f t="shared" si="0"/>
        <v>9.7579910000000005</v>
      </c>
      <c r="E34" s="58">
        <v>14.102564102564104</v>
      </c>
      <c r="F34" s="58">
        <v>8.2896099999999997</v>
      </c>
    </row>
    <row r="35" spans="1:6">
      <c r="A35" s="58">
        <v>7</v>
      </c>
      <c r="B35" s="58">
        <v>10.94256506375145</v>
      </c>
      <c r="C35" s="58">
        <v>-0.8652630637514509</v>
      </c>
      <c r="D35">
        <f t="shared" si="0"/>
        <v>10.077302</v>
      </c>
      <c r="E35" s="58">
        <v>16.666666666666668</v>
      </c>
      <c r="F35" s="58">
        <v>8.45167</v>
      </c>
    </row>
    <row r="36" spans="1:6">
      <c r="A36" s="58">
        <v>8</v>
      </c>
      <c r="B36" s="58">
        <v>9.9304350718829575</v>
      </c>
      <c r="C36" s="58">
        <v>-0.21950107188295753</v>
      </c>
      <c r="D36">
        <f t="shared" si="0"/>
        <v>9.710934</v>
      </c>
      <c r="E36" s="58">
        <v>19.23076923076923</v>
      </c>
      <c r="F36" s="58">
        <v>8.4546119999999991</v>
      </c>
    </row>
    <row r="37" spans="1:6">
      <c r="A37" s="58">
        <v>9</v>
      </c>
      <c r="B37" s="58">
        <v>10.294286495155839</v>
      </c>
      <c r="C37" s="58">
        <v>-6.9304951558386563E-3</v>
      </c>
      <c r="D37">
        <f t="shared" si="0"/>
        <v>10.287356000000001</v>
      </c>
      <c r="E37" s="58">
        <v>21.794871794871796</v>
      </c>
      <c r="F37" s="58">
        <v>8.5024300000000004</v>
      </c>
    </row>
    <row r="38" spans="1:6">
      <c r="A38" s="58">
        <v>10</v>
      </c>
      <c r="B38" s="58">
        <v>10.139494123466514</v>
      </c>
      <c r="C38" s="58">
        <v>-1.1684301234665142</v>
      </c>
      <c r="D38">
        <f t="shared" si="0"/>
        <v>8.9710640000000001</v>
      </c>
      <c r="E38" s="58">
        <v>24.358974358974361</v>
      </c>
      <c r="F38" s="58">
        <v>8.6213309999999996</v>
      </c>
    </row>
    <row r="39" spans="1:6">
      <c r="A39" s="58">
        <v>11</v>
      </c>
      <c r="B39" s="58">
        <v>10.810983584443067</v>
      </c>
      <c r="C39" s="58">
        <v>-1.1315085844430666</v>
      </c>
      <c r="D39">
        <f t="shared" si="0"/>
        <v>9.6794750000000001</v>
      </c>
      <c r="E39" s="58">
        <v>26.923076923076923</v>
      </c>
      <c r="F39" s="58">
        <v>8.6250739999999997</v>
      </c>
    </row>
    <row r="40" spans="1:6">
      <c r="A40" s="58">
        <v>12</v>
      </c>
      <c r="B40" s="58">
        <v>9.6085015868280887</v>
      </c>
      <c r="C40" s="58">
        <v>-3.0836586828089096E-2</v>
      </c>
      <c r="D40">
        <f t="shared" si="0"/>
        <v>9.5776649999999997</v>
      </c>
      <c r="E40" s="58">
        <v>29.487179487179489</v>
      </c>
      <c r="F40" s="58">
        <v>8.7202459999999995</v>
      </c>
    </row>
    <row r="41" spans="1:6">
      <c r="A41" s="58">
        <v>13</v>
      </c>
      <c r="B41" s="58">
        <v>10.425237882950224</v>
      </c>
      <c r="C41" s="58">
        <v>-0.28091788295022369</v>
      </c>
      <c r="D41">
        <f t="shared" si="0"/>
        <v>10.14432</v>
      </c>
      <c r="E41" s="58">
        <v>32.051282051282058</v>
      </c>
      <c r="F41" s="58">
        <v>8.8157449999999997</v>
      </c>
    </row>
    <row r="42" spans="1:6">
      <c r="A42" s="58">
        <v>14</v>
      </c>
      <c r="B42" s="58">
        <v>10.368756906922526</v>
      </c>
      <c r="C42" s="58">
        <v>0.17681109307747356</v>
      </c>
      <c r="D42">
        <f t="shared" si="0"/>
        <v>10.545567999999999</v>
      </c>
      <c r="E42" s="58">
        <v>34.61538461538462</v>
      </c>
      <c r="F42" s="58">
        <v>8.8258700000000001</v>
      </c>
    </row>
    <row r="43" spans="1:6">
      <c r="A43" s="58">
        <v>15</v>
      </c>
      <c r="B43" s="58">
        <v>9.2755891177090639</v>
      </c>
      <c r="C43" s="58">
        <v>0.69708788229093521</v>
      </c>
      <c r="D43">
        <f t="shared" si="0"/>
        <v>9.9726769999999991</v>
      </c>
      <c r="E43" s="58">
        <v>37.179487179487182</v>
      </c>
      <c r="F43" s="58">
        <v>8.9710640000000001</v>
      </c>
    </row>
    <row r="44" spans="1:6">
      <c r="A44" s="58">
        <v>16</v>
      </c>
      <c r="B44" s="58">
        <v>9.1434784260623818</v>
      </c>
      <c r="C44" s="58">
        <v>-0.10939942606238162</v>
      </c>
      <c r="D44">
        <f t="shared" si="0"/>
        <v>9.0340790000000002</v>
      </c>
      <c r="E44" s="58">
        <v>39.743589743589752</v>
      </c>
      <c r="F44" s="58">
        <v>9.0340790000000002</v>
      </c>
    </row>
    <row r="45" spans="1:6">
      <c r="A45" s="58">
        <v>17</v>
      </c>
      <c r="B45" s="58">
        <v>8.8417904985749995</v>
      </c>
      <c r="C45" s="58">
        <v>-0.22045949857499991</v>
      </c>
      <c r="D45">
        <f t="shared" si="0"/>
        <v>8.6213309999999996</v>
      </c>
      <c r="E45" s="58">
        <v>42.307692307692314</v>
      </c>
      <c r="F45" s="58">
        <v>9.1645459999999996</v>
      </c>
    </row>
    <row r="46" spans="1:6">
      <c r="A46" s="58">
        <v>18</v>
      </c>
      <c r="B46" s="58">
        <v>7.9879420362543119</v>
      </c>
      <c r="C46" s="58">
        <v>-0.19609303625431185</v>
      </c>
      <c r="D46">
        <f t="shared" si="0"/>
        <v>7.791849</v>
      </c>
      <c r="E46" s="58">
        <v>44.871794871794876</v>
      </c>
      <c r="F46" s="58">
        <v>9.2448490000000003</v>
      </c>
    </row>
    <row r="47" spans="1:6">
      <c r="A47" s="58">
        <v>19</v>
      </c>
      <c r="B47" s="58">
        <v>8.4810662558531078</v>
      </c>
      <c r="C47" s="58">
        <v>-1.887419255853108</v>
      </c>
      <c r="D47">
        <f t="shared" si="0"/>
        <v>6.5936469999999998</v>
      </c>
      <c r="E47" s="58">
        <v>47.435897435897445</v>
      </c>
      <c r="F47" s="58">
        <v>9.3119630000000004</v>
      </c>
    </row>
    <row r="48" spans="1:6">
      <c r="A48" s="58">
        <v>20</v>
      </c>
      <c r="B48" s="58">
        <v>8.0917975606050785</v>
      </c>
      <c r="C48" s="58">
        <v>-2.1741225606050785</v>
      </c>
      <c r="D48">
        <f t="shared" si="0"/>
        <v>5.917675</v>
      </c>
      <c r="E48" s="58">
        <v>50.000000000000007</v>
      </c>
      <c r="F48" s="58">
        <v>9.5623640000000005</v>
      </c>
    </row>
    <row r="49" spans="1:6">
      <c r="A49" s="58">
        <v>21</v>
      </c>
      <c r="B49" s="58">
        <v>7.1965551877873732</v>
      </c>
      <c r="C49" s="58">
        <v>-4.320918778737326E-2</v>
      </c>
      <c r="D49">
        <f t="shared" si="0"/>
        <v>7.153346</v>
      </c>
      <c r="E49" s="58">
        <v>52.564102564102569</v>
      </c>
      <c r="F49" s="58">
        <v>9.5776649999999997</v>
      </c>
    </row>
    <row r="50" spans="1:6">
      <c r="A50" s="58">
        <v>22</v>
      </c>
      <c r="B50" s="58">
        <v>7.4778653433434634</v>
      </c>
      <c r="C50" s="58">
        <v>1.3480046566565367</v>
      </c>
      <c r="D50">
        <f t="shared" si="0"/>
        <v>8.8258700000000001</v>
      </c>
      <c r="E50" s="58">
        <v>55.128205128205138</v>
      </c>
      <c r="F50" s="58">
        <v>9.6794750000000001</v>
      </c>
    </row>
    <row r="51" spans="1:6">
      <c r="A51" s="58">
        <v>23</v>
      </c>
      <c r="B51" s="58">
        <v>8.3792084802494458</v>
      </c>
      <c r="C51" s="58">
        <v>1.4057865197505546</v>
      </c>
      <c r="D51">
        <f t="shared" si="0"/>
        <v>9.7849950000000003</v>
      </c>
      <c r="E51" s="58">
        <v>57.692307692307701</v>
      </c>
      <c r="F51" s="58">
        <v>9.710934</v>
      </c>
    </row>
    <row r="52" spans="1:6">
      <c r="A52" s="58">
        <v>24</v>
      </c>
      <c r="B52" s="58">
        <v>8.7556147354229417</v>
      </c>
      <c r="C52" s="58">
        <v>1.167726264577059</v>
      </c>
      <c r="D52">
        <f t="shared" si="0"/>
        <v>9.9233410000000006</v>
      </c>
      <c r="E52" s="58">
        <v>60.256410256410263</v>
      </c>
      <c r="F52" s="58">
        <v>9.7579910000000005</v>
      </c>
    </row>
    <row r="53" spans="1:6">
      <c r="A53" s="58">
        <v>25</v>
      </c>
      <c r="B53" s="58">
        <v>9.2651927040897029</v>
      </c>
      <c r="C53" s="58">
        <v>-0.10064670408970322</v>
      </c>
      <c r="D53">
        <f t="shared" si="0"/>
        <v>9.1645459999999996</v>
      </c>
      <c r="E53" s="58">
        <v>62.820512820512832</v>
      </c>
      <c r="F53" s="58">
        <v>9.7849950000000003</v>
      </c>
    </row>
    <row r="54" spans="1:6">
      <c r="A54" s="58">
        <v>26</v>
      </c>
      <c r="B54" s="58">
        <v>8.6883713604074249</v>
      </c>
      <c r="C54" s="58">
        <v>3.1874639592574638E-2</v>
      </c>
      <c r="D54">
        <f t="shared" si="0"/>
        <v>8.7202459999999995</v>
      </c>
      <c r="E54" s="58">
        <v>65.384615384615387</v>
      </c>
      <c r="F54" s="58">
        <v>9.8697660000000003</v>
      </c>
    </row>
    <row r="55" spans="1:6">
      <c r="A55" s="58">
        <v>27</v>
      </c>
      <c r="B55" s="58">
        <v>9.5984999486734743</v>
      </c>
      <c r="C55" s="58">
        <v>-0.78275494867347462</v>
      </c>
      <c r="D55">
        <f t="shared" si="0"/>
        <v>8.8157449999999997</v>
      </c>
      <c r="E55" s="58">
        <v>67.948717948717956</v>
      </c>
      <c r="F55" s="58">
        <v>9.9233410000000006</v>
      </c>
    </row>
    <row r="56" spans="1:6">
      <c r="A56" s="58">
        <v>28</v>
      </c>
      <c r="B56" s="58">
        <v>9.7868522480465039</v>
      </c>
      <c r="C56" s="58">
        <v>-0.54200324804650357</v>
      </c>
      <c r="D56">
        <f t="shared" si="0"/>
        <v>9.2448490000000003</v>
      </c>
      <c r="E56" s="58">
        <v>70.512820512820525</v>
      </c>
      <c r="F56" s="58">
        <v>9.9726769999999991</v>
      </c>
    </row>
    <row r="57" spans="1:6">
      <c r="A57" s="58">
        <v>29</v>
      </c>
      <c r="B57" s="58">
        <v>9.4172063942599351</v>
      </c>
      <c r="C57" s="58">
        <v>0.14515760574006542</v>
      </c>
      <c r="D57">
        <f t="shared" si="0"/>
        <v>9.5623640000000005</v>
      </c>
      <c r="E57" s="58">
        <v>73.07692307692308</v>
      </c>
      <c r="F57" s="58">
        <v>10.077302</v>
      </c>
    </row>
    <row r="58" spans="1:6">
      <c r="A58" s="58">
        <v>30</v>
      </c>
      <c r="B58" s="58">
        <v>9.5597046250766198</v>
      </c>
      <c r="C58" s="58">
        <v>-1.1050926250766206</v>
      </c>
      <c r="D58">
        <f t="shared" si="0"/>
        <v>8.4546119999999991</v>
      </c>
      <c r="E58" s="58">
        <v>75.641025641025649</v>
      </c>
      <c r="F58" s="58">
        <v>10.14432</v>
      </c>
    </row>
    <row r="59" spans="1:6">
      <c r="A59" s="58">
        <v>31</v>
      </c>
      <c r="B59" s="58">
        <v>9.6849736147082357</v>
      </c>
      <c r="C59" s="58">
        <v>-1.859354614708236</v>
      </c>
      <c r="D59">
        <f t="shared" si="0"/>
        <v>7.8256189999999997</v>
      </c>
      <c r="E59" s="58">
        <v>78.205128205128219</v>
      </c>
      <c r="F59" s="58">
        <v>10.287356000000001</v>
      </c>
    </row>
    <row r="60" spans="1:6">
      <c r="A60" s="58">
        <v>32</v>
      </c>
      <c r="B60" s="58">
        <v>9.3936107950483034</v>
      </c>
      <c r="C60" s="58">
        <v>-0.94194079504830341</v>
      </c>
      <c r="D60">
        <f t="shared" si="0"/>
        <v>8.45167</v>
      </c>
      <c r="E60" s="58">
        <v>80.769230769230774</v>
      </c>
      <c r="F60" s="58">
        <v>10.486255999999999</v>
      </c>
    </row>
    <row r="61" spans="1:6">
      <c r="A61" s="58">
        <v>33</v>
      </c>
      <c r="B61" s="58">
        <v>9.4708729822298476</v>
      </c>
      <c r="C61" s="58">
        <v>-1.1812629822298479</v>
      </c>
      <c r="D61">
        <f t="shared" si="0"/>
        <v>8.2896099999999997</v>
      </c>
      <c r="E61" s="58">
        <v>83.333333333333343</v>
      </c>
      <c r="F61" s="58">
        <v>10.545567999999999</v>
      </c>
    </row>
    <row r="62" spans="1:6">
      <c r="A62" s="58">
        <v>34</v>
      </c>
      <c r="B62" s="58">
        <v>9.8017091106781002</v>
      </c>
      <c r="C62" s="58">
        <v>-1.1766351106781006</v>
      </c>
      <c r="D62">
        <f t="shared" si="0"/>
        <v>8.6250739999999997</v>
      </c>
      <c r="E62" s="58">
        <v>85.897435897435912</v>
      </c>
      <c r="F62" s="58">
        <v>10.657961999999999</v>
      </c>
    </row>
    <row r="63" spans="1:6">
      <c r="A63" s="58">
        <v>35</v>
      </c>
      <c r="B63" s="58">
        <v>9.3433481708648607</v>
      </c>
      <c r="C63" s="58">
        <v>-0.84091817086486031</v>
      </c>
      <c r="D63">
        <f t="shared" si="0"/>
        <v>8.5024300000000004</v>
      </c>
      <c r="E63" s="58">
        <v>88.461538461538467</v>
      </c>
      <c r="F63" s="58">
        <v>11.285722</v>
      </c>
    </row>
    <row r="64" spans="1:6">
      <c r="A64" s="58">
        <v>36</v>
      </c>
      <c r="B64" s="58">
        <v>9.2930034990888917</v>
      </c>
      <c r="C64" s="58">
        <v>1.8959500911108762E-2</v>
      </c>
      <c r="D64">
        <f t="shared" si="0"/>
        <v>9.3119630000000004</v>
      </c>
      <c r="E64" s="58">
        <v>91.025641025641036</v>
      </c>
      <c r="F64" s="58">
        <v>11.565756</v>
      </c>
    </row>
    <row r="65" spans="1:6">
      <c r="A65" s="58">
        <v>37</v>
      </c>
      <c r="B65" s="58">
        <v>9.1948260182343731</v>
      </c>
      <c r="C65" s="58">
        <v>0.67493998176562719</v>
      </c>
      <c r="D65">
        <f t="shared" si="0"/>
        <v>9.8697660000000003</v>
      </c>
      <c r="E65" s="58">
        <v>93.589743589743605</v>
      </c>
      <c r="F65" s="58">
        <v>11.851706999999999</v>
      </c>
    </row>
    <row r="66" spans="1:6">
      <c r="A66" s="58">
        <v>38</v>
      </c>
      <c r="B66" s="58">
        <v>9.4939003560436888</v>
      </c>
      <c r="C66" s="58">
        <v>0.99235564395631037</v>
      </c>
      <c r="D66">
        <f t="shared" si="0"/>
        <v>10.486255999999999</v>
      </c>
      <c r="E66" s="58">
        <v>96.15384615384616</v>
      </c>
      <c r="F66" s="58">
        <v>12.429964</v>
      </c>
    </row>
    <row r="67" spans="1:6" ht="15.75" thickBot="1">
      <c r="A67" s="59">
        <v>39</v>
      </c>
      <c r="B67" s="59">
        <v>9.625304079278953</v>
      </c>
      <c r="C67" s="59">
        <v>1.6604179207210468</v>
      </c>
      <c r="D67">
        <f t="shared" si="0"/>
        <v>11.285722</v>
      </c>
      <c r="E67" s="59">
        <v>98.71794871794873</v>
      </c>
      <c r="F67" s="59">
        <v>13.541129</v>
      </c>
    </row>
    <row r="95" spans="1:1">
      <c r="A95" t="s">
        <v>58</v>
      </c>
    </row>
    <row r="96" spans="1:1" ht="15.75" thickBot="1"/>
    <row r="97" spans="1:9">
      <c r="A97" s="61" t="s">
        <v>59</v>
      </c>
      <c r="B97" s="61"/>
    </row>
    <row r="98" spans="1:9">
      <c r="A98" s="58" t="s">
        <v>60</v>
      </c>
      <c r="B98" s="58">
        <v>0.75489445506941633</v>
      </c>
    </row>
    <row r="99" spans="1:9">
      <c r="A99" s="58" t="s">
        <v>61</v>
      </c>
      <c r="B99" s="58">
        <v>0.56986563829455095</v>
      </c>
    </row>
    <row r="100" spans="1:9">
      <c r="A100" s="58" t="s">
        <v>62</v>
      </c>
      <c r="B100" s="58">
        <v>0.51926159574096875</v>
      </c>
    </row>
    <row r="101" spans="1:9">
      <c r="A101" s="58" t="s">
        <v>63</v>
      </c>
      <c r="B101" s="58">
        <v>1.2046256186381259</v>
      </c>
    </row>
    <row r="102" spans="1:9" ht="15.75" thickBot="1">
      <c r="A102" s="59" t="s">
        <v>64</v>
      </c>
      <c r="B102" s="59">
        <v>39</v>
      </c>
    </row>
    <row r="104" spans="1:9" ht="15.75" thickBot="1">
      <c r="A104" t="s">
        <v>65</v>
      </c>
    </row>
    <row r="105" spans="1:9">
      <c r="A105" s="60"/>
      <c r="B105" s="60" t="s">
        <v>69</v>
      </c>
      <c r="C105" s="60" t="s">
        <v>14</v>
      </c>
      <c r="D105" s="60" t="s">
        <v>70</v>
      </c>
      <c r="E105" s="60" t="s">
        <v>13</v>
      </c>
      <c r="F105" s="60" t="s">
        <v>71</v>
      </c>
    </row>
    <row r="106" spans="1:9">
      <c r="A106" s="58" t="s">
        <v>66</v>
      </c>
      <c r="B106" s="58">
        <v>4</v>
      </c>
      <c r="C106" s="58">
        <v>65.365929292661775</v>
      </c>
      <c r="D106" s="58">
        <v>16.341482323165444</v>
      </c>
      <c r="E106" s="58">
        <v>11.261267075474198</v>
      </c>
      <c r="F106" s="58">
        <v>6.3118292930455523E-6</v>
      </c>
    </row>
    <row r="107" spans="1:9">
      <c r="A107" s="58" t="s">
        <v>67</v>
      </c>
      <c r="B107" s="58">
        <v>34</v>
      </c>
      <c r="C107" s="58">
        <v>49.338177956695787</v>
      </c>
      <c r="D107" s="58">
        <v>1.4511228810792878</v>
      </c>
      <c r="E107" s="58"/>
      <c r="F107" s="58"/>
    </row>
    <row r="108" spans="1:9" ht="15.75" thickBot="1">
      <c r="A108" s="59" t="s">
        <v>68</v>
      </c>
      <c r="B108" s="59">
        <v>38</v>
      </c>
      <c r="C108" s="59">
        <v>114.70410724935756</v>
      </c>
      <c r="D108" s="59"/>
      <c r="E108" s="59"/>
      <c r="F108" s="59"/>
    </row>
    <row r="109" spans="1:9" ht="15.75" thickBot="1"/>
    <row r="110" spans="1:9">
      <c r="A110" s="60"/>
      <c r="B110" s="60" t="s">
        <v>72</v>
      </c>
      <c r="C110" s="60" t="s">
        <v>63</v>
      </c>
      <c r="D110" s="60" t="s">
        <v>73</v>
      </c>
      <c r="E110" s="60" t="s">
        <v>74</v>
      </c>
      <c r="F110" s="60" t="s">
        <v>75</v>
      </c>
      <c r="G110" s="60" t="s">
        <v>76</v>
      </c>
      <c r="H110" s="60" t="s">
        <v>91</v>
      </c>
      <c r="I110" s="60" t="s">
        <v>92</v>
      </c>
    </row>
    <row r="111" spans="1:9">
      <c r="A111" s="58" t="s">
        <v>29</v>
      </c>
      <c r="B111" s="58">
        <v>12.877462265482002</v>
      </c>
      <c r="C111" s="58">
        <v>1.0859672606945021</v>
      </c>
      <c r="D111" s="58">
        <v>11.858057541482932</v>
      </c>
      <c r="E111" s="58">
        <v>1.2501962659816847E-13</v>
      </c>
      <c r="F111" s="58">
        <v>10.670511275101665</v>
      </c>
      <c r="G111" s="58">
        <v>15.084413255862339</v>
      </c>
      <c r="H111" s="58">
        <v>10.670511275101665</v>
      </c>
      <c r="I111" s="58">
        <v>15.084413255862339</v>
      </c>
    </row>
    <row r="112" spans="1:9">
      <c r="A112" s="58">
        <v>0.63225399999999998</v>
      </c>
      <c r="B112" s="58">
        <v>-4.711074503687092</v>
      </c>
      <c r="C112" s="58">
        <v>1.0482686384635629</v>
      </c>
      <c r="D112" s="58">
        <v>-4.4941480941298293</v>
      </c>
      <c r="E112" s="58">
        <v>7.6987200633297275E-5</v>
      </c>
      <c r="F112" s="58">
        <v>-6.8414126764624692</v>
      </c>
      <c r="G112" s="58">
        <v>-2.5807363309117148</v>
      </c>
      <c r="H112" s="58">
        <v>-6.8414126764624692</v>
      </c>
      <c r="I112" s="58">
        <v>-2.5807363309117148</v>
      </c>
    </row>
    <row r="113" spans="1:9">
      <c r="A113" s="58">
        <v>0.16340499999999999</v>
      </c>
      <c r="B113" s="58">
        <v>3.3265340983602232</v>
      </c>
      <c r="C113" s="58">
        <v>2.662607409792022</v>
      </c>
      <c r="D113" s="58">
        <v>1.2493520772632647</v>
      </c>
      <c r="E113" s="58">
        <v>0.22006910126768986</v>
      </c>
      <c r="F113" s="58">
        <v>-2.0845351600965443</v>
      </c>
      <c r="G113" s="58">
        <v>8.7376033568169902</v>
      </c>
      <c r="H113" s="58">
        <v>-2.0845351600965443</v>
      </c>
      <c r="I113" s="58">
        <v>8.7376033568169902</v>
      </c>
    </row>
    <row r="114" spans="1:9">
      <c r="A114" s="58">
        <v>0.184417</v>
      </c>
      <c r="B114" s="58">
        <v>0.37627916921771359</v>
      </c>
      <c r="C114" s="58">
        <v>1.26792470997964</v>
      </c>
      <c r="D114" s="58">
        <v>0.29676775462776162</v>
      </c>
      <c r="E114" s="58">
        <v>0.76844927140379438</v>
      </c>
      <c r="F114" s="58">
        <v>-2.2004538463132719</v>
      </c>
      <c r="G114" s="58">
        <v>2.9530121847486988</v>
      </c>
      <c r="H114" s="58">
        <v>-2.2004538463132719</v>
      </c>
      <c r="I114" s="58">
        <v>2.9530121847486988</v>
      </c>
    </row>
    <row r="115" spans="1:9" ht="15.75" thickBot="1">
      <c r="A115" s="59">
        <v>0.20616113744075829</v>
      </c>
      <c r="B115" s="59">
        <v>-0.56093774866649537</v>
      </c>
      <c r="C115" s="59">
        <v>2.7438068130614912</v>
      </c>
      <c r="D115" s="59">
        <v>-0.20443777090873644</v>
      </c>
      <c r="E115" s="59">
        <v>0.83923030432250956</v>
      </c>
      <c r="F115" s="59">
        <v>-6.1370240476454994</v>
      </c>
      <c r="G115" s="59">
        <v>5.0151485503125093</v>
      </c>
      <c r="H115" s="59">
        <v>-6.1370240476454994</v>
      </c>
      <c r="I115" s="59">
        <v>5.0151485503125093</v>
      </c>
    </row>
    <row r="119" spans="1:9">
      <c r="A119" t="s">
        <v>77</v>
      </c>
    </row>
    <row r="120" spans="1:9" ht="15.75" thickBot="1"/>
    <row r="121" spans="1:9">
      <c r="A121" s="60" t="s">
        <v>78</v>
      </c>
      <c r="B121" s="60" t="s">
        <v>177</v>
      </c>
      <c r="C121" s="60" t="s">
        <v>80</v>
      </c>
      <c r="D121" s="60" t="s">
        <v>178</v>
      </c>
    </row>
    <row r="122" spans="1:9">
      <c r="A122" s="58">
        <v>1</v>
      </c>
      <c r="B122" s="58">
        <v>11.298709873969685</v>
      </c>
      <c r="C122" s="58">
        <v>2.8941101260303146</v>
      </c>
      <c r="D122" s="58">
        <v>2.5398922770548968</v>
      </c>
    </row>
    <row r="123" spans="1:9">
      <c r="A123" s="58">
        <v>2</v>
      </c>
      <c r="B123" s="58">
        <v>11.320771983171769</v>
      </c>
      <c r="C123" s="58">
        <v>2.8720480168282307</v>
      </c>
      <c r="D123" s="58">
        <v>2.5205304081771649</v>
      </c>
    </row>
    <row r="124" spans="1:9">
      <c r="A124" s="58">
        <v>3</v>
      </c>
      <c r="B124" s="58">
        <v>10.963307321689461</v>
      </c>
      <c r="C124" s="58">
        <v>1.0001516783105391</v>
      </c>
      <c r="D124" s="58">
        <v>0.8777404497418988</v>
      </c>
    </row>
    <row r="125" spans="1:9">
      <c r="A125" s="58">
        <v>4</v>
      </c>
      <c r="B125" s="58">
        <v>10.740510723745164</v>
      </c>
      <c r="C125" s="58">
        <v>1.1441212762548361</v>
      </c>
      <c r="D125" s="58">
        <v>1.0040892250219131</v>
      </c>
    </row>
    <row r="126" spans="1:9">
      <c r="A126" s="58">
        <v>5</v>
      </c>
      <c r="B126" s="58">
        <v>10.378982661503835</v>
      </c>
      <c r="C126" s="58">
        <v>1.5561363384961648</v>
      </c>
      <c r="D126" s="58">
        <v>1.3656766660818813</v>
      </c>
    </row>
    <row r="127" spans="1:9">
      <c r="A127" s="58">
        <v>6</v>
      </c>
      <c r="B127" s="58">
        <v>11.445720900953431</v>
      </c>
      <c r="C127" s="58">
        <v>-1.5974819009534311</v>
      </c>
      <c r="D127" s="58">
        <v>-1.4019618349948357</v>
      </c>
    </row>
    <row r="128" spans="1:9">
      <c r="A128" s="58">
        <v>7</v>
      </c>
      <c r="B128" s="58">
        <v>10.485863871502239</v>
      </c>
      <c r="C128" s="58">
        <v>-0.73925987150223982</v>
      </c>
      <c r="D128" s="58">
        <v>-0.64877988625145588</v>
      </c>
    </row>
    <row r="129" spans="1:4">
      <c r="A129" s="58">
        <v>8</v>
      </c>
      <c r="B129" s="58">
        <v>11.13327871752808</v>
      </c>
      <c r="C129" s="58">
        <v>-0.87881971752807964</v>
      </c>
      <c r="D129" s="58">
        <v>-0.77125863089902158</v>
      </c>
    </row>
    <row r="130" spans="1:4">
      <c r="A130" s="58">
        <v>9</v>
      </c>
      <c r="B130" s="58">
        <v>11.386309664973931</v>
      </c>
      <c r="C130" s="58">
        <v>-1.6275766649739314</v>
      </c>
      <c r="D130" s="58">
        <v>-1.4283732206667081</v>
      </c>
    </row>
    <row r="131" spans="1:4">
      <c r="A131" s="58">
        <v>10</v>
      </c>
      <c r="B131" s="58">
        <v>10.489742012599413</v>
      </c>
      <c r="C131" s="58">
        <v>-0.52447601259941301</v>
      </c>
      <c r="D131" s="58">
        <v>-0.46028399607895309</v>
      </c>
    </row>
    <row r="132" spans="1:4">
      <c r="A132" s="58">
        <v>11</v>
      </c>
      <c r="B132" s="58">
        <v>10.090839030484084</v>
      </c>
      <c r="C132" s="58">
        <v>-0.77121103048408379</v>
      </c>
      <c r="D132" s="58">
        <v>-0.67682045775944166</v>
      </c>
    </row>
    <row r="133" spans="1:4">
      <c r="A133" s="58">
        <v>12</v>
      </c>
      <c r="B133" s="58">
        <v>10.62976906084273</v>
      </c>
      <c r="C133" s="58">
        <v>-1.1016080608427288</v>
      </c>
      <c r="D133" s="58">
        <v>-0.96677931531018735</v>
      </c>
    </row>
    <row r="134" spans="1:4">
      <c r="A134" s="58">
        <v>13</v>
      </c>
      <c r="B134" s="58">
        <v>9.3038441794855729</v>
      </c>
      <c r="C134" s="58">
        <v>-1.3968179485573273E-2</v>
      </c>
      <c r="D134" s="58">
        <v>-1.2258576783526509E-2</v>
      </c>
    </row>
    <row r="135" spans="1:4">
      <c r="A135" s="58">
        <v>14</v>
      </c>
      <c r="B135" s="58">
        <v>9.8525518985113933</v>
      </c>
      <c r="C135" s="58">
        <v>0.66206110148860731</v>
      </c>
      <c r="D135" s="58">
        <v>0.58102967937708605</v>
      </c>
    </row>
    <row r="136" spans="1:4">
      <c r="A136" s="58">
        <v>15</v>
      </c>
      <c r="B136" s="58">
        <v>9.2710777401060742</v>
      </c>
      <c r="C136" s="58">
        <v>1.6665892598939251</v>
      </c>
      <c r="D136" s="58">
        <v>1.4626109601548998</v>
      </c>
    </row>
    <row r="137" spans="1:4">
      <c r="A137" s="58">
        <v>16</v>
      </c>
      <c r="B137" s="58">
        <v>9.0780662586205434</v>
      </c>
      <c r="C137" s="58">
        <v>0.57527074137945711</v>
      </c>
      <c r="D137" s="58">
        <v>0.50486182267344137</v>
      </c>
    </row>
    <row r="138" spans="1:4">
      <c r="A138" s="58">
        <v>17</v>
      </c>
      <c r="B138" s="58">
        <v>8.8939058297710005</v>
      </c>
      <c r="C138" s="58">
        <v>0.12426217022899877</v>
      </c>
      <c r="D138" s="58">
        <v>0.10905339214842613</v>
      </c>
    </row>
    <row r="139" spans="1:4">
      <c r="A139" s="58">
        <v>18</v>
      </c>
      <c r="B139" s="58">
        <v>9.1141091593705017</v>
      </c>
      <c r="C139" s="58">
        <v>-1.3563511593705018</v>
      </c>
      <c r="D139" s="58">
        <v>-1.1903437273082911</v>
      </c>
    </row>
    <row r="140" spans="1:4">
      <c r="A140" s="58">
        <v>19</v>
      </c>
      <c r="B140" s="58">
        <v>8.3666093702630473</v>
      </c>
      <c r="C140" s="58">
        <v>-0.81238337026304741</v>
      </c>
      <c r="D140" s="58">
        <v>-0.71295360517920037</v>
      </c>
    </row>
    <row r="141" spans="1:4">
      <c r="A141" s="58">
        <v>20</v>
      </c>
      <c r="B141" s="58">
        <v>6.0157173794343226</v>
      </c>
      <c r="C141" s="58">
        <v>0.28958162056567716</v>
      </c>
      <c r="D141" s="58">
        <v>0.25413895450504387</v>
      </c>
    </row>
    <row r="142" spans="1:4">
      <c r="A142" s="58">
        <v>21</v>
      </c>
      <c r="B142" s="58">
        <v>5.0966468801122167</v>
      </c>
      <c r="C142" s="58">
        <v>0.81164711988778304</v>
      </c>
      <c r="D142" s="58">
        <v>0.71230746644892418</v>
      </c>
    </row>
    <row r="143" spans="1:4">
      <c r="A143" s="58">
        <v>22</v>
      </c>
      <c r="B143" s="58">
        <v>7.9558290483052136</v>
      </c>
      <c r="C143" s="58">
        <v>-0.31648804830521371</v>
      </c>
      <c r="D143" s="58">
        <v>-0.27775223286792416</v>
      </c>
    </row>
    <row r="144" spans="1:4">
      <c r="A144" s="58">
        <v>23</v>
      </c>
      <c r="B144" s="58">
        <v>8.7617085867356277</v>
      </c>
      <c r="C144" s="58">
        <v>0.56829041326437313</v>
      </c>
      <c r="D144" s="58">
        <v>0.49873583551374434</v>
      </c>
    </row>
    <row r="145" spans="1:4">
      <c r="A145" s="58">
        <v>24</v>
      </c>
      <c r="B145" s="58">
        <v>9.5313284856301408</v>
      </c>
      <c r="C145" s="58">
        <v>0.87347451436985857</v>
      </c>
      <c r="D145" s="58">
        <v>0.76656764139632538</v>
      </c>
    </row>
    <row r="146" spans="1:4">
      <c r="A146" s="58">
        <v>25</v>
      </c>
      <c r="B146" s="58">
        <v>10.869698570743907</v>
      </c>
      <c r="C146" s="58">
        <v>-0.82447457074390762</v>
      </c>
      <c r="D146" s="58">
        <v>-0.72356493141915346</v>
      </c>
    </row>
    <row r="147" spans="1:4">
      <c r="A147" s="58">
        <v>26</v>
      </c>
      <c r="B147" s="58">
        <v>9.8956016329860592</v>
      </c>
      <c r="C147" s="58">
        <v>-1.3619676329860599</v>
      </c>
      <c r="D147" s="58">
        <v>-1.1952727857543171</v>
      </c>
    </row>
    <row r="148" spans="1:4">
      <c r="A148" s="58">
        <v>27</v>
      </c>
      <c r="B148" s="58">
        <v>9.2844008925257242</v>
      </c>
      <c r="C148" s="58">
        <v>-0.34583889252572497</v>
      </c>
      <c r="D148" s="58">
        <v>-0.30351074906612124</v>
      </c>
    </row>
    <row r="149" spans="1:4">
      <c r="A149" s="58">
        <v>28</v>
      </c>
      <c r="B149" s="58">
        <v>8.4489280846800874</v>
      </c>
      <c r="C149" s="58">
        <v>0.30465191531991209</v>
      </c>
      <c r="D149" s="58">
        <v>0.26736475573318319</v>
      </c>
    </row>
    <row r="150" spans="1:4">
      <c r="A150" s="58">
        <v>29</v>
      </c>
      <c r="B150" s="58">
        <v>9.4736478983219623</v>
      </c>
      <c r="C150" s="58">
        <v>0.18644910167803808</v>
      </c>
      <c r="D150" s="58">
        <v>0.16362909937550585</v>
      </c>
    </row>
    <row r="151" spans="1:4">
      <c r="A151" s="58">
        <v>30</v>
      </c>
      <c r="B151" s="58">
        <v>9.625655228728494</v>
      </c>
      <c r="C151" s="58">
        <v>4.647977127150682E-2</v>
      </c>
      <c r="D151" s="58">
        <v>4.0790988231572796E-2</v>
      </c>
    </row>
    <row r="152" spans="1:4">
      <c r="A152" s="58">
        <v>31</v>
      </c>
      <c r="B152" s="58">
        <v>8.9708310654330905</v>
      </c>
      <c r="C152" s="58">
        <v>-1.7685250654330904</v>
      </c>
      <c r="D152" s="58">
        <v>-1.5520705708710345</v>
      </c>
    </row>
    <row r="153" spans="1:4">
      <c r="A153" s="58">
        <v>32</v>
      </c>
      <c r="B153" s="58">
        <v>9.2622835753791506</v>
      </c>
      <c r="C153" s="58">
        <v>-1.1959915753791499</v>
      </c>
      <c r="D153" s="58">
        <v>-1.0496109800406412</v>
      </c>
    </row>
    <row r="154" spans="1:4">
      <c r="A154" s="58">
        <v>33</v>
      </c>
      <c r="B154" s="58">
        <v>9.7386112895096915</v>
      </c>
      <c r="C154" s="58">
        <v>-1.1083872895096913</v>
      </c>
      <c r="D154" s="58">
        <v>-0.97272881611899897</v>
      </c>
    </row>
    <row r="155" spans="1:4">
      <c r="A155" s="58">
        <v>34</v>
      </c>
      <c r="B155" s="58">
        <v>9.2481065220639351</v>
      </c>
      <c r="C155" s="58">
        <v>-0.70114552206393554</v>
      </c>
      <c r="D155" s="58">
        <v>-0.61533045358729377</v>
      </c>
    </row>
    <row r="156" spans="1:4">
      <c r="A156" s="58">
        <v>35</v>
      </c>
      <c r="B156" s="58">
        <v>9.2060973117202192</v>
      </c>
      <c r="C156" s="58">
        <v>-0.51767131172021941</v>
      </c>
      <c r="D156" s="58">
        <v>-0.45431214066982983</v>
      </c>
    </row>
    <row r="157" spans="1:4">
      <c r="A157" s="58">
        <v>36</v>
      </c>
      <c r="B157" s="58">
        <v>8.8884330385348651</v>
      </c>
      <c r="C157" s="58">
        <v>-0.28054103853486545</v>
      </c>
      <c r="D157" s="58">
        <v>-0.24620487339540903</v>
      </c>
    </row>
    <row r="158" spans="1:4">
      <c r="A158" s="58">
        <v>37</v>
      </c>
      <c r="B158" s="58">
        <v>9.2317867931854956</v>
      </c>
      <c r="C158" s="58">
        <v>0.47624520681450377</v>
      </c>
      <c r="D158" s="58">
        <v>0.41795628711327759</v>
      </c>
    </row>
    <row r="159" spans="1:4">
      <c r="A159" s="58">
        <v>38</v>
      </c>
      <c r="B159" s="58">
        <v>9.2997740549073793</v>
      </c>
      <c r="C159" s="58">
        <v>0.6257729450926206</v>
      </c>
      <c r="D159" s="58">
        <v>0.54918292712334638</v>
      </c>
    </row>
    <row r="160" spans="1:4" ht="15.75" thickBot="1">
      <c r="A160" s="59">
        <v>39</v>
      </c>
      <c r="B160" s="59">
        <v>9.5786104019704847</v>
      </c>
      <c r="C160" s="59">
        <v>1.1668235980295147</v>
      </c>
      <c r="D160" s="59">
        <v>1.0240129491497896</v>
      </c>
    </row>
    <row r="161" spans="1:4" ht="15.75" thickBot="1">
      <c r="A161" s="59">
        <v>39</v>
      </c>
      <c r="B161" s="59">
        <v>9.5786104019704847</v>
      </c>
      <c r="C161" s="59">
        <v>1.1668235980295147</v>
      </c>
      <c r="D161" s="59">
        <v>1.0373993074920764</v>
      </c>
    </row>
  </sheetData>
  <sortState ref="F29:F67">
    <sortCondition ref="F29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J62"/>
  <sheetViews>
    <sheetView workbookViewId="0">
      <selection activeCell="D8" sqref="D8"/>
    </sheetView>
  </sheetViews>
  <sheetFormatPr defaultRowHeight="15"/>
  <cols>
    <col min="2" max="2" width="15.85546875" customWidth="1"/>
    <col min="3" max="3" width="12.140625" bestFit="1" customWidth="1"/>
    <col min="4" max="4" width="9.28515625" bestFit="1" customWidth="1"/>
    <col min="6" max="6" width="12.28515625" customWidth="1"/>
    <col min="7" max="7" width="13.7109375" customWidth="1"/>
  </cols>
  <sheetData>
    <row r="1" spans="1:9">
      <c r="A1" t="s">
        <v>28</v>
      </c>
      <c r="B1" t="s">
        <v>30</v>
      </c>
      <c r="C1" t="s">
        <v>31</v>
      </c>
    </row>
    <row r="2" spans="1:9">
      <c r="A2" t="s">
        <v>29</v>
      </c>
      <c r="C2" t="s">
        <v>32</v>
      </c>
    </row>
    <row r="6" spans="1:9" ht="30">
      <c r="A6" s="51" t="s">
        <v>39</v>
      </c>
      <c r="B6" s="48" t="s">
        <v>33</v>
      </c>
      <c r="C6" s="3" t="s">
        <v>36</v>
      </c>
      <c r="D6" t="s">
        <v>40</v>
      </c>
      <c r="F6" s="4" t="s">
        <v>46</v>
      </c>
      <c r="G6" s="6" t="s">
        <v>45</v>
      </c>
      <c r="H6" s="53" t="s">
        <v>44</v>
      </c>
      <c r="I6" s="52"/>
    </row>
    <row r="7" spans="1:9">
      <c r="A7" s="17">
        <v>10</v>
      </c>
      <c r="B7" s="49">
        <v>3</v>
      </c>
      <c r="C7" s="12">
        <v>2</v>
      </c>
      <c r="D7">
        <f>SUMPRODUCT(B7:C7,$B$21:$C$21)+$D$21</f>
        <v>10.541029207232265</v>
      </c>
      <c r="E7">
        <f>SUM(F7:H7)</f>
        <v>10.541029207232265</v>
      </c>
      <c r="F7" s="19">
        <f>B7*B21</f>
        <v>1.6063977746870659</v>
      </c>
      <c r="G7" s="8">
        <f>C7*C21</f>
        <v>0.47287899860917937</v>
      </c>
      <c r="H7" s="10">
        <f>D21</f>
        <v>8.4617524339360202</v>
      </c>
    </row>
    <row r="8" spans="1:9">
      <c r="A8" s="17">
        <v>11</v>
      </c>
      <c r="B8" s="49">
        <v>4</v>
      </c>
      <c r="C8" s="12">
        <v>5</v>
      </c>
      <c r="D8">
        <f t="shared" ref="D8:D12" si="0">SUMPRODUCT(B8:C8,$B$21:$C$21)+$D$21</f>
        <v>11.785813630041723</v>
      </c>
    </row>
    <row r="9" spans="1:9">
      <c r="A9" s="17">
        <v>12</v>
      </c>
      <c r="B9" s="49">
        <v>3</v>
      </c>
      <c r="C9" s="12">
        <v>4</v>
      </c>
      <c r="D9">
        <f t="shared" si="0"/>
        <v>11.013908205841446</v>
      </c>
    </row>
    <row r="10" spans="1:9">
      <c r="A10" s="17">
        <v>13</v>
      </c>
      <c r="B10" s="49">
        <v>5</v>
      </c>
      <c r="C10" s="12">
        <v>5</v>
      </c>
      <c r="D10">
        <f t="shared" si="0"/>
        <v>12.321279554937412</v>
      </c>
    </row>
    <row r="11" spans="1:9">
      <c r="A11" s="19">
        <v>14</v>
      </c>
      <c r="B11" s="50">
        <v>10</v>
      </c>
      <c r="C11" s="10">
        <v>6</v>
      </c>
      <c r="D11">
        <f t="shared" si="0"/>
        <v>15.235048678720446</v>
      </c>
    </row>
    <row r="12" spans="1:9">
      <c r="A12" t="s">
        <v>43</v>
      </c>
      <c r="B12" s="54">
        <v>12</v>
      </c>
      <c r="C12" s="54">
        <v>6</v>
      </c>
      <c r="D12">
        <f t="shared" si="0"/>
        <v>16.305980528511821</v>
      </c>
    </row>
    <row r="16" spans="1:9">
      <c r="A16">
        <f>INTERCEPT(A7:A11,B7:B11)</f>
        <v>9.7941176470588225</v>
      </c>
      <c r="B16" t="s">
        <v>34</v>
      </c>
    </row>
    <row r="17" spans="1:10">
      <c r="A17">
        <f>SLOPE(A7:A11,B7:B11)</f>
        <v>0.44117647058823528</v>
      </c>
      <c r="B17" t="s">
        <v>11</v>
      </c>
    </row>
    <row r="18" spans="1:10">
      <c r="C18" t="s">
        <v>38</v>
      </c>
      <c r="H18" s="55" t="s">
        <v>47</v>
      </c>
      <c r="I18" s="55" t="s">
        <v>53</v>
      </c>
      <c r="J18" s="55"/>
    </row>
    <row r="19" spans="1:10">
      <c r="A19" t="s">
        <v>35</v>
      </c>
      <c r="G19" t="s">
        <v>48</v>
      </c>
      <c r="H19" s="55">
        <v>100</v>
      </c>
      <c r="I19" s="55"/>
      <c r="J19" s="55"/>
    </row>
    <row r="20" spans="1:10">
      <c r="B20">
        <v>1</v>
      </c>
      <c r="C20">
        <v>2</v>
      </c>
      <c r="D20" t="s">
        <v>37</v>
      </c>
      <c r="G20" t="s">
        <v>52</v>
      </c>
      <c r="H20" s="55">
        <v>110</v>
      </c>
      <c r="I20" s="55">
        <f>H19</f>
        <v>100</v>
      </c>
      <c r="J20" s="55"/>
    </row>
    <row r="21" spans="1:10">
      <c r="A21">
        <v>1</v>
      </c>
      <c r="B21" s="1">
        <f t="array" ref="B21:D25">LINEST(A7:A11,B7:C11,TRUE,TRUE)</f>
        <v>0.53546592489568867</v>
      </c>
      <c r="C21" s="2">
        <v>0.23643949930458968</v>
      </c>
      <c r="D21" s="3">
        <v>8.4617524339360202</v>
      </c>
      <c r="E21" t="s">
        <v>41</v>
      </c>
      <c r="G21" t="s">
        <v>49</v>
      </c>
      <c r="H21" s="55">
        <v>120</v>
      </c>
      <c r="I21" s="55">
        <f t="shared" ref="I21:I23" si="1">H20</f>
        <v>110</v>
      </c>
      <c r="J21" s="55"/>
    </row>
    <row r="22" spans="1:10">
      <c r="A22">
        <v>2</v>
      </c>
      <c r="B22" s="17">
        <v>0.50645734230968364</v>
      </c>
      <c r="C22" s="9">
        <v>0.26344946854078616</v>
      </c>
      <c r="D22" s="12">
        <v>1.6132919273308377</v>
      </c>
      <c r="E22" t="s">
        <v>42</v>
      </c>
      <c r="G22" t="s">
        <v>50</v>
      </c>
      <c r="H22" s="55">
        <v>150</v>
      </c>
      <c r="I22" s="55">
        <f t="shared" si="1"/>
        <v>120</v>
      </c>
      <c r="J22" s="55"/>
    </row>
    <row r="23" spans="1:10">
      <c r="A23">
        <v>3</v>
      </c>
      <c r="B23" s="17">
        <v>0.78303198887343528</v>
      </c>
      <c r="C23" s="9">
        <v>1.0415565542172081</v>
      </c>
      <c r="D23" s="12" t="e">
        <v>#N/A</v>
      </c>
      <c r="G23" t="s">
        <v>51</v>
      </c>
      <c r="H23" s="55">
        <v>140</v>
      </c>
      <c r="I23" s="55">
        <f t="shared" si="1"/>
        <v>150</v>
      </c>
      <c r="J23" s="55"/>
    </row>
    <row r="24" spans="1:10">
      <c r="A24">
        <v>4</v>
      </c>
      <c r="B24" s="17">
        <v>3.6089743589743577</v>
      </c>
      <c r="C24" s="9">
        <v>2</v>
      </c>
      <c r="D24" s="12" t="e">
        <v>#N/A</v>
      </c>
      <c r="G24" t="s">
        <v>54</v>
      </c>
      <c r="H24" s="55">
        <f>H23*H26+H27</f>
        <v>141.42857142857144</v>
      </c>
      <c r="I24" s="55"/>
      <c r="J24" s="55"/>
    </row>
    <row r="25" spans="1:10">
      <c r="A25">
        <v>5</v>
      </c>
      <c r="B25" s="19">
        <v>7.830319888734353</v>
      </c>
      <c r="C25" s="8">
        <v>2.1696801112656474</v>
      </c>
      <c r="D25" s="10" t="e">
        <v>#N/A</v>
      </c>
    </row>
    <row r="26" spans="1:10">
      <c r="G26" t="s">
        <v>31</v>
      </c>
      <c r="H26">
        <f>SLOPE(H20:H23,I20:I23)</f>
        <v>0.5714285714285714</v>
      </c>
    </row>
    <row r="27" spans="1:10">
      <c r="G27" t="s">
        <v>34</v>
      </c>
      <c r="H27">
        <f>INTERCEPT(H20:H23,I20:I23)</f>
        <v>61.428571428571431</v>
      </c>
    </row>
    <row r="35" spans="2:7">
      <c r="B35" t="s">
        <v>58</v>
      </c>
    </row>
    <row r="36" spans="2:7" ht="15.75" thickBot="1"/>
    <row r="37" spans="2:7">
      <c r="B37" s="61" t="s">
        <v>59</v>
      </c>
      <c r="C37" s="61"/>
    </row>
    <row r="38" spans="2:7">
      <c r="B38" s="58" t="s">
        <v>60</v>
      </c>
      <c r="C38" s="58">
        <v>0.83045479853739979</v>
      </c>
    </row>
    <row r="39" spans="2:7">
      <c r="B39" s="62" t="s">
        <v>61</v>
      </c>
      <c r="C39" s="63">
        <v>0.68965517241379326</v>
      </c>
      <c r="D39" t="s">
        <v>84</v>
      </c>
      <c r="E39" t="s">
        <v>85</v>
      </c>
      <c r="G39">
        <f>SLOPE(A7:A11,B7:B11)</f>
        <v>0.44117647058823528</v>
      </c>
    </row>
    <row r="40" spans="2:7">
      <c r="B40" s="62" t="s">
        <v>62</v>
      </c>
      <c r="C40" s="62">
        <v>0.53448275862068995</v>
      </c>
    </row>
    <row r="41" spans="2:7">
      <c r="B41" s="58" t="s">
        <v>63</v>
      </c>
      <c r="C41" s="58">
        <v>0.88083032927205507</v>
      </c>
    </row>
    <row r="42" spans="2:7" ht="15.75" thickBot="1">
      <c r="B42" s="59" t="s">
        <v>64</v>
      </c>
      <c r="C42" s="59">
        <v>4</v>
      </c>
    </row>
    <row r="44" spans="2:7" ht="15.75" thickBot="1">
      <c r="B44" t="s">
        <v>65</v>
      </c>
    </row>
    <row r="45" spans="2:7">
      <c r="B45" s="60"/>
      <c r="C45" s="60" t="s">
        <v>69</v>
      </c>
      <c r="D45" s="60" t="s">
        <v>14</v>
      </c>
      <c r="E45" s="60" t="s">
        <v>70</v>
      </c>
      <c r="F45" s="60" t="s">
        <v>13</v>
      </c>
      <c r="G45" s="60" t="s">
        <v>71</v>
      </c>
    </row>
    <row r="46" spans="2:7">
      <c r="B46" s="58" t="s">
        <v>66</v>
      </c>
      <c r="C46" s="58">
        <v>1</v>
      </c>
      <c r="D46" s="58">
        <v>3.4482758620689662</v>
      </c>
      <c r="E46" s="58">
        <v>3.4482758620689662</v>
      </c>
      <c r="F46" s="58">
        <v>4.4444444444444473</v>
      </c>
      <c r="G46" s="58">
        <v>0.16954520143906343</v>
      </c>
    </row>
    <row r="47" spans="2:7">
      <c r="B47" s="58" t="s">
        <v>67</v>
      </c>
      <c r="C47" s="58">
        <v>2</v>
      </c>
      <c r="D47" s="58">
        <v>1.5517241379310338</v>
      </c>
      <c r="E47" s="58">
        <v>0.7758620689655169</v>
      </c>
      <c r="F47" s="58"/>
      <c r="G47" s="58"/>
    </row>
    <row r="48" spans="2:7" ht="15.75" thickBot="1">
      <c r="B48" s="59" t="s">
        <v>68</v>
      </c>
      <c r="C48" s="59">
        <v>3</v>
      </c>
      <c r="D48" s="59">
        <v>5</v>
      </c>
      <c r="E48" s="59"/>
      <c r="F48" s="59"/>
      <c r="G48" s="59"/>
    </row>
    <row r="49" spans="2:10" ht="15.75" thickBot="1"/>
    <row r="50" spans="2:10">
      <c r="B50" s="60"/>
      <c r="C50" s="60" t="s">
        <v>72</v>
      </c>
      <c r="D50" s="60" t="s">
        <v>63</v>
      </c>
      <c r="E50" s="60" t="s">
        <v>73</v>
      </c>
      <c r="F50" s="60" t="s">
        <v>74</v>
      </c>
      <c r="G50" s="60" t="s">
        <v>75</v>
      </c>
      <c r="H50" s="60" t="s">
        <v>76</v>
      </c>
      <c r="I50" s="60" t="s">
        <v>81</v>
      </c>
      <c r="J50" s="60" t="s">
        <v>82</v>
      </c>
    </row>
    <row r="51" spans="2:10">
      <c r="B51" s="58" t="s">
        <v>29</v>
      </c>
      <c r="C51" s="62">
        <v>10.603448275862069</v>
      </c>
      <c r="D51" s="58">
        <v>1.0016336240191592</v>
      </c>
      <c r="E51" s="58">
        <v>10.58615447963361</v>
      </c>
      <c r="F51" s="58">
        <v>8.8055720882909746E-3</v>
      </c>
      <c r="G51" s="58">
        <v>6.2937666294724419</v>
      </c>
      <c r="H51" s="58">
        <v>14.913129922251697</v>
      </c>
      <c r="I51" s="58">
        <v>8.3177898716634822</v>
      </c>
      <c r="J51" s="58">
        <v>12.889106680060657</v>
      </c>
    </row>
    <row r="52" spans="2:10" ht="15.75" thickBot="1">
      <c r="B52" s="59">
        <v>3</v>
      </c>
      <c r="C52" s="64">
        <v>0.34482758620689646</v>
      </c>
      <c r="D52" s="59">
        <v>0.1635660858707782</v>
      </c>
      <c r="E52" s="59">
        <v>2.1081851067789197</v>
      </c>
      <c r="F52" s="59">
        <v>0.16954520143906368</v>
      </c>
      <c r="G52" s="59">
        <v>-0.35894047962592435</v>
      </c>
      <c r="H52" s="59">
        <v>1.0485956520397173</v>
      </c>
      <c r="I52" s="59">
        <v>-2.8418868232477523E-2</v>
      </c>
      <c r="J52" s="59">
        <v>0.71807404064627045</v>
      </c>
    </row>
    <row r="55" spans="2:10">
      <c r="D55" s="37" t="s">
        <v>83</v>
      </c>
    </row>
    <row r="56" spans="2:10">
      <c r="B56" t="s">
        <v>77</v>
      </c>
    </row>
    <row r="57" spans="2:10" ht="15.75" thickBot="1"/>
    <row r="58" spans="2:10">
      <c r="B58" s="60" t="s">
        <v>78</v>
      </c>
      <c r="C58" s="60" t="s">
        <v>79</v>
      </c>
      <c r="D58" s="60" t="s">
        <v>80</v>
      </c>
    </row>
    <row r="59" spans="2:10">
      <c r="B59" s="58">
        <v>1</v>
      </c>
      <c r="C59" s="58">
        <v>11.982758620689655</v>
      </c>
      <c r="D59" s="58">
        <v>-0.9827586206896548</v>
      </c>
    </row>
    <row r="60" spans="2:10">
      <c r="B60" s="58">
        <v>2</v>
      </c>
      <c r="C60" s="58">
        <v>11.637931034482758</v>
      </c>
      <c r="D60" s="58">
        <v>0.36206896551724199</v>
      </c>
    </row>
    <row r="61" spans="2:10">
      <c r="B61" s="58">
        <v>3</v>
      </c>
      <c r="C61" s="58">
        <v>12.327586206896552</v>
      </c>
      <c r="D61" s="58">
        <v>0.6724137931034484</v>
      </c>
    </row>
    <row r="62" spans="2:10" ht="15.75" thickBot="1">
      <c r="B62" s="59">
        <v>4</v>
      </c>
      <c r="C62" s="59">
        <v>14.051724137931034</v>
      </c>
      <c r="D62" s="59">
        <v>-5.1724137931033809E-2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J44"/>
  <sheetViews>
    <sheetView workbookViewId="0">
      <selection activeCell="L12" sqref="L12"/>
    </sheetView>
  </sheetViews>
  <sheetFormatPr defaultRowHeight="15"/>
  <sheetData>
    <row r="1" spans="1:10">
      <c r="A1" s="57" t="s">
        <v>57</v>
      </c>
    </row>
    <row r="2" spans="1:10">
      <c r="A2" t="s">
        <v>55</v>
      </c>
    </row>
    <row r="3" spans="1:10">
      <c r="A3" s="74" t="s">
        <v>56</v>
      </c>
    </row>
    <row r="4" spans="1:10">
      <c r="A4" t="s">
        <v>99</v>
      </c>
    </row>
    <row r="5" spans="1:10">
      <c r="A5" t="s">
        <v>100</v>
      </c>
    </row>
    <row r="7" spans="1:10">
      <c r="A7" t="s">
        <v>101</v>
      </c>
      <c r="F7" t="s">
        <v>102</v>
      </c>
      <c r="G7" t="s">
        <v>103</v>
      </c>
      <c r="I7" t="s">
        <v>104</v>
      </c>
      <c r="J7" t="s">
        <v>105</v>
      </c>
    </row>
    <row r="12" spans="1:10">
      <c r="A12" t="s">
        <v>111</v>
      </c>
    </row>
    <row r="13" spans="1:10">
      <c r="A13" t="s">
        <v>110</v>
      </c>
    </row>
    <row r="14" spans="1:10">
      <c r="A14" t="s">
        <v>109</v>
      </c>
    </row>
    <row r="15" spans="1:10">
      <c r="A15" t="s">
        <v>106</v>
      </c>
    </row>
    <row r="17" spans="1:5">
      <c r="A17" t="s">
        <v>107</v>
      </c>
    </row>
    <row r="18" spans="1:5">
      <c r="A18" t="s">
        <v>108</v>
      </c>
    </row>
    <row r="32" spans="1:5">
      <c r="C32">
        <v>1</v>
      </c>
      <c r="D32">
        <v>2</v>
      </c>
      <c r="E32">
        <v>3</v>
      </c>
    </row>
    <row r="33" spans="1:6">
      <c r="C33" t="s">
        <v>103</v>
      </c>
      <c r="D33" t="s">
        <v>105</v>
      </c>
      <c r="E33" t="s">
        <v>102</v>
      </c>
    </row>
    <row r="34" spans="1:6">
      <c r="A34" t="s">
        <v>122</v>
      </c>
      <c r="B34" s="75" t="s">
        <v>121</v>
      </c>
      <c r="C34" s="75" t="s">
        <v>120</v>
      </c>
      <c r="D34" s="75" t="s">
        <v>119</v>
      </c>
      <c r="E34" s="75" t="s">
        <v>118</v>
      </c>
      <c r="F34" s="75"/>
    </row>
    <row r="35" spans="1:6">
      <c r="A35" t="s">
        <v>117</v>
      </c>
      <c r="B35" s="75">
        <v>13.79</v>
      </c>
      <c r="C35" s="75">
        <v>0.26340000000000002</v>
      </c>
      <c r="D35" s="75" t="s">
        <v>116</v>
      </c>
      <c r="E35" s="75">
        <v>0.151</v>
      </c>
      <c r="F35" s="75"/>
    </row>
    <row r="36" spans="1:6">
      <c r="A36" t="s">
        <v>115</v>
      </c>
      <c r="B36" s="75">
        <v>8.81</v>
      </c>
      <c r="C36" s="75">
        <v>0.16520000000000001</v>
      </c>
      <c r="D36" s="75">
        <v>0.67</v>
      </c>
      <c r="E36" s="75">
        <v>-5.5E-2</v>
      </c>
      <c r="F36" s="75"/>
    </row>
    <row r="37" spans="1:6">
      <c r="A37" t="s">
        <v>114</v>
      </c>
      <c r="B37" s="75">
        <v>5.0599999999999996</v>
      </c>
      <c r="C37" s="75">
        <v>4.5499999999999999E-2</v>
      </c>
      <c r="D37" s="75">
        <v>1.75</v>
      </c>
      <c r="E37" s="75">
        <v>-2.8000000000000001E-2</v>
      </c>
      <c r="F37" s="75"/>
    </row>
    <row r="38" spans="1:6">
      <c r="B38" s="75"/>
      <c r="C38" s="75"/>
      <c r="D38" s="75"/>
      <c r="E38" s="75"/>
      <c r="F38" s="75"/>
    </row>
    <row r="39" spans="1:6">
      <c r="B39" s="75"/>
      <c r="C39" s="75"/>
      <c r="D39" s="75"/>
      <c r="E39" s="75"/>
      <c r="F39" s="75"/>
    </row>
    <row r="40" spans="1:6">
      <c r="B40" s="75"/>
      <c r="C40" s="75"/>
      <c r="D40" s="75"/>
      <c r="E40" s="75"/>
    </row>
    <row r="42" spans="1:6">
      <c r="B42" t="s">
        <v>113</v>
      </c>
    </row>
    <row r="44" spans="1:6">
      <c r="B44" t="s">
        <v>112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N33"/>
  <sheetViews>
    <sheetView tabSelected="1" topLeftCell="C1" workbookViewId="0">
      <selection activeCell="J14" sqref="J14"/>
    </sheetView>
  </sheetViews>
  <sheetFormatPr defaultRowHeight="15"/>
  <cols>
    <col min="2" max="2" width="45.85546875" customWidth="1"/>
    <col min="3" max="3" width="13.140625" customWidth="1"/>
    <col min="4" max="4" width="9" customWidth="1"/>
    <col min="5" max="5" width="16.85546875" customWidth="1"/>
    <col min="6" max="6" width="12.85546875" customWidth="1"/>
    <col min="11" max="11" width="26.28515625" customWidth="1"/>
    <col min="12" max="12" width="27.7109375" bestFit="1" customWidth="1"/>
  </cols>
  <sheetData>
    <row r="1" spans="1:14">
      <c r="A1">
        <v>1</v>
      </c>
      <c r="B1" t="s">
        <v>123</v>
      </c>
      <c r="C1" s="90" t="str">
        <f>D1&amp;" Projected"</f>
        <v>P/E Projected</v>
      </c>
      <c r="D1" s="91" t="s">
        <v>126</v>
      </c>
      <c r="E1" t="s">
        <v>124</v>
      </c>
      <c r="F1" t="s">
        <v>125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N1" t="str">
        <f>F1</f>
        <v>Market Cap</v>
      </c>
    </row>
    <row r="2" spans="1:14">
      <c r="A2">
        <v>2</v>
      </c>
      <c r="B2" t="s">
        <v>133</v>
      </c>
      <c r="C2" s="92">
        <f ca="1">MRegression!A5</f>
        <v>42.195495681161262</v>
      </c>
      <c r="D2" s="93">
        <v>32.700000000000003</v>
      </c>
      <c r="E2">
        <v>-0.83099999999999996</v>
      </c>
      <c r="F2" s="43">
        <f>LOG(N2,10)</f>
        <v>2.7167460199658002</v>
      </c>
      <c r="G2">
        <v>16.899999999999999</v>
      </c>
      <c r="H2">
        <v>1.0900000000000001</v>
      </c>
      <c r="I2">
        <v>50.131</v>
      </c>
      <c r="J2">
        <v>32.96</v>
      </c>
      <c r="K2">
        <v>16.100000000000001</v>
      </c>
      <c r="L2">
        <v>98.9</v>
      </c>
      <c r="N2">
        <v>520.89</v>
      </c>
    </row>
    <row r="3" spans="1:14">
      <c r="A3">
        <v>3</v>
      </c>
      <c r="B3" t="s">
        <v>134</v>
      </c>
      <c r="C3" s="92">
        <f ca="1">MRegression!A6</f>
        <v>18.426247586632066</v>
      </c>
      <c r="D3" s="93">
        <v>18.600000000000001</v>
      </c>
      <c r="E3">
        <v>0.32</v>
      </c>
      <c r="F3" s="43">
        <f t="shared" ref="F3:F30" si="0">LOG(N3,10)</f>
        <v>3.7769611018878386</v>
      </c>
      <c r="G3">
        <v>23.3</v>
      </c>
      <c r="H3">
        <v>2.8220000000000001</v>
      </c>
      <c r="I3">
        <v>43.878</v>
      </c>
      <c r="J3">
        <v>7.35</v>
      </c>
      <c r="K3">
        <v>17.3</v>
      </c>
      <c r="L3">
        <v>28.6</v>
      </c>
      <c r="N3">
        <v>5983.58</v>
      </c>
    </row>
    <row r="4" spans="1:14">
      <c r="A4">
        <v>4</v>
      </c>
      <c r="B4" t="s">
        <v>135</v>
      </c>
      <c r="C4" s="92">
        <f ca="1">MRegression!A7</f>
        <v>40.147702579359361</v>
      </c>
      <c r="D4" s="93">
        <v>49.1</v>
      </c>
      <c r="E4">
        <v>0.40899999999999997</v>
      </c>
      <c r="F4" s="43">
        <f t="shared" si="0"/>
        <v>3.7939027839895854</v>
      </c>
      <c r="G4">
        <v>6.7</v>
      </c>
      <c r="H4">
        <v>1.383</v>
      </c>
      <c r="I4">
        <v>47.604999999999997</v>
      </c>
      <c r="J4">
        <v>5.49</v>
      </c>
      <c r="K4">
        <v>4.4000000000000004</v>
      </c>
      <c r="L4">
        <v>91.2</v>
      </c>
      <c r="N4">
        <v>6221.61</v>
      </c>
    </row>
    <row r="5" spans="1:14">
      <c r="A5">
        <v>5</v>
      </c>
      <c r="B5" t="s">
        <v>136</v>
      </c>
      <c r="C5" s="92">
        <f ca="1">MRegression!A8</f>
        <v>34.538412270738426</v>
      </c>
      <c r="D5" s="93">
        <v>47.6</v>
      </c>
      <c r="E5">
        <v>-0.34300000000000003</v>
      </c>
      <c r="F5" s="43">
        <f t="shared" si="0"/>
        <v>3.0393189209114189</v>
      </c>
      <c r="G5">
        <v>6</v>
      </c>
      <c r="H5">
        <v>3.1779999999999999</v>
      </c>
      <c r="I5">
        <v>73.75</v>
      </c>
      <c r="J5">
        <v>4.2</v>
      </c>
      <c r="K5">
        <v>2.5</v>
      </c>
      <c r="L5">
        <v>-21.3</v>
      </c>
      <c r="N5">
        <v>1094.76</v>
      </c>
    </row>
    <row r="6" spans="1:14">
      <c r="A6">
        <v>6</v>
      </c>
      <c r="B6" t="s">
        <v>137</v>
      </c>
      <c r="C6" s="92">
        <f ca="1">MRegression!A35</f>
        <v>52.963728591908513</v>
      </c>
      <c r="D6" s="93">
        <v>27.4</v>
      </c>
      <c r="E6">
        <v>-0.67800000000000005</v>
      </c>
      <c r="F6" s="43">
        <f>LOG(N6,10)</f>
        <v>1.6694098672877826</v>
      </c>
      <c r="G6">
        <v>16.3</v>
      </c>
      <c r="H6">
        <v>1.8680000000000001</v>
      </c>
      <c r="I6">
        <v>103.486</v>
      </c>
      <c r="J6">
        <v>-4.76</v>
      </c>
      <c r="K6">
        <v>7.3</v>
      </c>
      <c r="L6">
        <v>-82.9</v>
      </c>
      <c r="N6">
        <v>46.71</v>
      </c>
    </row>
    <row r="7" spans="1:14">
      <c r="A7">
        <v>7</v>
      </c>
      <c r="B7" t="s">
        <v>138</v>
      </c>
      <c r="C7" s="92">
        <f ca="1">MRegression!A10</f>
        <v>33.715832334846404</v>
      </c>
      <c r="D7" s="93">
        <v>24.3</v>
      </c>
      <c r="E7">
        <v>-2.33</v>
      </c>
      <c r="F7" s="43">
        <f t="shared" si="0"/>
        <v>3.0026799967838054</v>
      </c>
      <c r="G7">
        <v>12.3</v>
      </c>
      <c r="H7">
        <v>1.794</v>
      </c>
      <c r="I7">
        <v>31.420999999999999</v>
      </c>
      <c r="J7">
        <v>5.28</v>
      </c>
      <c r="K7">
        <v>8.8000000000000007</v>
      </c>
      <c r="L7">
        <v>19</v>
      </c>
      <c r="N7">
        <v>1006.19</v>
      </c>
    </row>
    <row r="8" spans="1:14">
      <c r="A8">
        <v>8</v>
      </c>
      <c r="B8" t="s">
        <v>139</v>
      </c>
      <c r="C8" s="92">
        <f ca="1">MRegression!A11</f>
        <v>34.310877735344164</v>
      </c>
      <c r="D8" s="93">
        <v>18.100000000000001</v>
      </c>
      <c r="E8">
        <v>-2.3E-2</v>
      </c>
      <c r="F8" s="43">
        <f t="shared" si="0"/>
        <v>2.3732615061616817</v>
      </c>
      <c r="G8">
        <v>8.4</v>
      </c>
      <c r="H8">
        <v>3.254</v>
      </c>
      <c r="I8">
        <v>112.07599999999999</v>
      </c>
      <c r="J8">
        <v>12.25</v>
      </c>
      <c r="K8">
        <v>5.0999999999999996</v>
      </c>
      <c r="L8">
        <v>1789</v>
      </c>
      <c r="N8">
        <v>236.19</v>
      </c>
    </row>
    <row r="9" spans="1:14">
      <c r="A9">
        <v>9</v>
      </c>
      <c r="B9" t="s">
        <v>140</v>
      </c>
      <c r="C9" s="92">
        <f ca="1">MRegression!A12</f>
        <v>27.001729772896994</v>
      </c>
      <c r="D9" s="93">
        <v>10.6</v>
      </c>
      <c r="E9">
        <v>-0.85599999999999998</v>
      </c>
      <c r="F9" s="43">
        <f t="shared" si="0"/>
        <v>1.7682680164515479</v>
      </c>
      <c r="G9">
        <v>19</v>
      </c>
      <c r="H9">
        <v>2</v>
      </c>
      <c r="I9">
        <v>82.049000000000007</v>
      </c>
      <c r="J9">
        <v>-8.35</v>
      </c>
      <c r="K9">
        <v>4.5999999999999996</v>
      </c>
      <c r="L9">
        <v>7.5</v>
      </c>
      <c r="N9">
        <v>58.65</v>
      </c>
    </row>
    <row r="10" spans="1:14">
      <c r="A10">
        <v>10</v>
      </c>
      <c r="B10" t="s">
        <v>141</v>
      </c>
      <c r="C10" s="92">
        <f ca="1">MRegression!A13</f>
        <v>36.54815795433376</v>
      </c>
      <c r="D10" s="93">
        <v>22.5</v>
      </c>
      <c r="E10">
        <v>3.4860000000000002</v>
      </c>
      <c r="F10" s="43">
        <v>4.5</v>
      </c>
      <c r="G10">
        <v>7.4</v>
      </c>
      <c r="H10">
        <v>1.431</v>
      </c>
      <c r="I10">
        <v>29.521999999999998</v>
      </c>
      <c r="J10">
        <v>2.02</v>
      </c>
      <c r="K10">
        <v>5.9</v>
      </c>
      <c r="L10">
        <v>82.5</v>
      </c>
      <c r="N10">
        <v>277249.67</v>
      </c>
    </row>
    <row r="11" spans="1:14">
      <c r="A11">
        <v>11</v>
      </c>
      <c r="B11" t="s">
        <v>142</v>
      </c>
      <c r="C11" s="92">
        <f ca="1">MRegression!A14</f>
        <v>38.500095072621534</v>
      </c>
      <c r="D11" s="93">
        <v>66.8</v>
      </c>
      <c r="E11">
        <v>0.26700000000000002</v>
      </c>
      <c r="F11" s="43">
        <f t="shared" si="0"/>
        <v>1.6474807731736756</v>
      </c>
      <c r="G11">
        <v>16.8</v>
      </c>
      <c r="H11">
        <v>2.9910000000000001</v>
      </c>
      <c r="I11">
        <v>65.185000000000002</v>
      </c>
      <c r="J11">
        <v>22.97</v>
      </c>
      <c r="K11">
        <v>7.9</v>
      </c>
      <c r="L11">
        <v>101.2</v>
      </c>
      <c r="N11">
        <v>44.41</v>
      </c>
    </row>
    <row r="12" spans="1:14">
      <c r="A12">
        <v>12</v>
      </c>
      <c r="B12" t="s">
        <v>143</v>
      </c>
      <c r="C12" s="92">
        <f ca="1">MRegression!A15</f>
        <v>28.834536083071811</v>
      </c>
      <c r="D12" s="93">
        <v>41.6</v>
      </c>
      <c r="E12">
        <v>0.127</v>
      </c>
      <c r="F12" s="43">
        <f t="shared" si="0"/>
        <v>3.5408310642373224</v>
      </c>
      <c r="G12">
        <v>15.7</v>
      </c>
      <c r="H12">
        <v>0.97499999999999998</v>
      </c>
      <c r="I12">
        <v>26.202999999999999</v>
      </c>
      <c r="J12">
        <v>8.98</v>
      </c>
      <c r="K12">
        <v>17.3</v>
      </c>
      <c r="L12">
        <v>75.900000000000006</v>
      </c>
      <c r="N12">
        <v>3474.01</v>
      </c>
    </row>
    <row r="13" spans="1:14">
      <c r="A13">
        <v>13</v>
      </c>
      <c r="B13" t="s">
        <v>144</v>
      </c>
      <c r="C13" s="92">
        <f ca="1">MRegression!A16</f>
        <v>29.477071715053135</v>
      </c>
      <c r="D13" s="93">
        <v>27.2</v>
      </c>
      <c r="E13">
        <v>-1.9E-2</v>
      </c>
      <c r="F13" s="43">
        <v>4.5</v>
      </c>
      <c r="G13">
        <v>7.9</v>
      </c>
      <c r="H13">
        <v>3.8410000000000002</v>
      </c>
      <c r="I13">
        <v>11.54</v>
      </c>
      <c r="J13">
        <v>5.2</v>
      </c>
      <c r="K13">
        <v>6.5</v>
      </c>
      <c r="L13">
        <v>-186.7</v>
      </c>
      <c r="N13">
        <v>741195.77</v>
      </c>
    </row>
    <row r="14" spans="1:14">
      <c r="A14">
        <v>14</v>
      </c>
      <c r="B14" t="s">
        <v>145</v>
      </c>
      <c r="C14" s="92">
        <f ca="1">MRegression!A17</f>
        <v>50.310905164025691</v>
      </c>
      <c r="D14" s="93">
        <v>74</v>
      </c>
      <c r="E14">
        <v>-0.30299999999999999</v>
      </c>
      <c r="F14" s="43">
        <f t="shared" si="0"/>
        <v>1.7531999141994159</v>
      </c>
      <c r="G14">
        <v>6.9</v>
      </c>
      <c r="H14">
        <v>0.433</v>
      </c>
      <c r="I14">
        <v>61.848999999999997</v>
      </c>
      <c r="J14">
        <v>18.489999999999998</v>
      </c>
      <c r="K14">
        <v>5.6</v>
      </c>
      <c r="L14">
        <v>383.2</v>
      </c>
      <c r="N14">
        <v>56.65</v>
      </c>
    </row>
    <row r="15" spans="1:14">
      <c r="A15">
        <v>15</v>
      </c>
      <c r="B15" t="s">
        <v>146</v>
      </c>
      <c r="C15" s="92">
        <f ca="1">MRegression!A18</f>
        <v>14.899029579351946</v>
      </c>
      <c r="D15" s="93">
        <v>4.5999999999999996</v>
      </c>
      <c r="E15">
        <v>-1.4490000000000001</v>
      </c>
      <c r="F15" s="43">
        <f t="shared" si="0"/>
        <v>1.2005769267548481</v>
      </c>
      <c r="G15">
        <v>23.3</v>
      </c>
      <c r="H15">
        <v>5.0810000000000004</v>
      </c>
      <c r="I15">
        <v>112</v>
      </c>
      <c r="J15">
        <v>1.26</v>
      </c>
      <c r="K15">
        <v>8.6999999999999993</v>
      </c>
      <c r="L15">
        <v>9.6999999999999993</v>
      </c>
      <c r="N15">
        <v>15.87</v>
      </c>
    </row>
    <row r="16" spans="1:14">
      <c r="A16">
        <v>16</v>
      </c>
      <c r="B16" t="s">
        <v>147</v>
      </c>
      <c r="C16" s="92">
        <f ca="1">MRegression!A19</f>
        <v>33.269097461036132</v>
      </c>
      <c r="D16" s="93">
        <v>24.7</v>
      </c>
      <c r="E16">
        <v>4.0000000000000001E-3</v>
      </c>
      <c r="F16" s="43">
        <f t="shared" si="0"/>
        <v>4.5216577487453833</v>
      </c>
      <c r="G16">
        <v>7.9</v>
      </c>
      <c r="H16">
        <v>1.7090000000000001</v>
      </c>
      <c r="I16">
        <v>19.646000000000001</v>
      </c>
      <c r="J16">
        <v>5.04</v>
      </c>
      <c r="K16">
        <v>9.9</v>
      </c>
      <c r="L16">
        <v>35</v>
      </c>
      <c r="N16">
        <v>33239.75</v>
      </c>
    </row>
    <row r="17" spans="1:14">
      <c r="A17">
        <v>17</v>
      </c>
      <c r="B17" t="s">
        <v>148</v>
      </c>
      <c r="C17" s="92">
        <f ca="1">MRegression!A20</f>
        <v>19.473771255136555</v>
      </c>
      <c r="D17" s="93">
        <v>14.4</v>
      </c>
      <c r="E17">
        <v>-0.80400000000000005</v>
      </c>
      <c r="F17" s="43">
        <f t="shared" si="0"/>
        <v>2.1608585306799912</v>
      </c>
      <c r="G17">
        <v>14.5</v>
      </c>
      <c r="H17">
        <v>3.085</v>
      </c>
      <c r="I17">
        <v>26.344000000000001</v>
      </c>
      <c r="J17">
        <v>3.68</v>
      </c>
      <c r="K17">
        <v>17.3</v>
      </c>
      <c r="L17">
        <v>71.400000000000006</v>
      </c>
      <c r="N17">
        <v>144.83000000000001</v>
      </c>
    </row>
    <row r="18" spans="1:14">
      <c r="A18">
        <v>18</v>
      </c>
      <c r="B18" t="s">
        <v>149</v>
      </c>
      <c r="C18" s="92">
        <f ca="1">MRegression!A21</f>
        <v>27.505420760863029</v>
      </c>
      <c r="D18" s="93">
        <v>22.9</v>
      </c>
      <c r="E18">
        <v>0.22</v>
      </c>
      <c r="F18" s="43">
        <f t="shared" si="0"/>
        <v>1.3868555291847242</v>
      </c>
      <c r="G18">
        <v>9.9</v>
      </c>
      <c r="H18">
        <v>2.2999999999999998</v>
      </c>
      <c r="I18">
        <v>63.185000000000002</v>
      </c>
      <c r="J18">
        <v>-16.57</v>
      </c>
      <c r="K18">
        <v>1.9</v>
      </c>
      <c r="L18">
        <v>29.3</v>
      </c>
      <c r="N18">
        <v>24.37</v>
      </c>
    </row>
    <row r="19" spans="1:14">
      <c r="A19">
        <v>19</v>
      </c>
      <c r="B19" t="s">
        <v>150</v>
      </c>
      <c r="C19" s="92">
        <f ca="1">MRegression!A22</f>
        <v>40.912808501050137</v>
      </c>
      <c r="D19" s="93">
        <v>25.8</v>
      </c>
      <c r="E19">
        <v>-1.2450000000000001</v>
      </c>
      <c r="F19" s="43">
        <f t="shared" si="0"/>
        <v>1.2938043599193367</v>
      </c>
      <c r="G19">
        <v>6.6</v>
      </c>
      <c r="H19">
        <v>1.849</v>
      </c>
      <c r="I19">
        <v>67.024000000000001</v>
      </c>
      <c r="J19">
        <v>1.92</v>
      </c>
      <c r="K19">
        <v>1.1000000000000001</v>
      </c>
      <c r="L19">
        <v>41.4</v>
      </c>
      <c r="N19">
        <v>19.670000000000002</v>
      </c>
    </row>
    <row r="20" spans="1:14">
      <c r="A20">
        <v>20</v>
      </c>
      <c r="B20" t="s">
        <v>151</v>
      </c>
      <c r="C20" s="92">
        <f ca="1">MRegression!A23</f>
        <v>45.238828951986626</v>
      </c>
      <c r="D20" s="93">
        <v>60.1</v>
      </c>
      <c r="E20">
        <v>-1.4379999999999999</v>
      </c>
      <c r="F20" s="43">
        <f t="shared" si="0"/>
        <v>0.66838591669000014</v>
      </c>
      <c r="G20">
        <v>3.2</v>
      </c>
      <c r="H20">
        <v>1.1519999999999999</v>
      </c>
      <c r="I20">
        <v>26.568000000000001</v>
      </c>
      <c r="J20">
        <v>3.13</v>
      </c>
      <c r="K20">
        <v>2.8</v>
      </c>
      <c r="L20">
        <v>20</v>
      </c>
      <c r="N20">
        <v>4.66</v>
      </c>
    </row>
    <row r="21" spans="1:14">
      <c r="A21">
        <v>21</v>
      </c>
      <c r="B21" t="s">
        <v>152</v>
      </c>
      <c r="C21" s="92">
        <f ca="1">MRegression!A24</f>
        <v>34.149110085132861</v>
      </c>
      <c r="D21" s="93">
        <v>30.2</v>
      </c>
      <c r="E21">
        <v>-0.53400000000000003</v>
      </c>
      <c r="F21" s="43">
        <f t="shared" si="0"/>
        <v>2.0473138158153881</v>
      </c>
      <c r="G21">
        <v>11.1</v>
      </c>
      <c r="H21">
        <v>1.268</v>
      </c>
      <c r="I21">
        <v>105.297</v>
      </c>
      <c r="J21">
        <v>6.74</v>
      </c>
      <c r="K21">
        <v>9.1</v>
      </c>
      <c r="L21">
        <v>-382.4</v>
      </c>
      <c r="N21">
        <v>111.51</v>
      </c>
    </row>
    <row r="22" spans="1:14">
      <c r="A22">
        <v>22</v>
      </c>
      <c r="B22" t="s">
        <v>153</v>
      </c>
      <c r="C22" s="92">
        <f ca="1">MRegression!A25</f>
        <v>34.505578707145013</v>
      </c>
      <c r="D22" s="93">
        <v>25.9</v>
      </c>
      <c r="E22">
        <v>-2.3759999999999999</v>
      </c>
      <c r="F22" s="43">
        <f t="shared" si="0"/>
        <v>1.63978521298682</v>
      </c>
      <c r="G22">
        <v>10.9</v>
      </c>
      <c r="H22">
        <v>2.778</v>
      </c>
      <c r="I22">
        <v>34.716000000000001</v>
      </c>
      <c r="J22">
        <v>13.96</v>
      </c>
      <c r="K22">
        <v>10.3</v>
      </c>
      <c r="L22">
        <v>18.899999999999999</v>
      </c>
      <c r="N22">
        <v>43.63</v>
      </c>
    </row>
    <row r="23" spans="1:14">
      <c r="A23">
        <v>23</v>
      </c>
      <c r="B23" t="s">
        <v>154</v>
      </c>
      <c r="C23" s="92">
        <f ca="1">MRegression!A26</f>
        <v>31.374853654444461</v>
      </c>
      <c r="D23" s="93">
        <v>33.200000000000003</v>
      </c>
      <c r="E23">
        <v>-0.36499999999999999</v>
      </c>
      <c r="F23" s="43">
        <f t="shared" si="0"/>
        <v>3.7980502275653722</v>
      </c>
      <c r="G23">
        <v>8.6</v>
      </c>
      <c r="H23">
        <v>3.3119999999999998</v>
      </c>
      <c r="I23">
        <v>24.498999999999999</v>
      </c>
      <c r="J23">
        <v>4.76</v>
      </c>
      <c r="K23">
        <v>6.1</v>
      </c>
      <c r="L23">
        <v>58.2</v>
      </c>
      <c r="N23">
        <v>6281.31</v>
      </c>
    </row>
    <row r="24" spans="1:14">
      <c r="A24">
        <v>24</v>
      </c>
      <c r="B24" t="s">
        <v>155</v>
      </c>
      <c r="C24" s="92">
        <f ca="1">MRegression!A27</f>
        <v>27.381171003732518</v>
      </c>
      <c r="D24" s="93">
        <v>25.1</v>
      </c>
      <c r="E24">
        <v>-0.78100000000000003</v>
      </c>
      <c r="F24" s="43">
        <f t="shared" si="0"/>
        <v>2.2785935682411336</v>
      </c>
      <c r="G24">
        <v>11.4</v>
      </c>
      <c r="H24">
        <v>2.1520000000000001</v>
      </c>
      <c r="I24">
        <v>45.140999999999998</v>
      </c>
      <c r="J24">
        <v>3.6</v>
      </c>
      <c r="K24">
        <v>12.9</v>
      </c>
      <c r="L24">
        <v>-69.2</v>
      </c>
      <c r="N24">
        <v>189.93</v>
      </c>
    </row>
    <row r="25" spans="1:14">
      <c r="C25" s="94">
        <f ca="1">MRegression!A36</f>
        <v>52.963728591908513</v>
      </c>
      <c r="D25" s="95">
        <v>15.7</v>
      </c>
      <c r="E25">
        <v>0.224</v>
      </c>
      <c r="F25" s="43">
        <v>4.5</v>
      </c>
      <c r="G25">
        <v>23</v>
      </c>
      <c r="H25">
        <v>1.91</v>
      </c>
      <c r="I25">
        <v>103.312</v>
      </c>
      <c r="J25">
        <v>-33.89</v>
      </c>
      <c r="K25">
        <v>11.8</v>
      </c>
      <c r="L25">
        <v>30.8</v>
      </c>
      <c r="N25">
        <v>139854.95000000001</v>
      </c>
    </row>
    <row r="26" spans="1:14">
      <c r="A26">
        <v>26</v>
      </c>
      <c r="B26" t="s">
        <v>156</v>
      </c>
      <c r="C26" s="92">
        <f ca="1">MRegression!A29</f>
        <v>34.643744654285399</v>
      </c>
      <c r="D26" s="93">
        <v>38.6</v>
      </c>
      <c r="E26">
        <v>-0.314</v>
      </c>
      <c r="F26" s="43">
        <f t="shared" si="0"/>
        <v>2.6770043618401727</v>
      </c>
      <c r="G26">
        <v>7.1</v>
      </c>
      <c r="H26">
        <v>2.145</v>
      </c>
      <c r="I26">
        <v>24.538</v>
      </c>
      <c r="J26">
        <v>3.54</v>
      </c>
      <c r="K26">
        <v>7.5</v>
      </c>
      <c r="L26">
        <v>124.7</v>
      </c>
      <c r="N26">
        <v>475.34</v>
      </c>
    </row>
    <row r="27" spans="1:14">
      <c r="A27">
        <v>27</v>
      </c>
      <c r="B27" t="s">
        <v>157</v>
      </c>
      <c r="C27" s="92">
        <f ca="1">MRegression!A30</f>
        <v>38.855714084794329</v>
      </c>
      <c r="D27" s="93">
        <v>28.6</v>
      </c>
      <c r="E27">
        <v>-2.339</v>
      </c>
      <c r="F27" s="43">
        <f t="shared" si="0"/>
        <v>2.5775147777733647</v>
      </c>
      <c r="G27">
        <v>8.9</v>
      </c>
      <c r="H27">
        <v>0</v>
      </c>
      <c r="I27">
        <v>56.74</v>
      </c>
      <c r="J27">
        <v>2.86</v>
      </c>
      <c r="K27">
        <v>9</v>
      </c>
      <c r="L27">
        <v>51.9</v>
      </c>
      <c r="N27">
        <v>378.02</v>
      </c>
    </row>
    <row r="28" spans="1:14">
      <c r="A28">
        <v>28</v>
      </c>
      <c r="B28" t="s">
        <v>158</v>
      </c>
      <c r="C28" s="92">
        <f ca="1">MRegression!A31</f>
        <v>33.720435244489778</v>
      </c>
      <c r="D28" s="93">
        <v>33.5</v>
      </c>
      <c r="E28">
        <v>-0.93799999999999994</v>
      </c>
      <c r="F28" s="43">
        <f t="shared" si="0"/>
        <v>3.5383789110505259</v>
      </c>
      <c r="G28">
        <v>15</v>
      </c>
      <c r="H28">
        <v>0.85</v>
      </c>
      <c r="I28">
        <v>36.582999999999998</v>
      </c>
      <c r="J28">
        <v>8.7200000000000006</v>
      </c>
      <c r="K28">
        <v>12.7</v>
      </c>
      <c r="L28">
        <v>100.6</v>
      </c>
      <c r="N28">
        <v>3454.45</v>
      </c>
    </row>
    <row r="29" spans="1:14">
      <c r="A29">
        <v>29</v>
      </c>
      <c r="B29" t="s">
        <v>159</v>
      </c>
      <c r="C29" s="92">
        <f ca="1">MRegression!A32</f>
        <v>11.560133543364508</v>
      </c>
      <c r="D29" s="93">
        <v>33.299999999999997</v>
      </c>
      <c r="E29">
        <v>0.217</v>
      </c>
      <c r="F29" s="43">
        <f t="shared" si="0"/>
        <v>2.6051110251239025</v>
      </c>
      <c r="G29">
        <v>13.6</v>
      </c>
      <c r="H29">
        <v>5.2060000000000004</v>
      </c>
      <c r="I29">
        <v>103.54900000000001</v>
      </c>
      <c r="J29">
        <v>-9.15</v>
      </c>
      <c r="K29">
        <v>7.7</v>
      </c>
      <c r="L29">
        <v>57.9</v>
      </c>
      <c r="N29">
        <v>402.82</v>
      </c>
    </row>
    <row r="30" spans="1:14">
      <c r="A30">
        <v>30</v>
      </c>
      <c r="B30" t="s">
        <v>160</v>
      </c>
      <c r="C30" s="92">
        <f ca="1">MRegression!A33</f>
        <v>21.374024948085278</v>
      </c>
      <c r="D30" s="93">
        <v>14.3</v>
      </c>
      <c r="E30">
        <v>-0.49099999999999999</v>
      </c>
      <c r="F30" s="43">
        <f t="shared" si="0"/>
        <v>2.4383841070347136</v>
      </c>
      <c r="G30">
        <v>9.5</v>
      </c>
      <c r="H30">
        <v>5.306</v>
      </c>
      <c r="I30">
        <v>112</v>
      </c>
      <c r="J30">
        <v>4.4400000000000004</v>
      </c>
      <c r="K30">
        <v>5.9</v>
      </c>
      <c r="L30">
        <v>23.4</v>
      </c>
      <c r="N30">
        <v>274.39999999999998</v>
      </c>
    </row>
    <row r="31" spans="1:14">
      <c r="A31">
        <v>31</v>
      </c>
      <c r="B31" t="s">
        <v>161</v>
      </c>
      <c r="C31" s="92"/>
      <c r="E31">
        <f>MAX(E2:E30)</f>
        <v>3.4860000000000002</v>
      </c>
      <c r="F31">
        <f t="shared" ref="F31:N31" si="1">MAX(F2:F30)</f>
        <v>4.5216577487453833</v>
      </c>
      <c r="G31">
        <f t="shared" si="1"/>
        <v>23.3</v>
      </c>
      <c r="H31">
        <f t="shared" si="1"/>
        <v>5.306</v>
      </c>
      <c r="I31">
        <f t="shared" si="1"/>
        <v>112.07599999999999</v>
      </c>
      <c r="J31">
        <f t="shared" si="1"/>
        <v>32.96</v>
      </c>
      <c r="K31">
        <f t="shared" si="1"/>
        <v>17.3</v>
      </c>
      <c r="L31">
        <f t="shared" si="1"/>
        <v>1789</v>
      </c>
      <c r="M31">
        <f t="shared" si="1"/>
        <v>0</v>
      </c>
      <c r="N31">
        <f t="shared" si="1"/>
        <v>741195.77</v>
      </c>
    </row>
    <row r="32" spans="1:14">
      <c r="A32">
        <v>32</v>
      </c>
      <c r="B32" t="s">
        <v>162</v>
      </c>
    </row>
    <row r="33" spans="1:2">
      <c r="A33">
        <v>33</v>
      </c>
      <c r="B33" t="s">
        <v>163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Output</vt:lpstr>
      <vt:lpstr>MRegression</vt:lpstr>
      <vt:lpstr>ADDRESSmatch</vt:lpstr>
      <vt:lpstr>indirect</vt:lpstr>
      <vt:lpstr>Test-regression</vt:lpstr>
      <vt:lpstr>Basics</vt:lpstr>
      <vt:lpstr>todo</vt:lpstr>
      <vt:lpstr>YahooData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</dc:creator>
  <cp:lastModifiedBy>shivgan</cp:lastModifiedBy>
  <dcterms:created xsi:type="dcterms:W3CDTF">2014-01-11T23:31:51Z</dcterms:created>
  <dcterms:modified xsi:type="dcterms:W3CDTF">2014-02-09T19:21:55Z</dcterms:modified>
</cp:coreProperties>
</file>